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9420" windowHeight="11020" firstSheet="1" activeTab="2"/>
  </bookViews>
  <sheets>
    <sheet name="Offering_Calculator" sheetId="1" r:id="rId1"/>
    <sheet name="Database" sheetId="6" r:id="rId2"/>
    <sheet name="Sheet2" sheetId="2" r:id="rId3"/>
    <sheet name="Subfamily" sheetId="4" r:id="rId4"/>
    <sheet name="Maxband" sheetId="5" r:id="rId5"/>
    <sheet name="NJ" sheetId="7" r:id="rId6"/>
    <sheet name="Sheet4" sheetId="8" r:id="rId7"/>
    <sheet name="Source Tables - Open for Update" sheetId="3" r:id="rId8"/>
  </sheets>
  <definedNames>
    <definedName name="_xlnm._FilterDatabase" localSheetId="5" hidden="1">NJ!$C$3:$D$7</definedName>
    <definedName name="_xlnm._FilterDatabase" localSheetId="7" hidden="1">'Source Tables - Open for Update'!$AB$2:$AI$704</definedName>
    <definedName name="_xlnm._FilterDatabase" localSheetId="3" hidden="1">Subfamily!$A$1:$I$2822</definedName>
    <definedName name="_xleta.COUNTA" hidden="1" xlm="1">#NAME?</definedName>
    <definedName name="_xleta.IF" hidden="1" xlm="1">#NAME?</definedName>
    <definedName name="_xleta.MIN" hidden="1" xlm="1">#NAME?</definedName>
    <definedName name="_xleta.TRANSPOSE" hidden="1" xlm="1">#NAME?</definedName>
    <definedName name="Category">Offering_Calculator!$N$14</definedName>
    <definedName name="Company_Name">OFFSET(Sheet2!$B$2,0,0,COUNTA(Sheet2!$B:$B)-1,1)</definedName>
    <definedName name="CTCRecom">Offering_Calculator!$AD$15</definedName>
    <definedName name="ECTC">Offering_Calculator!$AL$6</definedName>
    <definedName name="EmailID">Offering_Calculator!$E$6</definedName>
    <definedName name="Entity">Offering_Calculator!$E$11</definedName>
    <definedName name="Level">Offering_Calculator!$E$13</definedName>
    <definedName name="PBI">Offering_Calculator!$AD$13</definedName>
    <definedName name="ProjectID">Offering_Calculator!$N$11</definedName>
    <definedName name="ProjectIDs">_xlfn._xlws.FILTER(Subfamily!$A:$A,Subfamily!$I:$I=Offering_Calculator!$E$11)</definedName>
    <definedName name="Recruiter_Name">OFFSET(Sheet2!$A$2,0,0,COUNTA(Sheet2!$A:$A)-1,1)</definedName>
    <definedName name="State">Offering_Calculator!$E$15</definedName>
    <definedName name="THome">Offering_Calculator!$AH$4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 a="1"/>
  <c r="C2" i="2" s="1"/>
  <c r="S21" i="1" l="1"/>
  <c r="D20" i="1" l="1"/>
  <c r="AP13" i="1" s="1"/>
  <c r="G20" i="1" l="1"/>
  <c r="U14" i="5"/>
  <c r="T14" i="5"/>
  <c r="R14" i="5"/>
  <c r="Q14" i="5"/>
  <c r="P14" i="5"/>
  <c r="O14" i="5"/>
  <c r="N14" i="5"/>
  <c r="M14" i="5"/>
  <c r="L14" i="5"/>
  <c r="K14" i="5"/>
  <c r="I14" i="5"/>
  <c r="H14" i="5"/>
  <c r="G14" i="5"/>
  <c r="F14" i="5"/>
  <c r="E14" i="5"/>
  <c r="D14" i="5"/>
  <c r="C14" i="5"/>
  <c r="B14" i="5"/>
  <c r="AC1" i="5"/>
  <c r="AB1" i="5"/>
  <c r="AA1" i="5"/>
  <c r="Z1" i="5"/>
  <c r="Y1" i="5"/>
  <c r="X1" i="5"/>
  <c r="W1" i="5"/>
  <c r="V1" i="5"/>
  <c r="U1" i="5"/>
  <c r="T1" i="5"/>
  <c r="R1" i="5"/>
  <c r="Q1" i="5"/>
  <c r="P1" i="5"/>
  <c r="O1" i="5"/>
  <c r="N1" i="5"/>
  <c r="M1" i="5"/>
  <c r="L1" i="5"/>
  <c r="K1" i="5"/>
  <c r="I1" i="5"/>
  <c r="H1" i="5"/>
  <c r="G1" i="5"/>
  <c r="F1" i="5"/>
  <c r="E1" i="5"/>
  <c r="D1" i="5"/>
  <c r="B1" i="5"/>
  <c r="N14" i="1" l="1"/>
  <c r="D18" i="7"/>
  <c r="D19" i="7" s="1"/>
  <c r="D13" i="7"/>
  <c r="F13" i="7" s="1"/>
  <c r="AL6" i="1"/>
  <c r="G18" i="7"/>
  <c r="O9" i="7"/>
  <c r="G6" i="7"/>
  <c r="L5" i="7"/>
  <c r="O8" i="7" s="1"/>
  <c r="L14" i="7" s="1"/>
  <c r="G5" i="7"/>
  <c r="G4" i="7"/>
  <c r="L22" i="7"/>
  <c r="N22" i="7" s="1"/>
  <c r="U2185" i="3"/>
  <c r="U2184" i="3"/>
  <c r="U2183" i="3"/>
  <c r="U2182" i="3"/>
  <c r="U2181" i="3"/>
  <c r="U2180" i="3"/>
  <c r="U2179" i="3"/>
  <c r="U2178" i="3"/>
  <c r="U2177" i="3"/>
  <c r="U2176" i="3"/>
  <c r="U2175" i="3"/>
  <c r="U2174" i="3"/>
  <c r="U2173" i="3"/>
  <c r="U2172" i="3"/>
  <c r="U2171" i="3"/>
  <c r="U2170" i="3"/>
  <c r="U2169" i="3"/>
  <c r="U2168" i="3"/>
  <c r="U2167" i="3"/>
  <c r="U2166" i="3"/>
  <c r="U2165" i="3"/>
  <c r="U2164" i="3"/>
  <c r="U2163" i="3"/>
  <c r="U2162" i="3"/>
  <c r="U2161" i="3"/>
  <c r="U2160" i="3"/>
  <c r="U2159" i="3"/>
  <c r="U2158" i="3"/>
  <c r="U2157" i="3"/>
  <c r="U2156" i="3"/>
  <c r="U2155" i="3"/>
  <c r="U2154" i="3"/>
  <c r="U2153" i="3"/>
  <c r="U2152" i="3"/>
  <c r="U2151" i="3"/>
  <c r="U2150" i="3"/>
  <c r="U2149" i="3"/>
  <c r="U2148" i="3"/>
  <c r="U2147" i="3"/>
  <c r="U2146" i="3"/>
  <c r="U2145" i="3"/>
  <c r="U2144" i="3"/>
  <c r="U2143" i="3"/>
  <c r="U2142" i="3"/>
  <c r="U2141" i="3"/>
  <c r="U2140" i="3"/>
  <c r="U2139" i="3"/>
  <c r="U2138" i="3"/>
  <c r="U2137" i="3"/>
  <c r="U2136" i="3"/>
  <c r="U2135" i="3"/>
  <c r="U2134" i="3"/>
  <c r="U2133" i="3"/>
  <c r="U2132" i="3"/>
  <c r="U2131" i="3"/>
  <c r="U2130" i="3"/>
  <c r="U2129" i="3"/>
  <c r="U2128" i="3"/>
  <c r="U2127" i="3"/>
  <c r="U2126" i="3"/>
  <c r="U2125" i="3"/>
  <c r="U2124" i="3"/>
  <c r="U2123" i="3"/>
  <c r="U2122" i="3"/>
  <c r="U2121" i="3"/>
  <c r="U2120" i="3"/>
  <c r="U2119" i="3"/>
  <c r="U2118" i="3"/>
  <c r="U2117" i="3"/>
  <c r="U2116" i="3"/>
  <c r="U2115" i="3"/>
  <c r="U2114" i="3"/>
  <c r="U2113" i="3"/>
  <c r="U2112" i="3"/>
  <c r="U2111" i="3"/>
  <c r="U2110" i="3"/>
  <c r="U2109" i="3"/>
  <c r="U2108" i="3"/>
  <c r="U2107" i="3"/>
  <c r="U2106" i="3"/>
  <c r="U2105" i="3"/>
  <c r="U2104" i="3"/>
  <c r="U2103" i="3"/>
  <c r="U2102" i="3"/>
  <c r="U2101" i="3"/>
  <c r="U2100" i="3"/>
  <c r="U2099" i="3"/>
  <c r="U2098" i="3"/>
  <c r="U2097" i="3"/>
  <c r="U2096" i="3"/>
  <c r="U2095" i="3"/>
  <c r="U2094" i="3"/>
  <c r="U2093" i="3"/>
  <c r="U2092" i="3"/>
  <c r="U2091" i="3"/>
  <c r="U2090" i="3"/>
  <c r="U2089" i="3"/>
  <c r="U2088" i="3"/>
  <c r="U2087" i="3"/>
  <c r="U2086" i="3"/>
  <c r="U2085" i="3"/>
  <c r="U2084" i="3"/>
  <c r="U2083" i="3"/>
  <c r="U2082" i="3"/>
  <c r="U2081" i="3"/>
  <c r="U2080" i="3"/>
  <c r="U2079" i="3"/>
  <c r="U2078" i="3"/>
  <c r="U2077" i="3"/>
  <c r="U2076" i="3"/>
  <c r="U2075" i="3"/>
  <c r="U2074" i="3"/>
  <c r="U2073" i="3"/>
  <c r="U2072" i="3"/>
  <c r="U2071" i="3"/>
  <c r="U2070" i="3"/>
  <c r="U2069" i="3"/>
  <c r="U2068" i="3"/>
  <c r="U2067" i="3"/>
  <c r="U2066" i="3"/>
  <c r="U2065" i="3"/>
  <c r="U2064" i="3"/>
  <c r="U2063" i="3"/>
  <c r="U2062" i="3"/>
  <c r="U2061" i="3"/>
  <c r="U2060" i="3"/>
  <c r="U2059" i="3"/>
  <c r="U2058" i="3"/>
  <c r="U2057" i="3"/>
  <c r="U2056" i="3"/>
  <c r="U2055" i="3"/>
  <c r="U2054" i="3"/>
  <c r="U2053" i="3"/>
  <c r="U2052" i="3"/>
  <c r="U2051" i="3"/>
  <c r="U2050" i="3"/>
  <c r="U2049" i="3"/>
  <c r="U2048" i="3"/>
  <c r="U2047" i="3"/>
  <c r="U2046" i="3"/>
  <c r="U2045" i="3"/>
  <c r="U2044" i="3"/>
  <c r="U2043" i="3"/>
  <c r="U2042" i="3"/>
  <c r="U2041" i="3"/>
  <c r="U2040" i="3"/>
  <c r="U2039" i="3"/>
  <c r="U2038" i="3"/>
  <c r="U2037" i="3"/>
  <c r="U2036" i="3"/>
  <c r="U2035" i="3"/>
  <c r="U2034" i="3"/>
  <c r="U2033" i="3"/>
  <c r="U2032" i="3"/>
  <c r="U2031" i="3"/>
  <c r="U2030" i="3"/>
  <c r="U2029" i="3"/>
  <c r="U2028" i="3"/>
  <c r="U2027" i="3"/>
  <c r="U2026" i="3"/>
  <c r="U2025" i="3"/>
  <c r="U2024" i="3"/>
  <c r="U2023" i="3"/>
  <c r="U2022" i="3"/>
  <c r="U2021" i="3"/>
  <c r="U2020" i="3"/>
  <c r="U2019" i="3"/>
  <c r="U2018" i="3"/>
  <c r="U2017" i="3"/>
  <c r="U2016" i="3"/>
  <c r="U2015" i="3"/>
  <c r="U2014" i="3"/>
  <c r="U2013" i="3"/>
  <c r="U2012" i="3"/>
  <c r="U2011" i="3"/>
  <c r="U2010" i="3"/>
  <c r="U2009" i="3"/>
  <c r="U2008" i="3"/>
  <c r="U2007" i="3"/>
  <c r="U2006" i="3"/>
  <c r="U2005" i="3"/>
  <c r="U2004" i="3"/>
  <c r="U2003" i="3"/>
  <c r="U2002" i="3"/>
  <c r="U2001" i="3"/>
  <c r="U2000" i="3"/>
  <c r="U1999" i="3"/>
  <c r="U1998" i="3"/>
  <c r="U1997" i="3"/>
  <c r="U1996" i="3"/>
  <c r="U1995" i="3"/>
  <c r="U1994" i="3"/>
  <c r="U1993" i="3"/>
  <c r="U1992" i="3"/>
  <c r="U1991" i="3"/>
  <c r="U1990" i="3"/>
  <c r="U1989" i="3"/>
  <c r="U1988" i="3"/>
  <c r="U1987" i="3"/>
  <c r="U1986" i="3"/>
  <c r="U1985" i="3"/>
  <c r="U1984" i="3"/>
  <c r="U1983" i="3"/>
  <c r="U1982" i="3"/>
  <c r="U1981" i="3"/>
  <c r="U1980" i="3"/>
  <c r="U1979" i="3"/>
  <c r="U1978" i="3"/>
  <c r="U1977" i="3"/>
  <c r="U1976" i="3"/>
  <c r="U1975" i="3"/>
  <c r="U1974" i="3"/>
  <c r="U1973" i="3"/>
  <c r="U1972" i="3"/>
  <c r="U1971" i="3"/>
  <c r="U1970" i="3"/>
  <c r="U1969" i="3"/>
  <c r="U1968" i="3"/>
  <c r="U1967" i="3"/>
  <c r="U1966" i="3"/>
  <c r="U1965" i="3"/>
  <c r="U1964" i="3"/>
  <c r="U1963" i="3"/>
  <c r="U1962" i="3"/>
  <c r="U1961" i="3"/>
  <c r="U1960" i="3"/>
  <c r="U1959" i="3"/>
  <c r="U1958" i="3"/>
  <c r="U1957" i="3"/>
  <c r="U1956" i="3"/>
  <c r="U1955" i="3"/>
  <c r="U1954" i="3"/>
  <c r="U1953" i="3"/>
  <c r="U1952" i="3"/>
  <c r="U1951" i="3"/>
  <c r="U1950" i="3"/>
  <c r="U1949" i="3"/>
  <c r="U1948" i="3"/>
  <c r="U1947" i="3"/>
  <c r="U1946" i="3"/>
  <c r="U1945" i="3"/>
  <c r="U1944" i="3"/>
  <c r="U1943" i="3"/>
  <c r="U1942" i="3"/>
  <c r="U1941" i="3"/>
  <c r="U1940" i="3"/>
  <c r="U1939" i="3"/>
  <c r="U1938" i="3"/>
  <c r="U1937" i="3"/>
  <c r="U1936" i="3"/>
  <c r="U1935" i="3"/>
  <c r="U1934" i="3"/>
  <c r="U1933" i="3"/>
  <c r="U1932" i="3"/>
  <c r="U1931" i="3"/>
  <c r="U1930" i="3"/>
  <c r="U1929" i="3"/>
  <c r="U1928" i="3"/>
  <c r="U1927" i="3"/>
  <c r="U1926" i="3"/>
  <c r="U1925" i="3"/>
  <c r="U1924" i="3"/>
  <c r="U1923" i="3"/>
  <c r="U1922" i="3"/>
  <c r="U1921" i="3"/>
  <c r="U1920" i="3"/>
  <c r="U1919" i="3"/>
  <c r="U1918" i="3"/>
  <c r="U1917" i="3"/>
  <c r="U1916" i="3"/>
  <c r="U1915" i="3"/>
  <c r="U1914" i="3"/>
  <c r="U1913" i="3"/>
  <c r="U1912" i="3"/>
  <c r="U1911" i="3"/>
  <c r="U1910" i="3"/>
  <c r="U1909" i="3"/>
  <c r="U1908" i="3"/>
  <c r="U1907" i="3"/>
  <c r="U1906" i="3"/>
  <c r="U1905" i="3"/>
  <c r="U1904" i="3"/>
  <c r="U1903" i="3"/>
  <c r="U1902" i="3"/>
  <c r="U1901" i="3"/>
  <c r="U1900" i="3"/>
  <c r="U1899" i="3"/>
  <c r="U1898" i="3"/>
  <c r="U1897" i="3"/>
  <c r="U1896" i="3"/>
  <c r="U1895" i="3"/>
  <c r="U1894" i="3"/>
  <c r="U1893" i="3"/>
  <c r="U1892" i="3"/>
  <c r="U1891" i="3"/>
  <c r="U1890" i="3"/>
  <c r="U1889" i="3"/>
  <c r="U1888" i="3"/>
  <c r="U1887" i="3"/>
  <c r="U1886" i="3"/>
  <c r="U1885" i="3"/>
  <c r="U1884" i="3"/>
  <c r="U1883" i="3"/>
  <c r="U1882" i="3"/>
  <c r="U1881" i="3"/>
  <c r="U1880" i="3"/>
  <c r="U1879" i="3"/>
  <c r="U1878" i="3"/>
  <c r="U1877" i="3"/>
  <c r="U1876" i="3"/>
  <c r="U1875" i="3"/>
  <c r="U1874" i="3"/>
  <c r="U1873" i="3"/>
  <c r="U1872" i="3"/>
  <c r="U1871" i="3"/>
  <c r="U1870" i="3"/>
  <c r="U1869" i="3"/>
  <c r="U1868" i="3"/>
  <c r="U1867" i="3"/>
  <c r="U1866" i="3"/>
  <c r="U1865" i="3"/>
  <c r="U1864" i="3"/>
  <c r="U1863" i="3"/>
  <c r="U1862" i="3"/>
  <c r="U1861" i="3"/>
  <c r="U1860" i="3"/>
  <c r="U1859" i="3"/>
  <c r="U1858" i="3"/>
  <c r="U1857" i="3"/>
  <c r="U1856" i="3"/>
  <c r="U1855" i="3"/>
  <c r="U1854" i="3"/>
  <c r="U1853" i="3"/>
  <c r="U1852" i="3"/>
  <c r="U1851" i="3"/>
  <c r="U1850" i="3"/>
  <c r="U1849" i="3"/>
  <c r="U1848" i="3"/>
  <c r="U1847" i="3"/>
  <c r="U1846" i="3"/>
  <c r="U1845" i="3"/>
  <c r="U1844" i="3"/>
  <c r="U1843" i="3"/>
  <c r="U1842" i="3"/>
  <c r="U1841" i="3"/>
  <c r="U1840" i="3"/>
  <c r="U1839" i="3"/>
  <c r="U1838" i="3"/>
  <c r="U1837" i="3"/>
  <c r="U1836" i="3"/>
  <c r="U1835" i="3"/>
  <c r="U1834" i="3"/>
  <c r="U1833" i="3"/>
  <c r="U1832" i="3"/>
  <c r="U1831" i="3"/>
  <c r="U1830" i="3"/>
  <c r="U1829" i="3"/>
  <c r="U1828" i="3"/>
  <c r="U1827" i="3"/>
  <c r="U1826" i="3"/>
  <c r="U1825" i="3"/>
  <c r="U1824" i="3"/>
  <c r="U1823" i="3"/>
  <c r="U1822" i="3"/>
  <c r="U1821" i="3"/>
  <c r="U1820" i="3"/>
  <c r="U1819" i="3"/>
  <c r="U1818" i="3"/>
  <c r="U1817" i="3"/>
  <c r="U1816" i="3"/>
  <c r="U1815" i="3"/>
  <c r="U1814" i="3"/>
  <c r="U1813" i="3"/>
  <c r="U1812" i="3"/>
  <c r="U1811" i="3"/>
  <c r="U1810" i="3"/>
  <c r="U1809" i="3"/>
  <c r="U1808" i="3"/>
  <c r="U1807" i="3"/>
  <c r="U1806" i="3"/>
  <c r="U1805" i="3"/>
  <c r="U1804" i="3"/>
  <c r="U1803" i="3"/>
  <c r="U1802" i="3"/>
  <c r="U1801" i="3"/>
  <c r="U1800" i="3"/>
  <c r="U1799" i="3"/>
  <c r="U1798" i="3"/>
  <c r="U1797" i="3"/>
  <c r="U1796" i="3"/>
  <c r="U1795" i="3"/>
  <c r="U1794" i="3"/>
  <c r="U1793" i="3"/>
  <c r="U1792" i="3"/>
  <c r="U1791" i="3"/>
  <c r="U1790" i="3"/>
  <c r="U1789" i="3"/>
  <c r="U1788" i="3"/>
  <c r="U1787" i="3"/>
  <c r="U1786" i="3"/>
  <c r="U1785" i="3"/>
  <c r="U1784" i="3"/>
  <c r="U1783" i="3"/>
  <c r="U1782" i="3"/>
  <c r="U1781" i="3"/>
  <c r="U1780" i="3"/>
  <c r="U1779" i="3"/>
  <c r="U1778" i="3"/>
  <c r="U1777" i="3"/>
  <c r="U1776" i="3"/>
  <c r="U1775" i="3"/>
  <c r="U1774" i="3"/>
  <c r="U1773" i="3"/>
  <c r="U1772" i="3"/>
  <c r="U1771" i="3"/>
  <c r="U1770" i="3"/>
  <c r="U1769" i="3"/>
  <c r="U1768" i="3"/>
  <c r="U1767" i="3"/>
  <c r="U1766" i="3"/>
  <c r="U1765" i="3"/>
  <c r="U1764" i="3"/>
  <c r="U1763" i="3"/>
  <c r="U1762" i="3"/>
  <c r="U1761" i="3"/>
  <c r="U1760" i="3"/>
  <c r="U1759" i="3"/>
  <c r="U1758" i="3"/>
  <c r="U1757" i="3"/>
  <c r="U1756" i="3"/>
  <c r="U1755" i="3"/>
  <c r="U1754" i="3"/>
  <c r="U1753" i="3"/>
  <c r="U1752" i="3"/>
  <c r="U1751" i="3"/>
  <c r="U1750" i="3"/>
  <c r="U1749" i="3"/>
  <c r="U1748" i="3"/>
  <c r="U1747" i="3"/>
  <c r="U1746" i="3"/>
  <c r="U1745" i="3"/>
  <c r="U1744" i="3"/>
  <c r="U1743" i="3"/>
  <c r="U1742" i="3"/>
  <c r="U1741" i="3"/>
  <c r="U1740" i="3"/>
  <c r="U1739" i="3"/>
  <c r="U1738" i="3"/>
  <c r="U1737" i="3"/>
  <c r="U1736" i="3"/>
  <c r="U1735" i="3"/>
  <c r="U1734" i="3"/>
  <c r="U1733" i="3"/>
  <c r="U1732" i="3"/>
  <c r="U1731" i="3"/>
  <c r="U1730" i="3"/>
  <c r="U1729" i="3"/>
  <c r="U1728" i="3"/>
  <c r="U1727" i="3"/>
  <c r="U1726" i="3"/>
  <c r="U1725" i="3"/>
  <c r="U1724" i="3"/>
  <c r="U1723" i="3"/>
  <c r="U1722" i="3"/>
  <c r="U1721" i="3"/>
  <c r="U1720" i="3"/>
  <c r="U1719" i="3"/>
  <c r="U1718" i="3"/>
  <c r="U1717" i="3"/>
  <c r="U1716" i="3"/>
  <c r="U1715" i="3"/>
  <c r="U1714" i="3"/>
  <c r="U1713" i="3"/>
  <c r="U1712" i="3"/>
  <c r="U1711" i="3"/>
  <c r="U1710" i="3"/>
  <c r="U1709" i="3"/>
  <c r="U1708" i="3"/>
  <c r="U1707" i="3"/>
  <c r="U1706" i="3"/>
  <c r="U1705" i="3"/>
  <c r="U1704" i="3"/>
  <c r="U1703" i="3"/>
  <c r="U1702" i="3"/>
  <c r="U1701" i="3"/>
  <c r="U1700" i="3"/>
  <c r="U1699" i="3"/>
  <c r="U1698" i="3"/>
  <c r="U1697" i="3"/>
  <c r="U1696" i="3"/>
  <c r="U1695" i="3"/>
  <c r="U1694" i="3"/>
  <c r="U1693" i="3"/>
  <c r="U1692" i="3"/>
  <c r="U1691" i="3"/>
  <c r="U1690" i="3"/>
  <c r="U1689" i="3"/>
  <c r="U1688" i="3"/>
  <c r="U1687" i="3"/>
  <c r="U1686" i="3"/>
  <c r="U1685" i="3"/>
  <c r="U1684" i="3"/>
  <c r="U1683" i="3"/>
  <c r="U1682" i="3"/>
  <c r="U1681" i="3"/>
  <c r="U1680" i="3"/>
  <c r="U1679" i="3"/>
  <c r="U1678" i="3"/>
  <c r="U1677" i="3"/>
  <c r="U1676" i="3"/>
  <c r="U1675" i="3"/>
  <c r="U1674" i="3"/>
  <c r="U1673" i="3"/>
  <c r="U1672" i="3"/>
  <c r="U1671" i="3"/>
  <c r="U1670" i="3"/>
  <c r="U1669" i="3"/>
  <c r="U1668" i="3"/>
  <c r="U1667" i="3"/>
  <c r="U1666" i="3"/>
  <c r="U1665" i="3"/>
  <c r="U1664" i="3"/>
  <c r="U1663" i="3"/>
  <c r="U1662" i="3"/>
  <c r="U1661" i="3"/>
  <c r="U1660" i="3"/>
  <c r="U1659" i="3"/>
  <c r="U1658" i="3"/>
  <c r="U1657" i="3"/>
  <c r="U1656" i="3"/>
  <c r="U1655" i="3"/>
  <c r="U1654" i="3"/>
  <c r="U1653" i="3"/>
  <c r="U1652" i="3"/>
  <c r="U1651" i="3"/>
  <c r="U1650" i="3"/>
  <c r="U1649" i="3"/>
  <c r="U1648" i="3"/>
  <c r="U1647" i="3"/>
  <c r="U1646" i="3"/>
  <c r="U1645" i="3"/>
  <c r="U1644" i="3"/>
  <c r="U1643" i="3"/>
  <c r="U1642" i="3"/>
  <c r="U1641" i="3"/>
  <c r="U1640" i="3"/>
  <c r="U1639" i="3"/>
  <c r="U1638" i="3"/>
  <c r="U1637" i="3"/>
  <c r="U1636" i="3"/>
  <c r="U1635" i="3"/>
  <c r="U1634" i="3"/>
  <c r="U1633" i="3"/>
  <c r="U1632" i="3"/>
  <c r="U1631" i="3"/>
  <c r="U1630" i="3"/>
  <c r="U1629" i="3"/>
  <c r="U1628" i="3"/>
  <c r="U1627" i="3"/>
  <c r="U1626" i="3"/>
  <c r="U1625" i="3"/>
  <c r="U1624" i="3"/>
  <c r="U1623" i="3"/>
  <c r="U1622" i="3"/>
  <c r="U1621" i="3"/>
  <c r="U1620" i="3"/>
  <c r="U1619" i="3"/>
  <c r="U1618" i="3"/>
  <c r="U1617" i="3"/>
  <c r="U1616" i="3"/>
  <c r="U1615" i="3"/>
  <c r="U1614" i="3"/>
  <c r="U1613" i="3"/>
  <c r="U1612" i="3"/>
  <c r="U1611" i="3"/>
  <c r="U1610" i="3"/>
  <c r="U1609" i="3"/>
  <c r="U1608" i="3"/>
  <c r="U1607" i="3"/>
  <c r="U1606" i="3"/>
  <c r="U1605" i="3"/>
  <c r="U1604" i="3"/>
  <c r="U1603" i="3"/>
  <c r="U1602" i="3"/>
  <c r="U1601" i="3"/>
  <c r="U1600" i="3"/>
  <c r="U1599" i="3"/>
  <c r="U1598" i="3"/>
  <c r="U1597" i="3"/>
  <c r="U1596" i="3"/>
  <c r="U1595" i="3"/>
  <c r="U1594" i="3"/>
  <c r="U1593" i="3"/>
  <c r="U1592" i="3"/>
  <c r="U1591" i="3"/>
  <c r="U1590" i="3"/>
  <c r="U1589" i="3"/>
  <c r="U1588" i="3"/>
  <c r="U1587" i="3"/>
  <c r="U1586" i="3"/>
  <c r="U1585" i="3"/>
  <c r="U1584" i="3"/>
  <c r="U1583" i="3"/>
  <c r="U1582" i="3"/>
  <c r="U1581" i="3"/>
  <c r="U1580" i="3"/>
  <c r="U1579" i="3"/>
  <c r="U1578" i="3"/>
  <c r="U1577" i="3"/>
  <c r="U1576" i="3"/>
  <c r="U1575" i="3"/>
  <c r="U1574" i="3"/>
  <c r="U1573" i="3"/>
  <c r="U1572" i="3"/>
  <c r="U1571" i="3"/>
  <c r="U1570" i="3"/>
  <c r="U1569" i="3"/>
  <c r="U1568" i="3"/>
  <c r="U1567" i="3"/>
  <c r="U1566" i="3"/>
  <c r="U1565" i="3"/>
  <c r="U1564" i="3"/>
  <c r="U1563" i="3"/>
  <c r="U1562" i="3"/>
  <c r="U1561" i="3"/>
  <c r="U1560" i="3"/>
  <c r="U1559" i="3"/>
  <c r="U1558" i="3"/>
  <c r="U1557" i="3"/>
  <c r="U1556" i="3"/>
  <c r="U1555" i="3"/>
  <c r="U1554" i="3"/>
  <c r="U1553" i="3"/>
  <c r="U1552" i="3"/>
  <c r="U1551" i="3"/>
  <c r="U1550" i="3"/>
  <c r="U1549" i="3"/>
  <c r="U1548" i="3"/>
  <c r="U1547" i="3"/>
  <c r="U1546" i="3"/>
  <c r="U1545" i="3"/>
  <c r="U1544" i="3"/>
  <c r="U1543" i="3"/>
  <c r="U1542" i="3"/>
  <c r="U1541" i="3"/>
  <c r="U1540" i="3"/>
  <c r="U1539" i="3"/>
  <c r="U1538" i="3"/>
  <c r="U1537" i="3"/>
  <c r="U1536" i="3"/>
  <c r="U1535" i="3"/>
  <c r="U1534" i="3"/>
  <c r="U1533" i="3"/>
  <c r="U1532" i="3"/>
  <c r="U1531" i="3"/>
  <c r="U1530" i="3"/>
  <c r="U1529" i="3"/>
  <c r="U1528" i="3"/>
  <c r="U1527" i="3"/>
  <c r="U1526" i="3"/>
  <c r="U1525" i="3"/>
  <c r="U1524" i="3"/>
  <c r="U1523" i="3"/>
  <c r="U1522" i="3"/>
  <c r="U1521" i="3"/>
  <c r="U1520" i="3"/>
  <c r="U1519" i="3"/>
  <c r="U1518" i="3"/>
  <c r="U1517" i="3"/>
  <c r="U1516" i="3"/>
  <c r="U1515" i="3"/>
  <c r="U1514" i="3"/>
  <c r="U1513" i="3"/>
  <c r="U1512" i="3"/>
  <c r="U1511" i="3"/>
  <c r="U1510" i="3"/>
  <c r="U1509" i="3"/>
  <c r="U1508" i="3"/>
  <c r="U1507" i="3"/>
  <c r="U1506" i="3"/>
  <c r="U1505" i="3"/>
  <c r="U1504" i="3"/>
  <c r="U1503" i="3"/>
  <c r="U1502" i="3"/>
  <c r="U1501" i="3"/>
  <c r="U1500" i="3"/>
  <c r="U1499" i="3"/>
  <c r="U1498" i="3"/>
  <c r="U1497" i="3"/>
  <c r="U1496" i="3"/>
  <c r="U1495" i="3"/>
  <c r="U1494" i="3"/>
  <c r="U1493" i="3"/>
  <c r="U1492" i="3"/>
  <c r="U1491" i="3"/>
  <c r="U1490" i="3"/>
  <c r="U1489" i="3"/>
  <c r="U1488" i="3"/>
  <c r="U1487" i="3"/>
  <c r="U1486" i="3"/>
  <c r="U1485" i="3"/>
  <c r="U1484" i="3"/>
  <c r="U1483" i="3"/>
  <c r="U1482" i="3"/>
  <c r="U1481" i="3"/>
  <c r="U1480" i="3"/>
  <c r="U1479" i="3"/>
  <c r="U1478" i="3"/>
  <c r="U1477" i="3"/>
  <c r="U1476" i="3"/>
  <c r="U1475" i="3"/>
  <c r="U1474" i="3"/>
  <c r="U1473" i="3"/>
  <c r="U1472" i="3"/>
  <c r="U1471" i="3"/>
  <c r="U1470" i="3"/>
  <c r="U1469" i="3"/>
  <c r="U1468" i="3"/>
  <c r="U1467" i="3"/>
  <c r="U1466" i="3"/>
  <c r="U1465" i="3"/>
  <c r="U1464" i="3"/>
  <c r="U1463" i="3"/>
  <c r="U1462" i="3"/>
  <c r="U1461" i="3"/>
  <c r="U1460" i="3"/>
  <c r="U1459" i="3"/>
  <c r="U1458" i="3"/>
  <c r="U1457" i="3"/>
  <c r="U1456" i="3"/>
  <c r="U1455" i="3"/>
  <c r="U1454" i="3"/>
  <c r="U1453" i="3"/>
  <c r="U1452" i="3"/>
  <c r="U1451" i="3"/>
  <c r="U1450" i="3"/>
  <c r="U1449" i="3"/>
  <c r="U1448" i="3"/>
  <c r="U1447" i="3"/>
  <c r="U1446" i="3"/>
  <c r="U1445" i="3"/>
  <c r="U1444" i="3"/>
  <c r="U1443" i="3"/>
  <c r="U1442" i="3"/>
  <c r="U1441" i="3"/>
  <c r="U1440" i="3"/>
  <c r="U1439" i="3"/>
  <c r="U1438" i="3"/>
  <c r="U1437" i="3"/>
  <c r="U1436" i="3"/>
  <c r="U1435" i="3"/>
  <c r="U1434" i="3"/>
  <c r="U1433" i="3"/>
  <c r="U1432" i="3"/>
  <c r="U1431" i="3"/>
  <c r="U1430" i="3"/>
  <c r="U1429" i="3"/>
  <c r="U1428" i="3"/>
  <c r="U1427" i="3"/>
  <c r="U1426" i="3"/>
  <c r="U1425" i="3"/>
  <c r="U1424" i="3"/>
  <c r="U1423" i="3"/>
  <c r="U1422" i="3"/>
  <c r="U1421" i="3"/>
  <c r="U1420" i="3"/>
  <c r="U1419" i="3"/>
  <c r="U1418" i="3"/>
  <c r="U1417" i="3"/>
  <c r="U1416" i="3"/>
  <c r="U1415" i="3"/>
  <c r="U1414" i="3"/>
  <c r="U1413" i="3"/>
  <c r="U1412" i="3"/>
  <c r="U1411" i="3"/>
  <c r="U1410" i="3"/>
  <c r="U1409" i="3"/>
  <c r="U1408" i="3"/>
  <c r="U1407" i="3"/>
  <c r="U1406" i="3"/>
  <c r="U1405" i="3"/>
  <c r="U1404" i="3"/>
  <c r="U1403" i="3"/>
  <c r="U1402" i="3"/>
  <c r="U1401" i="3"/>
  <c r="U1400" i="3"/>
  <c r="U1399" i="3"/>
  <c r="U1398" i="3"/>
  <c r="U1397" i="3"/>
  <c r="U1396" i="3"/>
  <c r="U1395" i="3"/>
  <c r="U1394" i="3"/>
  <c r="U1393" i="3"/>
  <c r="U1392" i="3"/>
  <c r="U1391" i="3"/>
  <c r="U1390" i="3"/>
  <c r="U1389" i="3"/>
  <c r="U1388" i="3"/>
  <c r="U1387" i="3"/>
  <c r="U1386" i="3"/>
  <c r="U1385" i="3"/>
  <c r="U1384" i="3"/>
  <c r="U1383" i="3"/>
  <c r="U1382" i="3"/>
  <c r="U1381" i="3"/>
  <c r="U1380" i="3"/>
  <c r="U1379" i="3"/>
  <c r="U1378" i="3"/>
  <c r="U1377" i="3"/>
  <c r="U1376" i="3"/>
  <c r="U1375" i="3"/>
  <c r="U1374" i="3"/>
  <c r="U1373" i="3"/>
  <c r="U1372" i="3"/>
  <c r="U1371" i="3"/>
  <c r="U1370" i="3"/>
  <c r="U1369" i="3"/>
  <c r="U1368" i="3"/>
  <c r="U1367" i="3"/>
  <c r="U1366" i="3"/>
  <c r="U1365" i="3"/>
  <c r="U1364" i="3"/>
  <c r="U1363" i="3"/>
  <c r="U1362" i="3"/>
  <c r="U1361" i="3"/>
  <c r="U1360" i="3"/>
  <c r="U1359" i="3"/>
  <c r="U1358" i="3"/>
  <c r="U1357" i="3"/>
  <c r="U1356" i="3"/>
  <c r="U1355" i="3"/>
  <c r="U1354" i="3"/>
  <c r="U1353" i="3"/>
  <c r="U1352" i="3"/>
  <c r="U1351" i="3"/>
  <c r="U1350" i="3"/>
  <c r="U1349" i="3"/>
  <c r="U1348" i="3"/>
  <c r="U1347" i="3"/>
  <c r="U1346" i="3"/>
  <c r="U1345" i="3"/>
  <c r="U1344" i="3"/>
  <c r="U1343" i="3"/>
  <c r="U1342" i="3"/>
  <c r="U1341" i="3"/>
  <c r="U1340" i="3"/>
  <c r="U1339" i="3"/>
  <c r="U1338" i="3"/>
  <c r="U1337" i="3"/>
  <c r="U1336" i="3"/>
  <c r="U1335" i="3"/>
  <c r="U1334" i="3"/>
  <c r="U1333" i="3"/>
  <c r="U1332" i="3"/>
  <c r="U1331" i="3"/>
  <c r="U1330" i="3"/>
  <c r="U1329" i="3"/>
  <c r="U1328" i="3"/>
  <c r="U1327" i="3"/>
  <c r="U1326" i="3"/>
  <c r="U1325" i="3"/>
  <c r="U1324" i="3"/>
  <c r="U1323" i="3"/>
  <c r="U1322" i="3"/>
  <c r="U1321" i="3"/>
  <c r="U1320" i="3"/>
  <c r="U1319" i="3"/>
  <c r="U1318" i="3"/>
  <c r="U1317" i="3"/>
  <c r="U1316" i="3"/>
  <c r="U1315" i="3"/>
  <c r="U1314" i="3"/>
  <c r="U1313" i="3"/>
  <c r="U1312" i="3"/>
  <c r="U1311" i="3"/>
  <c r="U1310" i="3"/>
  <c r="U1309" i="3"/>
  <c r="U1308" i="3"/>
  <c r="U1307" i="3"/>
  <c r="U1306" i="3"/>
  <c r="U1305" i="3"/>
  <c r="U1304" i="3"/>
  <c r="U1303" i="3"/>
  <c r="U1302" i="3"/>
  <c r="U1301" i="3"/>
  <c r="U1300" i="3"/>
  <c r="U1299" i="3"/>
  <c r="U1298" i="3"/>
  <c r="U1297" i="3"/>
  <c r="U1296" i="3"/>
  <c r="U1295" i="3"/>
  <c r="U1294" i="3"/>
  <c r="U1293" i="3"/>
  <c r="U1292" i="3"/>
  <c r="U1291" i="3"/>
  <c r="U1290" i="3"/>
  <c r="U1289" i="3"/>
  <c r="U1288" i="3"/>
  <c r="U1287" i="3"/>
  <c r="U1286" i="3"/>
  <c r="U1285" i="3"/>
  <c r="U1284" i="3"/>
  <c r="U1283" i="3"/>
  <c r="U1282" i="3"/>
  <c r="U1281" i="3"/>
  <c r="U1280" i="3"/>
  <c r="U1279" i="3"/>
  <c r="U1278" i="3"/>
  <c r="U1277" i="3"/>
  <c r="U1276" i="3"/>
  <c r="U1275" i="3"/>
  <c r="U1274" i="3"/>
  <c r="U1273" i="3"/>
  <c r="U1272" i="3"/>
  <c r="U1271" i="3"/>
  <c r="U1270" i="3"/>
  <c r="U1269" i="3"/>
  <c r="U1268" i="3"/>
  <c r="U1267" i="3"/>
  <c r="U1266" i="3"/>
  <c r="U1265" i="3"/>
  <c r="U1264" i="3"/>
  <c r="U1263" i="3"/>
  <c r="U1262" i="3"/>
  <c r="U1261" i="3"/>
  <c r="U1260" i="3"/>
  <c r="U1259" i="3"/>
  <c r="U1258" i="3"/>
  <c r="U1257" i="3"/>
  <c r="U1256" i="3"/>
  <c r="U1255" i="3"/>
  <c r="U1254" i="3"/>
  <c r="U1253" i="3"/>
  <c r="U1252" i="3"/>
  <c r="U1251" i="3"/>
  <c r="U1250" i="3"/>
  <c r="U1249" i="3"/>
  <c r="U1248" i="3"/>
  <c r="U1247" i="3"/>
  <c r="U1246" i="3"/>
  <c r="U1245" i="3"/>
  <c r="U1244" i="3"/>
  <c r="U1243" i="3"/>
  <c r="U1242" i="3"/>
  <c r="U1241" i="3"/>
  <c r="U1240" i="3"/>
  <c r="U1239" i="3"/>
  <c r="U1238" i="3"/>
  <c r="U1237" i="3"/>
  <c r="U1236" i="3"/>
  <c r="U1235" i="3"/>
  <c r="U1234" i="3"/>
  <c r="U1233" i="3"/>
  <c r="U1232" i="3"/>
  <c r="U1231" i="3"/>
  <c r="U1230" i="3"/>
  <c r="U1229" i="3"/>
  <c r="U1228" i="3"/>
  <c r="U1227" i="3"/>
  <c r="U1226" i="3"/>
  <c r="U1225" i="3"/>
  <c r="U1224" i="3"/>
  <c r="U1223" i="3"/>
  <c r="U1222" i="3"/>
  <c r="U1221" i="3"/>
  <c r="U1220" i="3"/>
  <c r="U1219" i="3"/>
  <c r="U1218" i="3"/>
  <c r="U1217" i="3"/>
  <c r="U1216" i="3"/>
  <c r="U1215" i="3"/>
  <c r="U1214" i="3"/>
  <c r="U1213" i="3"/>
  <c r="U1212" i="3"/>
  <c r="U1211" i="3"/>
  <c r="U1210" i="3"/>
  <c r="U1209" i="3"/>
  <c r="U1208" i="3"/>
  <c r="U1207" i="3"/>
  <c r="U1206" i="3"/>
  <c r="U1205" i="3"/>
  <c r="U1204" i="3"/>
  <c r="U1203" i="3"/>
  <c r="U1202" i="3"/>
  <c r="U1201" i="3"/>
  <c r="U1200" i="3"/>
  <c r="U1199" i="3"/>
  <c r="U1198" i="3"/>
  <c r="U1197" i="3"/>
  <c r="U1196" i="3"/>
  <c r="U1195" i="3"/>
  <c r="U1194" i="3"/>
  <c r="U1193" i="3"/>
  <c r="U1192" i="3"/>
  <c r="U1191" i="3"/>
  <c r="U1190" i="3"/>
  <c r="U1189" i="3"/>
  <c r="U1188" i="3"/>
  <c r="U1187" i="3"/>
  <c r="U1186" i="3"/>
  <c r="U1185" i="3"/>
  <c r="U1184" i="3"/>
  <c r="U1183" i="3"/>
  <c r="U1182" i="3"/>
  <c r="U1181" i="3"/>
  <c r="U1180" i="3"/>
  <c r="U1179" i="3"/>
  <c r="U1178" i="3"/>
  <c r="U1177" i="3"/>
  <c r="U1176" i="3"/>
  <c r="U1175" i="3"/>
  <c r="U1174" i="3"/>
  <c r="U1173" i="3"/>
  <c r="U1172" i="3"/>
  <c r="U1171" i="3"/>
  <c r="U1170" i="3"/>
  <c r="U1169" i="3"/>
  <c r="U1168" i="3"/>
  <c r="U1167" i="3"/>
  <c r="U1166" i="3"/>
  <c r="U1165" i="3"/>
  <c r="U1164" i="3"/>
  <c r="U1163" i="3"/>
  <c r="U1162" i="3"/>
  <c r="U1161" i="3"/>
  <c r="U1160" i="3"/>
  <c r="U1159" i="3"/>
  <c r="U1158" i="3"/>
  <c r="U1157" i="3"/>
  <c r="U1156" i="3"/>
  <c r="U1155" i="3"/>
  <c r="U1154" i="3"/>
  <c r="U1153" i="3"/>
  <c r="U1152" i="3"/>
  <c r="U1151" i="3"/>
  <c r="U1150" i="3"/>
  <c r="U1149" i="3"/>
  <c r="U1148" i="3"/>
  <c r="U1147" i="3"/>
  <c r="U1146" i="3"/>
  <c r="U1145" i="3"/>
  <c r="U1144" i="3"/>
  <c r="U1143" i="3"/>
  <c r="U1142" i="3"/>
  <c r="U1141" i="3"/>
  <c r="U1140" i="3"/>
  <c r="U1139" i="3"/>
  <c r="U1138" i="3"/>
  <c r="U1137" i="3"/>
  <c r="U1136" i="3"/>
  <c r="U1135" i="3"/>
  <c r="U1134" i="3"/>
  <c r="U1133" i="3"/>
  <c r="U1132" i="3"/>
  <c r="U1131" i="3"/>
  <c r="U1130" i="3"/>
  <c r="U1129" i="3"/>
  <c r="U1128" i="3"/>
  <c r="U1127" i="3"/>
  <c r="U1126" i="3"/>
  <c r="U1125" i="3"/>
  <c r="U1124" i="3"/>
  <c r="U1123" i="3"/>
  <c r="U1122" i="3"/>
  <c r="U1121" i="3"/>
  <c r="U1120" i="3"/>
  <c r="U1119" i="3"/>
  <c r="U1118" i="3"/>
  <c r="U1117" i="3"/>
  <c r="U1116" i="3"/>
  <c r="U1115" i="3"/>
  <c r="U1114" i="3"/>
  <c r="U1113" i="3"/>
  <c r="U1112" i="3"/>
  <c r="U1111" i="3"/>
  <c r="U1110" i="3"/>
  <c r="U1109" i="3"/>
  <c r="U1108" i="3"/>
  <c r="U1107" i="3"/>
  <c r="U1106" i="3"/>
  <c r="U1105" i="3"/>
  <c r="U1104" i="3"/>
  <c r="U1103" i="3"/>
  <c r="U1102" i="3"/>
  <c r="U1101" i="3"/>
  <c r="U1100" i="3"/>
  <c r="U1099" i="3"/>
  <c r="U1098" i="3"/>
  <c r="U1097" i="3"/>
  <c r="U1096" i="3"/>
  <c r="U1095" i="3"/>
  <c r="U1094" i="3"/>
  <c r="U1093" i="3"/>
  <c r="U1092" i="3"/>
  <c r="U1091" i="3"/>
  <c r="U1090" i="3"/>
  <c r="U1089" i="3"/>
  <c r="U1088" i="3"/>
  <c r="U1087" i="3"/>
  <c r="U1086" i="3"/>
  <c r="U1085" i="3"/>
  <c r="U1084" i="3"/>
  <c r="U1083" i="3"/>
  <c r="U1082" i="3"/>
  <c r="U1081" i="3"/>
  <c r="U1080" i="3"/>
  <c r="U1079" i="3"/>
  <c r="U1078" i="3"/>
  <c r="U1077" i="3"/>
  <c r="U1076" i="3"/>
  <c r="U1075" i="3"/>
  <c r="U1074" i="3"/>
  <c r="U1073" i="3"/>
  <c r="U1072" i="3"/>
  <c r="U1071" i="3"/>
  <c r="U1070" i="3"/>
  <c r="U1069" i="3"/>
  <c r="U1068" i="3"/>
  <c r="U1067" i="3"/>
  <c r="U1066" i="3"/>
  <c r="U1065" i="3"/>
  <c r="U1064" i="3"/>
  <c r="U1063" i="3"/>
  <c r="U1062" i="3"/>
  <c r="U1061" i="3"/>
  <c r="U1060" i="3"/>
  <c r="U1059" i="3"/>
  <c r="U1058" i="3"/>
  <c r="U1057" i="3"/>
  <c r="U1056" i="3"/>
  <c r="U1055" i="3"/>
  <c r="U1054" i="3"/>
  <c r="U1053" i="3"/>
  <c r="U1052" i="3"/>
  <c r="U1051" i="3"/>
  <c r="U1050" i="3"/>
  <c r="U1049" i="3"/>
  <c r="U1048" i="3"/>
  <c r="U1047" i="3"/>
  <c r="U1046" i="3"/>
  <c r="U1045" i="3"/>
  <c r="U1044" i="3"/>
  <c r="U1043" i="3"/>
  <c r="U1042" i="3"/>
  <c r="U1041" i="3"/>
  <c r="U1040" i="3"/>
  <c r="U1039" i="3"/>
  <c r="U1038" i="3"/>
  <c r="U1037" i="3"/>
  <c r="U1036" i="3"/>
  <c r="U1035" i="3"/>
  <c r="U1034" i="3"/>
  <c r="U1033" i="3"/>
  <c r="U1032" i="3"/>
  <c r="U1031" i="3"/>
  <c r="U1030" i="3"/>
  <c r="U1029" i="3"/>
  <c r="U1028" i="3"/>
  <c r="U1027" i="3"/>
  <c r="U1026" i="3"/>
  <c r="U1025" i="3"/>
  <c r="U1024" i="3"/>
  <c r="U1023" i="3"/>
  <c r="U1022" i="3"/>
  <c r="U1021" i="3"/>
  <c r="U1020" i="3"/>
  <c r="U1019" i="3"/>
  <c r="U1018" i="3"/>
  <c r="U1017" i="3"/>
  <c r="U1016" i="3"/>
  <c r="U1015" i="3"/>
  <c r="U1014" i="3"/>
  <c r="U1013" i="3"/>
  <c r="U1012" i="3"/>
  <c r="U1011" i="3"/>
  <c r="U1010" i="3"/>
  <c r="U1009" i="3"/>
  <c r="U1008" i="3"/>
  <c r="U1007" i="3"/>
  <c r="U1006" i="3"/>
  <c r="U1005" i="3"/>
  <c r="U1004" i="3"/>
  <c r="U1003" i="3"/>
  <c r="U1002" i="3"/>
  <c r="U1001" i="3"/>
  <c r="U1000" i="3"/>
  <c r="U999" i="3"/>
  <c r="U998" i="3"/>
  <c r="U997" i="3"/>
  <c r="U996" i="3"/>
  <c r="U995" i="3"/>
  <c r="U994" i="3"/>
  <c r="U993" i="3"/>
  <c r="U992" i="3"/>
  <c r="U991" i="3"/>
  <c r="U990" i="3"/>
  <c r="U989" i="3"/>
  <c r="U988" i="3"/>
  <c r="U987" i="3"/>
  <c r="U986" i="3"/>
  <c r="U985" i="3"/>
  <c r="U984" i="3"/>
  <c r="U983" i="3"/>
  <c r="U982" i="3"/>
  <c r="U981" i="3"/>
  <c r="U980" i="3"/>
  <c r="U979" i="3"/>
  <c r="U978" i="3"/>
  <c r="U977" i="3"/>
  <c r="U976" i="3"/>
  <c r="U975" i="3"/>
  <c r="U974" i="3"/>
  <c r="U973" i="3"/>
  <c r="U972" i="3"/>
  <c r="U971" i="3"/>
  <c r="U970" i="3"/>
  <c r="U969" i="3"/>
  <c r="U968" i="3"/>
  <c r="U967" i="3"/>
  <c r="U966" i="3"/>
  <c r="U965" i="3"/>
  <c r="U964" i="3"/>
  <c r="U963" i="3"/>
  <c r="U962" i="3"/>
  <c r="U961" i="3"/>
  <c r="U960" i="3"/>
  <c r="U959" i="3"/>
  <c r="U958" i="3"/>
  <c r="U957" i="3"/>
  <c r="U956" i="3"/>
  <c r="U955" i="3"/>
  <c r="U954" i="3"/>
  <c r="U953" i="3"/>
  <c r="U952" i="3"/>
  <c r="U951" i="3"/>
  <c r="U950" i="3"/>
  <c r="U949" i="3"/>
  <c r="U948" i="3"/>
  <c r="U947" i="3"/>
  <c r="U946" i="3"/>
  <c r="U945" i="3"/>
  <c r="U944" i="3"/>
  <c r="U943" i="3"/>
  <c r="U942" i="3"/>
  <c r="U941" i="3"/>
  <c r="U940" i="3"/>
  <c r="U939" i="3"/>
  <c r="U938" i="3"/>
  <c r="U937" i="3"/>
  <c r="U936" i="3"/>
  <c r="U935" i="3"/>
  <c r="U934" i="3"/>
  <c r="U933" i="3"/>
  <c r="U932" i="3"/>
  <c r="U931" i="3"/>
  <c r="U930" i="3"/>
  <c r="U929" i="3"/>
  <c r="U928" i="3"/>
  <c r="U927" i="3"/>
  <c r="U926" i="3"/>
  <c r="U925" i="3"/>
  <c r="U924" i="3"/>
  <c r="U923" i="3"/>
  <c r="U922" i="3"/>
  <c r="U921" i="3"/>
  <c r="U920" i="3"/>
  <c r="U919" i="3"/>
  <c r="U918" i="3"/>
  <c r="U917" i="3"/>
  <c r="U916" i="3"/>
  <c r="U915" i="3"/>
  <c r="U914" i="3"/>
  <c r="U913" i="3"/>
  <c r="U912" i="3"/>
  <c r="U911" i="3"/>
  <c r="U910" i="3"/>
  <c r="U909" i="3"/>
  <c r="U908" i="3"/>
  <c r="U907" i="3"/>
  <c r="U906" i="3"/>
  <c r="U905" i="3"/>
  <c r="U904" i="3"/>
  <c r="U903" i="3"/>
  <c r="U902" i="3"/>
  <c r="U901" i="3"/>
  <c r="U900" i="3"/>
  <c r="U899" i="3"/>
  <c r="U898" i="3"/>
  <c r="U897" i="3"/>
  <c r="U896" i="3"/>
  <c r="U895" i="3"/>
  <c r="U894" i="3"/>
  <c r="U893" i="3"/>
  <c r="U892" i="3"/>
  <c r="U891" i="3"/>
  <c r="U890" i="3"/>
  <c r="U889" i="3"/>
  <c r="U888" i="3"/>
  <c r="U887" i="3"/>
  <c r="U886" i="3"/>
  <c r="U885" i="3"/>
  <c r="U884" i="3"/>
  <c r="U883" i="3"/>
  <c r="U882" i="3"/>
  <c r="U881" i="3"/>
  <c r="U880" i="3"/>
  <c r="U879" i="3"/>
  <c r="U878" i="3"/>
  <c r="U877" i="3"/>
  <c r="U876" i="3"/>
  <c r="U875" i="3"/>
  <c r="U874" i="3"/>
  <c r="U873" i="3"/>
  <c r="U872" i="3"/>
  <c r="U871" i="3"/>
  <c r="U870" i="3"/>
  <c r="U869" i="3"/>
  <c r="U868" i="3"/>
  <c r="U867" i="3"/>
  <c r="U866" i="3"/>
  <c r="U865" i="3"/>
  <c r="U864" i="3"/>
  <c r="U863" i="3"/>
  <c r="U862" i="3"/>
  <c r="U861" i="3"/>
  <c r="U860" i="3"/>
  <c r="U859" i="3"/>
  <c r="U858" i="3"/>
  <c r="U857" i="3"/>
  <c r="U856" i="3"/>
  <c r="U855" i="3"/>
  <c r="U854" i="3"/>
  <c r="U853" i="3"/>
  <c r="U852" i="3"/>
  <c r="U851" i="3"/>
  <c r="U850" i="3"/>
  <c r="U849" i="3"/>
  <c r="U848" i="3"/>
  <c r="U847" i="3"/>
  <c r="U846" i="3"/>
  <c r="U845" i="3"/>
  <c r="U844" i="3"/>
  <c r="U843" i="3"/>
  <c r="U842" i="3"/>
  <c r="U841" i="3"/>
  <c r="U840" i="3"/>
  <c r="U839" i="3"/>
  <c r="U838" i="3"/>
  <c r="U837" i="3"/>
  <c r="U836" i="3"/>
  <c r="U835" i="3"/>
  <c r="U834" i="3"/>
  <c r="U833" i="3"/>
  <c r="U832" i="3"/>
  <c r="U831" i="3"/>
  <c r="U830" i="3"/>
  <c r="U829" i="3"/>
  <c r="U828" i="3"/>
  <c r="U827" i="3"/>
  <c r="U826" i="3"/>
  <c r="U825" i="3"/>
  <c r="U824" i="3"/>
  <c r="U823" i="3"/>
  <c r="U822" i="3"/>
  <c r="U821" i="3"/>
  <c r="U820" i="3"/>
  <c r="U819" i="3"/>
  <c r="U818" i="3"/>
  <c r="U817" i="3"/>
  <c r="U816" i="3"/>
  <c r="U815" i="3"/>
  <c r="U814" i="3"/>
  <c r="U813" i="3"/>
  <c r="U812" i="3"/>
  <c r="U811" i="3"/>
  <c r="U810" i="3"/>
  <c r="U809" i="3"/>
  <c r="U808" i="3"/>
  <c r="U807" i="3"/>
  <c r="U806" i="3"/>
  <c r="U805" i="3"/>
  <c r="U804" i="3"/>
  <c r="U803" i="3"/>
  <c r="U802" i="3"/>
  <c r="U801" i="3"/>
  <c r="U800" i="3"/>
  <c r="U799" i="3"/>
  <c r="U798" i="3"/>
  <c r="U797" i="3"/>
  <c r="U796" i="3"/>
  <c r="U795" i="3"/>
  <c r="U794" i="3"/>
  <c r="U793" i="3"/>
  <c r="U792" i="3"/>
  <c r="U791" i="3"/>
  <c r="U790" i="3"/>
  <c r="U789" i="3"/>
  <c r="U788" i="3"/>
  <c r="U787" i="3"/>
  <c r="U786" i="3"/>
  <c r="U785" i="3"/>
  <c r="U784" i="3"/>
  <c r="U783" i="3"/>
  <c r="U782" i="3"/>
  <c r="U781" i="3"/>
  <c r="U780" i="3"/>
  <c r="U779" i="3"/>
  <c r="U778" i="3"/>
  <c r="U777" i="3"/>
  <c r="U776" i="3"/>
  <c r="U775" i="3"/>
  <c r="U774" i="3"/>
  <c r="U773" i="3"/>
  <c r="U772" i="3"/>
  <c r="U771" i="3"/>
  <c r="U770" i="3"/>
  <c r="U769" i="3"/>
  <c r="U768" i="3"/>
  <c r="U767" i="3"/>
  <c r="U766" i="3"/>
  <c r="U765" i="3"/>
  <c r="U764" i="3"/>
  <c r="U763" i="3"/>
  <c r="U762" i="3"/>
  <c r="U761" i="3"/>
  <c r="U760" i="3"/>
  <c r="U759" i="3"/>
  <c r="U758" i="3"/>
  <c r="U757" i="3"/>
  <c r="U756" i="3"/>
  <c r="U755" i="3"/>
  <c r="U754" i="3"/>
  <c r="U753" i="3"/>
  <c r="U752" i="3"/>
  <c r="U751" i="3"/>
  <c r="U750" i="3"/>
  <c r="U749" i="3"/>
  <c r="U748" i="3"/>
  <c r="U747" i="3"/>
  <c r="U746" i="3"/>
  <c r="U745" i="3"/>
  <c r="U744" i="3"/>
  <c r="U743" i="3"/>
  <c r="U742" i="3"/>
  <c r="U741" i="3"/>
  <c r="U740" i="3"/>
  <c r="U739" i="3"/>
  <c r="U738" i="3"/>
  <c r="U737" i="3"/>
  <c r="U736" i="3"/>
  <c r="U735" i="3"/>
  <c r="U734" i="3"/>
  <c r="U733" i="3"/>
  <c r="U732" i="3"/>
  <c r="U731" i="3"/>
  <c r="U730" i="3"/>
  <c r="U729" i="3"/>
  <c r="U728" i="3"/>
  <c r="U727" i="3"/>
  <c r="U726" i="3"/>
  <c r="U725" i="3"/>
  <c r="U724" i="3"/>
  <c r="U723" i="3"/>
  <c r="U722" i="3"/>
  <c r="U721" i="3"/>
  <c r="U720" i="3"/>
  <c r="U719" i="3"/>
  <c r="U718" i="3"/>
  <c r="U717" i="3"/>
  <c r="U716" i="3"/>
  <c r="U715" i="3"/>
  <c r="U714" i="3"/>
  <c r="U713" i="3"/>
  <c r="U712" i="3"/>
  <c r="U711" i="3"/>
  <c r="U710" i="3"/>
  <c r="U709" i="3"/>
  <c r="AD708" i="3"/>
  <c r="U708" i="3"/>
  <c r="AD707" i="3"/>
  <c r="U707" i="3"/>
  <c r="AD706" i="3"/>
  <c r="U706" i="3"/>
  <c r="AD705" i="3"/>
  <c r="U705" i="3"/>
  <c r="AD704" i="3"/>
  <c r="U704" i="3"/>
  <c r="AD703" i="3"/>
  <c r="U703" i="3"/>
  <c r="AD702" i="3"/>
  <c r="U702" i="3"/>
  <c r="AD701" i="3"/>
  <c r="U701" i="3"/>
  <c r="AD700" i="3"/>
  <c r="U700" i="3"/>
  <c r="AD699" i="3"/>
  <c r="U699" i="3"/>
  <c r="AD698" i="3"/>
  <c r="U698" i="3"/>
  <c r="AD697" i="3"/>
  <c r="U697" i="3"/>
  <c r="AD696" i="3"/>
  <c r="U696" i="3"/>
  <c r="AD695" i="3"/>
  <c r="U695" i="3"/>
  <c r="AD694" i="3"/>
  <c r="U694" i="3"/>
  <c r="AD693" i="3"/>
  <c r="U693" i="3"/>
  <c r="AD692" i="3"/>
  <c r="U692" i="3"/>
  <c r="AD691" i="3"/>
  <c r="U691" i="3"/>
  <c r="AD690" i="3"/>
  <c r="U690" i="3"/>
  <c r="AD689" i="3"/>
  <c r="U689" i="3"/>
  <c r="AD688" i="3"/>
  <c r="U688" i="3"/>
  <c r="AD687" i="3"/>
  <c r="U687" i="3"/>
  <c r="AD686" i="3"/>
  <c r="U686" i="3"/>
  <c r="AD685" i="3"/>
  <c r="U685" i="3"/>
  <c r="AD684" i="3"/>
  <c r="U684" i="3"/>
  <c r="AD683" i="3"/>
  <c r="U683" i="3"/>
  <c r="AD682" i="3"/>
  <c r="U682" i="3"/>
  <c r="AD681" i="3"/>
  <c r="U681" i="3"/>
  <c r="AD680" i="3"/>
  <c r="U680" i="3"/>
  <c r="AD679" i="3"/>
  <c r="U679" i="3"/>
  <c r="AD678" i="3"/>
  <c r="U678" i="3"/>
  <c r="AD677" i="3"/>
  <c r="U677" i="3"/>
  <c r="AD676" i="3"/>
  <c r="U676" i="3"/>
  <c r="AD675" i="3"/>
  <c r="U675" i="3"/>
  <c r="AD674" i="3"/>
  <c r="U674" i="3"/>
  <c r="AD673" i="3"/>
  <c r="U673" i="3"/>
  <c r="AD672" i="3"/>
  <c r="U672" i="3"/>
  <c r="AD671" i="3"/>
  <c r="U671" i="3"/>
  <c r="AD670" i="3"/>
  <c r="U670" i="3"/>
  <c r="AD669" i="3"/>
  <c r="U669" i="3"/>
  <c r="AD668" i="3"/>
  <c r="U668" i="3"/>
  <c r="AD667" i="3"/>
  <c r="U667" i="3"/>
  <c r="AD666" i="3"/>
  <c r="U666" i="3"/>
  <c r="AD665" i="3"/>
  <c r="U665" i="3"/>
  <c r="AD664" i="3"/>
  <c r="U664" i="3"/>
  <c r="AD663" i="3"/>
  <c r="U663" i="3"/>
  <c r="AD662" i="3"/>
  <c r="U662" i="3"/>
  <c r="AD661" i="3"/>
  <c r="U661" i="3"/>
  <c r="AD660" i="3"/>
  <c r="U660" i="3"/>
  <c r="AD659" i="3"/>
  <c r="U659" i="3"/>
  <c r="AD658" i="3"/>
  <c r="U658" i="3"/>
  <c r="AD657" i="3"/>
  <c r="U657" i="3"/>
  <c r="AD656" i="3"/>
  <c r="U656" i="3"/>
  <c r="AD655" i="3"/>
  <c r="U655" i="3"/>
  <c r="AD654" i="3"/>
  <c r="U654" i="3"/>
  <c r="AD653" i="3"/>
  <c r="U653" i="3"/>
  <c r="AD652" i="3"/>
  <c r="U652" i="3"/>
  <c r="AD651" i="3"/>
  <c r="U651" i="3"/>
  <c r="AD650" i="3"/>
  <c r="U650" i="3"/>
  <c r="AD649" i="3"/>
  <c r="U649" i="3"/>
  <c r="AD648" i="3"/>
  <c r="U648" i="3"/>
  <c r="AD647" i="3"/>
  <c r="U647" i="3"/>
  <c r="AD646" i="3"/>
  <c r="U646" i="3"/>
  <c r="AD645" i="3"/>
  <c r="U645" i="3"/>
  <c r="AD644" i="3"/>
  <c r="U644" i="3"/>
  <c r="AD643" i="3"/>
  <c r="U643" i="3"/>
  <c r="AD642" i="3"/>
  <c r="U642" i="3"/>
  <c r="AD641" i="3"/>
  <c r="U641" i="3"/>
  <c r="AD640" i="3"/>
  <c r="U640" i="3"/>
  <c r="AD639" i="3"/>
  <c r="U639" i="3"/>
  <c r="AD638" i="3"/>
  <c r="U638" i="3"/>
  <c r="AD637" i="3"/>
  <c r="U637" i="3"/>
  <c r="AD636" i="3"/>
  <c r="U636" i="3"/>
  <c r="AD635" i="3"/>
  <c r="U635" i="3"/>
  <c r="AD634" i="3"/>
  <c r="U634" i="3"/>
  <c r="AD633" i="3"/>
  <c r="U633" i="3"/>
  <c r="AD632" i="3"/>
  <c r="U632" i="3"/>
  <c r="AD631" i="3"/>
  <c r="U631" i="3"/>
  <c r="AD630" i="3"/>
  <c r="U630" i="3"/>
  <c r="AD629" i="3"/>
  <c r="U629" i="3"/>
  <c r="AD628" i="3"/>
  <c r="U628" i="3"/>
  <c r="AD627" i="3"/>
  <c r="U627" i="3"/>
  <c r="AD626" i="3"/>
  <c r="U626" i="3"/>
  <c r="AD625" i="3"/>
  <c r="U625" i="3"/>
  <c r="AD624" i="3"/>
  <c r="U624" i="3"/>
  <c r="AD623" i="3"/>
  <c r="U623" i="3"/>
  <c r="AD622" i="3"/>
  <c r="U622" i="3"/>
  <c r="AD621" i="3"/>
  <c r="U621" i="3"/>
  <c r="AD620" i="3"/>
  <c r="U620" i="3"/>
  <c r="AD619" i="3"/>
  <c r="U619" i="3"/>
  <c r="AD618" i="3"/>
  <c r="U618" i="3"/>
  <c r="AD617" i="3"/>
  <c r="U617" i="3"/>
  <c r="AD616" i="3"/>
  <c r="U616" i="3"/>
  <c r="AD615" i="3"/>
  <c r="U615" i="3"/>
  <c r="AD614" i="3"/>
  <c r="U614" i="3"/>
  <c r="AD613" i="3"/>
  <c r="U613" i="3"/>
  <c r="AD612" i="3"/>
  <c r="U612" i="3"/>
  <c r="AD611" i="3"/>
  <c r="U611" i="3"/>
  <c r="AD610" i="3"/>
  <c r="U610" i="3"/>
  <c r="AD609" i="3"/>
  <c r="U609" i="3"/>
  <c r="AD608" i="3"/>
  <c r="U608" i="3"/>
  <c r="AD607" i="3"/>
  <c r="U607" i="3"/>
  <c r="AD606" i="3"/>
  <c r="U606" i="3"/>
  <c r="AD605" i="3"/>
  <c r="U605" i="3"/>
  <c r="AD604" i="3"/>
  <c r="U604" i="3"/>
  <c r="AD603" i="3"/>
  <c r="U603" i="3"/>
  <c r="AD602" i="3"/>
  <c r="U602" i="3"/>
  <c r="AD601" i="3"/>
  <c r="U601" i="3"/>
  <c r="AD600" i="3"/>
  <c r="U600" i="3"/>
  <c r="AD599" i="3"/>
  <c r="U599" i="3"/>
  <c r="AD598" i="3"/>
  <c r="U598" i="3"/>
  <c r="AD597" i="3"/>
  <c r="U597" i="3"/>
  <c r="AD596" i="3"/>
  <c r="U596" i="3"/>
  <c r="AD595" i="3"/>
  <c r="U595" i="3"/>
  <c r="AD594" i="3"/>
  <c r="U594" i="3"/>
  <c r="AD593" i="3"/>
  <c r="U593" i="3"/>
  <c r="AD592" i="3"/>
  <c r="U592" i="3"/>
  <c r="AD591" i="3"/>
  <c r="U591" i="3"/>
  <c r="AD590" i="3"/>
  <c r="U590" i="3"/>
  <c r="AD589" i="3"/>
  <c r="U589" i="3"/>
  <c r="AD588" i="3"/>
  <c r="U588" i="3"/>
  <c r="AD587" i="3"/>
  <c r="U587" i="3"/>
  <c r="AD586" i="3"/>
  <c r="U586" i="3"/>
  <c r="AD585" i="3"/>
  <c r="U585" i="3"/>
  <c r="AD584" i="3"/>
  <c r="U584" i="3"/>
  <c r="AD583" i="3"/>
  <c r="U583" i="3"/>
  <c r="AD582" i="3"/>
  <c r="U582" i="3"/>
  <c r="AD581" i="3"/>
  <c r="U581" i="3"/>
  <c r="AD580" i="3"/>
  <c r="U580" i="3"/>
  <c r="AD579" i="3"/>
  <c r="U579" i="3"/>
  <c r="AD578" i="3"/>
  <c r="U578" i="3"/>
  <c r="AD577" i="3"/>
  <c r="U577" i="3"/>
  <c r="AD576" i="3"/>
  <c r="U576" i="3"/>
  <c r="AD575" i="3"/>
  <c r="U575" i="3"/>
  <c r="AD574" i="3"/>
  <c r="U574" i="3"/>
  <c r="AD573" i="3"/>
  <c r="U573" i="3"/>
  <c r="AD572" i="3"/>
  <c r="U572" i="3"/>
  <c r="AD571" i="3"/>
  <c r="U571" i="3"/>
  <c r="AD570" i="3"/>
  <c r="U570" i="3"/>
  <c r="AD569" i="3"/>
  <c r="U569" i="3"/>
  <c r="AD568" i="3"/>
  <c r="U568" i="3"/>
  <c r="AD567" i="3"/>
  <c r="U567" i="3"/>
  <c r="AD566" i="3"/>
  <c r="U566" i="3"/>
  <c r="AD565" i="3"/>
  <c r="U565" i="3"/>
  <c r="AD564" i="3"/>
  <c r="U564" i="3"/>
  <c r="AD563" i="3"/>
  <c r="U563" i="3"/>
  <c r="AD562" i="3"/>
  <c r="U562" i="3"/>
  <c r="AD561" i="3"/>
  <c r="U561" i="3"/>
  <c r="AD560" i="3"/>
  <c r="U560" i="3"/>
  <c r="AD559" i="3"/>
  <c r="U559" i="3"/>
  <c r="AD558" i="3"/>
  <c r="U558" i="3"/>
  <c r="AD557" i="3"/>
  <c r="U557" i="3"/>
  <c r="AD556" i="3"/>
  <c r="U556" i="3"/>
  <c r="AD555" i="3"/>
  <c r="U555" i="3"/>
  <c r="AD554" i="3"/>
  <c r="U554" i="3"/>
  <c r="AD553" i="3"/>
  <c r="U553" i="3"/>
  <c r="AD552" i="3"/>
  <c r="U552" i="3"/>
  <c r="AD551" i="3"/>
  <c r="U551" i="3"/>
  <c r="AD550" i="3"/>
  <c r="U550" i="3"/>
  <c r="AD549" i="3"/>
  <c r="U549" i="3"/>
  <c r="AD548" i="3"/>
  <c r="U548" i="3"/>
  <c r="AD547" i="3"/>
  <c r="U547" i="3"/>
  <c r="AD546" i="3"/>
  <c r="U546" i="3"/>
  <c r="AD545" i="3"/>
  <c r="U545" i="3"/>
  <c r="AD544" i="3"/>
  <c r="U544" i="3"/>
  <c r="AD543" i="3"/>
  <c r="U543" i="3"/>
  <c r="AD542" i="3"/>
  <c r="U542" i="3"/>
  <c r="AD541" i="3"/>
  <c r="U541" i="3"/>
  <c r="AD540" i="3"/>
  <c r="U540" i="3"/>
  <c r="AD539" i="3"/>
  <c r="U539" i="3"/>
  <c r="AD538" i="3"/>
  <c r="U538" i="3"/>
  <c r="AD537" i="3"/>
  <c r="U537" i="3"/>
  <c r="AD536" i="3"/>
  <c r="U536" i="3"/>
  <c r="AD535" i="3"/>
  <c r="U535" i="3"/>
  <c r="AD534" i="3"/>
  <c r="U534" i="3"/>
  <c r="AD533" i="3"/>
  <c r="U533" i="3"/>
  <c r="AD532" i="3"/>
  <c r="U532" i="3"/>
  <c r="AD531" i="3"/>
  <c r="U531" i="3"/>
  <c r="AD530" i="3"/>
  <c r="U530" i="3"/>
  <c r="AD529" i="3"/>
  <c r="U529" i="3"/>
  <c r="AD528" i="3"/>
  <c r="U528" i="3"/>
  <c r="AD527" i="3"/>
  <c r="U527" i="3"/>
  <c r="AD526" i="3"/>
  <c r="U526" i="3"/>
  <c r="AD525" i="3"/>
  <c r="U525" i="3"/>
  <c r="AD524" i="3"/>
  <c r="U524" i="3"/>
  <c r="AD523" i="3"/>
  <c r="U523" i="3"/>
  <c r="AD522" i="3"/>
  <c r="U522" i="3"/>
  <c r="AD521" i="3"/>
  <c r="U521" i="3"/>
  <c r="AD520" i="3"/>
  <c r="U520" i="3"/>
  <c r="AD519" i="3"/>
  <c r="U519" i="3"/>
  <c r="AD518" i="3"/>
  <c r="U518" i="3"/>
  <c r="AD517" i="3"/>
  <c r="U517" i="3"/>
  <c r="AD516" i="3"/>
  <c r="U516" i="3"/>
  <c r="AD515" i="3"/>
  <c r="U515" i="3"/>
  <c r="AD514" i="3"/>
  <c r="U514" i="3"/>
  <c r="AD513" i="3"/>
  <c r="U513" i="3"/>
  <c r="AD512" i="3"/>
  <c r="U512" i="3"/>
  <c r="AD511" i="3"/>
  <c r="U511" i="3"/>
  <c r="AD510" i="3"/>
  <c r="U510" i="3"/>
  <c r="AD509" i="3"/>
  <c r="U509" i="3"/>
  <c r="AD508" i="3"/>
  <c r="U508" i="3"/>
  <c r="AD507" i="3"/>
  <c r="U507" i="3"/>
  <c r="AD506" i="3"/>
  <c r="U506" i="3"/>
  <c r="AD505" i="3"/>
  <c r="U505" i="3"/>
  <c r="AD504" i="3"/>
  <c r="U504" i="3"/>
  <c r="AD503" i="3"/>
  <c r="U503" i="3"/>
  <c r="AD502" i="3"/>
  <c r="U502" i="3"/>
  <c r="AD501" i="3"/>
  <c r="U501" i="3"/>
  <c r="AD500" i="3"/>
  <c r="U500" i="3"/>
  <c r="AD499" i="3"/>
  <c r="U499" i="3"/>
  <c r="AD498" i="3"/>
  <c r="U498" i="3"/>
  <c r="AD497" i="3"/>
  <c r="U497" i="3"/>
  <c r="AD496" i="3"/>
  <c r="U496" i="3"/>
  <c r="AD495" i="3"/>
  <c r="U495" i="3"/>
  <c r="AD494" i="3"/>
  <c r="U494" i="3"/>
  <c r="AD493" i="3"/>
  <c r="U493" i="3"/>
  <c r="AD492" i="3"/>
  <c r="U492" i="3"/>
  <c r="AD491" i="3"/>
  <c r="U491" i="3"/>
  <c r="AD490" i="3"/>
  <c r="U490" i="3"/>
  <c r="AD489" i="3"/>
  <c r="U489" i="3"/>
  <c r="AD488" i="3"/>
  <c r="U488" i="3"/>
  <c r="AD487" i="3"/>
  <c r="U487" i="3"/>
  <c r="AD486" i="3"/>
  <c r="U486" i="3"/>
  <c r="AD485" i="3"/>
  <c r="U485" i="3"/>
  <c r="AD484" i="3"/>
  <c r="U484" i="3"/>
  <c r="AD483" i="3"/>
  <c r="U483" i="3"/>
  <c r="AD482" i="3"/>
  <c r="U482" i="3"/>
  <c r="AD481" i="3"/>
  <c r="U481" i="3"/>
  <c r="AD480" i="3"/>
  <c r="U480" i="3"/>
  <c r="AD479" i="3"/>
  <c r="U479" i="3"/>
  <c r="AD478" i="3"/>
  <c r="U478" i="3"/>
  <c r="AD477" i="3"/>
  <c r="U477" i="3"/>
  <c r="AD476" i="3"/>
  <c r="U476" i="3"/>
  <c r="AD475" i="3"/>
  <c r="U475" i="3"/>
  <c r="AD474" i="3"/>
  <c r="U474" i="3"/>
  <c r="AD473" i="3"/>
  <c r="U473" i="3"/>
  <c r="AD472" i="3"/>
  <c r="U472" i="3"/>
  <c r="AD471" i="3"/>
  <c r="U471" i="3"/>
  <c r="AD470" i="3"/>
  <c r="U470" i="3"/>
  <c r="AD469" i="3"/>
  <c r="U469" i="3"/>
  <c r="AD468" i="3"/>
  <c r="U468" i="3"/>
  <c r="AD467" i="3"/>
  <c r="U467" i="3"/>
  <c r="AD466" i="3"/>
  <c r="U466" i="3"/>
  <c r="AD465" i="3"/>
  <c r="U465" i="3"/>
  <c r="AD464" i="3"/>
  <c r="U464" i="3"/>
  <c r="AD463" i="3"/>
  <c r="U463" i="3"/>
  <c r="AD462" i="3"/>
  <c r="U462" i="3"/>
  <c r="AD461" i="3"/>
  <c r="U461" i="3"/>
  <c r="AD460" i="3"/>
  <c r="U460" i="3"/>
  <c r="AD459" i="3"/>
  <c r="U459" i="3"/>
  <c r="AD458" i="3"/>
  <c r="U458" i="3"/>
  <c r="AD457" i="3"/>
  <c r="U457" i="3"/>
  <c r="AD456" i="3"/>
  <c r="U456" i="3"/>
  <c r="AD455" i="3"/>
  <c r="U455" i="3"/>
  <c r="AD454" i="3"/>
  <c r="U454" i="3"/>
  <c r="AD453" i="3"/>
  <c r="U453" i="3"/>
  <c r="AD452" i="3"/>
  <c r="U452" i="3"/>
  <c r="AD451" i="3"/>
  <c r="U451" i="3"/>
  <c r="AD450" i="3"/>
  <c r="U450" i="3"/>
  <c r="AD449" i="3"/>
  <c r="U449" i="3"/>
  <c r="AD448" i="3"/>
  <c r="U448" i="3"/>
  <c r="AD447" i="3"/>
  <c r="U447" i="3"/>
  <c r="AD446" i="3"/>
  <c r="U446" i="3"/>
  <c r="AD445" i="3"/>
  <c r="U445" i="3"/>
  <c r="AD444" i="3"/>
  <c r="U444" i="3"/>
  <c r="AD443" i="3"/>
  <c r="U443" i="3"/>
  <c r="AD442" i="3"/>
  <c r="U442" i="3"/>
  <c r="AD441" i="3"/>
  <c r="U441" i="3"/>
  <c r="AD440" i="3"/>
  <c r="U440" i="3"/>
  <c r="AD439" i="3"/>
  <c r="U439" i="3"/>
  <c r="AD438" i="3"/>
  <c r="U438" i="3"/>
  <c r="AD437" i="3"/>
  <c r="U437" i="3"/>
  <c r="AD436" i="3"/>
  <c r="U436" i="3"/>
  <c r="AD435" i="3"/>
  <c r="U435" i="3"/>
  <c r="AD434" i="3"/>
  <c r="U434" i="3"/>
  <c r="AD433" i="3"/>
  <c r="U433" i="3"/>
  <c r="AD432" i="3"/>
  <c r="U432" i="3"/>
  <c r="AD431" i="3"/>
  <c r="U431" i="3"/>
  <c r="AD430" i="3"/>
  <c r="U430" i="3"/>
  <c r="AD429" i="3"/>
  <c r="U429" i="3"/>
  <c r="AD428" i="3"/>
  <c r="U428" i="3"/>
  <c r="AD427" i="3"/>
  <c r="U427" i="3"/>
  <c r="AD426" i="3"/>
  <c r="U426" i="3"/>
  <c r="AD425" i="3"/>
  <c r="U425" i="3"/>
  <c r="AD424" i="3"/>
  <c r="U424" i="3"/>
  <c r="AD423" i="3"/>
  <c r="U423" i="3"/>
  <c r="AD422" i="3"/>
  <c r="U422" i="3"/>
  <c r="AD421" i="3"/>
  <c r="U421" i="3"/>
  <c r="AD420" i="3"/>
  <c r="U420" i="3"/>
  <c r="AD419" i="3"/>
  <c r="U419" i="3"/>
  <c r="AD418" i="3"/>
  <c r="U418" i="3"/>
  <c r="AD417" i="3"/>
  <c r="U417" i="3"/>
  <c r="AD416" i="3"/>
  <c r="U416" i="3"/>
  <c r="AD415" i="3"/>
  <c r="U415" i="3"/>
  <c r="AD414" i="3"/>
  <c r="U414" i="3"/>
  <c r="AD413" i="3"/>
  <c r="U413" i="3"/>
  <c r="AD412" i="3"/>
  <c r="U412" i="3"/>
  <c r="AD411" i="3"/>
  <c r="U411" i="3"/>
  <c r="AD410" i="3"/>
  <c r="U410" i="3"/>
  <c r="AD409" i="3"/>
  <c r="U409" i="3"/>
  <c r="AD408" i="3"/>
  <c r="U408" i="3"/>
  <c r="AD407" i="3"/>
  <c r="U407" i="3"/>
  <c r="AD406" i="3"/>
  <c r="U406" i="3"/>
  <c r="AD405" i="3"/>
  <c r="U405" i="3"/>
  <c r="AD404" i="3"/>
  <c r="U404" i="3"/>
  <c r="AD403" i="3"/>
  <c r="U403" i="3"/>
  <c r="AD402" i="3"/>
  <c r="U402" i="3"/>
  <c r="AD401" i="3"/>
  <c r="U401" i="3"/>
  <c r="AD400" i="3"/>
  <c r="U400" i="3"/>
  <c r="AD399" i="3"/>
  <c r="U399" i="3"/>
  <c r="AD398" i="3"/>
  <c r="U398" i="3"/>
  <c r="AD397" i="3"/>
  <c r="U397" i="3"/>
  <c r="AD396" i="3"/>
  <c r="U396" i="3"/>
  <c r="AD395" i="3"/>
  <c r="U395" i="3"/>
  <c r="AD394" i="3"/>
  <c r="U394" i="3"/>
  <c r="AD393" i="3"/>
  <c r="U393" i="3"/>
  <c r="AD392" i="3"/>
  <c r="U392" i="3"/>
  <c r="AD391" i="3"/>
  <c r="U391" i="3"/>
  <c r="AD390" i="3"/>
  <c r="U390" i="3"/>
  <c r="AD389" i="3"/>
  <c r="U389" i="3"/>
  <c r="AD388" i="3"/>
  <c r="U388" i="3"/>
  <c r="AD387" i="3"/>
  <c r="U387" i="3"/>
  <c r="AD386" i="3"/>
  <c r="U386" i="3"/>
  <c r="AD385" i="3"/>
  <c r="U385" i="3"/>
  <c r="AD384" i="3"/>
  <c r="U384" i="3"/>
  <c r="AD383" i="3"/>
  <c r="U383" i="3"/>
  <c r="AD382" i="3"/>
  <c r="U382" i="3"/>
  <c r="AD381" i="3"/>
  <c r="U381" i="3"/>
  <c r="AD380" i="3"/>
  <c r="U380" i="3"/>
  <c r="AD379" i="3"/>
  <c r="U379" i="3"/>
  <c r="AD378" i="3"/>
  <c r="U378" i="3"/>
  <c r="AD377" i="3"/>
  <c r="U377" i="3"/>
  <c r="AD376" i="3"/>
  <c r="U376" i="3"/>
  <c r="AD375" i="3"/>
  <c r="U375" i="3"/>
  <c r="AD374" i="3"/>
  <c r="U374" i="3"/>
  <c r="AD373" i="3"/>
  <c r="U373" i="3"/>
  <c r="AD372" i="3"/>
  <c r="U372" i="3"/>
  <c r="AD371" i="3"/>
  <c r="U371" i="3"/>
  <c r="AD370" i="3"/>
  <c r="U370" i="3"/>
  <c r="AD369" i="3"/>
  <c r="U369" i="3"/>
  <c r="AD368" i="3"/>
  <c r="U368" i="3"/>
  <c r="AD367" i="3"/>
  <c r="U367" i="3"/>
  <c r="AD366" i="3"/>
  <c r="U366" i="3"/>
  <c r="AD365" i="3"/>
  <c r="U365" i="3"/>
  <c r="AD364" i="3"/>
  <c r="U364" i="3"/>
  <c r="AD363" i="3"/>
  <c r="U363" i="3"/>
  <c r="AD362" i="3"/>
  <c r="U362" i="3"/>
  <c r="AD361" i="3"/>
  <c r="U361" i="3"/>
  <c r="AD360" i="3"/>
  <c r="U360" i="3"/>
  <c r="AD359" i="3"/>
  <c r="U359" i="3"/>
  <c r="AD358" i="3"/>
  <c r="U358" i="3"/>
  <c r="AD357" i="3"/>
  <c r="U357" i="3"/>
  <c r="AD356" i="3"/>
  <c r="U356" i="3"/>
  <c r="AD355" i="3"/>
  <c r="U355" i="3"/>
  <c r="AD354" i="3"/>
  <c r="U354" i="3"/>
  <c r="AD353" i="3"/>
  <c r="U353" i="3"/>
  <c r="AD352" i="3"/>
  <c r="U352" i="3"/>
  <c r="AD351" i="3"/>
  <c r="U351" i="3"/>
  <c r="AD350" i="3"/>
  <c r="U350" i="3"/>
  <c r="AD349" i="3"/>
  <c r="U349" i="3"/>
  <c r="AD348" i="3"/>
  <c r="U348" i="3"/>
  <c r="AD347" i="3"/>
  <c r="U347" i="3"/>
  <c r="AD346" i="3"/>
  <c r="U346" i="3"/>
  <c r="AD345" i="3"/>
  <c r="U345" i="3"/>
  <c r="AD344" i="3"/>
  <c r="U344" i="3"/>
  <c r="AD343" i="3"/>
  <c r="U343" i="3"/>
  <c r="AD342" i="3"/>
  <c r="U342" i="3"/>
  <c r="AD341" i="3"/>
  <c r="U341" i="3"/>
  <c r="AD340" i="3"/>
  <c r="U340" i="3"/>
  <c r="AD339" i="3"/>
  <c r="U339" i="3"/>
  <c r="AD338" i="3"/>
  <c r="U338" i="3"/>
  <c r="AD337" i="3"/>
  <c r="U337" i="3"/>
  <c r="AD336" i="3"/>
  <c r="U336" i="3"/>
  <c r="AD335" i="3"/>
  <c r="U335" i="3"/>
  <c r="AD334" i="3"/>
  <c r="U334" i="3"/>
  <c r="AD333" i="3"/>
  <c r="U333" i="3"/>
  <c r="AD332" i="3"/>
  <c r="U332" i="3"/>
  <c r="AD331" i="3"/>
  <c r="U331" i="3"/>
  <c r="AD330" i="3"/>
  <c r="U330" i="3"/>
  <c r="AD329" i="3"/>
  <c r="U329" i="3"/>
  <c r="AD328" i="3"/>
  <c r="U328" i="3"/>
  <c r="AD327" i="3"/>
  <c r="U327" i="3"/>
  <c r="AD326" i="3"/>
  <c r="U326" i="3"/>
  <c r="AD325" i="3"/>
  <c r="U325" i="3"/>
  <c r="AD324" i="3"/>
  <c r="U324" i="3"/>
  <c r="AD323" i="3"/>
  <c r="U323" i="3"/>
  <c r="AD322" i="3"/>
  <c r="U322" i="3"/>
  <c r="AD321" i="3"/>
  <c r="U321" i="3"/>
  <c r="AD320" i="3"/>
  <c r="U320" i="3"/>
  <c r="AD319" i="3"/>
  <c r="U319" i="3"/>
  <c r="AD318" i="3"/>
  <c r="U318" i="3"/>
  <c r="AD317" i="3"/>
  <c r="U317" i="3"/>
  <c r="AD316" i="3"/>
  <c r="U316" i="3"/>
  <c r="AD315" i="3"/>
  <c r="U315" i="3"/>
  <c r="AD314" i="3"/>
  <c r="U314" i="3"/>
  <c r="AD313" i="3"/>
  <c r="U313" i="3"/>
  <c r="AD312" i="3"/>
  <c r="U312" i="3"/>
  <c r="AD311" i="3"/>
  <c r="U311" i="3"/>
  <c r="AD310" i="3"/>
  <c r="U310" i="3"/>
  <c r="AD309" i="3"/>
  <c r="U309" i="3"/>
  <c r="AD308" i="3"/>
  <c r="U308" i="3"/>
  <c r="AD307" i="3"/>
  <c r="U307" i="3"/>
  <c r="AD306" i="3"/>
  <c r="U306" i="3"/>
  <c r="AD305" i="3"/>
  <c r="U305" i="3"/>
  <c r="AD304" i="3"/>
  <c r="U304" i="3"/>
  <c r="AD303" i="3"/>
  <c r="U303" i="3"/>
  <c r="AD302" i="3"/>
  <c r="U302" i="3"/>
  <c r="AD301" i="3"/>
  <c r="U301" i="3"/>
  <c r="AD300" i="3"/>
  <c r="U300" i="3"/>
  <c r="AD299" i="3"/>
  <c r="U299" i="3"/>
  <c r="AD298" i="3"/>
  <c r="U298" i="3"/>
  <c r="AD297" i="3"/>
  <c r="U297" i="3"/>
  <c r="AD296" i="3"/>
  <c r="U296" i="3"/>
  <c r="AD295" i="3"/>
  <c r="U295" i="3"/>
  <c r="AD294" i="3"/>
  <c r="U294" i="3"/>
  <c r="AD293" i="3"/>
  <c r="U293" i="3"/>
  <c r="AD292" i="3"/>
  <c r="U292" i="3"/>
  <c r="AD291" i="3"/>
  <c r="U291" i="3"/>
  <c r="AD290" i="3"/>
  <c r="U290" i="3"/>
  <c r="AD289" i="3"/>
  <c r="U289" i="3"/>
  <c r="AD288" i="3"/>
  <c r="U288" i="3"/>
  <c r="AD287" i="3"/>
  <c r="U287" i="3"/>
  <c r="AD286" i="3"/>
  <c r="U286" i="3"/>
  <c r="AD285" i="3"/>
  <c r="U285" i="3"/>
  <c r="AD284" i="3"/>
  <c r="U284" i="3"/>
  <c r="AD283" i="3"/>
  <c r="U283" i="3"/>
  <c r="AD282" i="3"/>
  <c r="U282" i="3"/>
  <c r="AD281" i="3"/>
  <c r="U281" i="3"/>
  <c r="AD280" i="3"/>
  <c r="U280" i="3"/>
  <c r="AD279" i="3"/>
  <c r="U279" i="3"/>
  <c r="AD278" i="3"/>
  <c r="U278" i="3"/>
  <c r="AD277" i="3"/>
  <c r="U277" i="3"/>
  <c r="AD276" i="3"/>
  <c r="U276" i="3"/>
  <c r="AD275" i="3"/>
  <c r="U275" i="3"/>
  <c r="AD274" i="3"/>
  <c r="U274" i="3"/>
  <c r="AD273" i="3"/>
  <c r="U273" i="3"/>
  <c r="AD272" i="3"/>
  <c r="U272" i="3"/>
  <c r="AD271" i="3"/>
  <c r="U271" i="3"/>
  <c r="AD270" i="3"/>
  <c r="U270" i="3"/>
  <c r="AD269" i="3"/>
  <c r="U269" i="3"/>
  <c r="AD268" i="3"/>
  <c r="U268" i="3"/>
  <c r="AD267" i="3"/>
  <c r="U267" i="3"/>
  <c r="AD266" i="3"/>
  <c r="U266" i="3"/>
  <c r="AD265" i="3"/>
  <c r="U265" i="3"/>
  <c r="AD264" i="3"/>
  <c r="U264" i="3"/>
  <c r="AD263" i="3"/>
  <c r="U263" i="3"/>
  <c r="AD262" i="3"/>
  <c r="U262" i="3"/>
  <c r="AD261" i="3"/>
  <c r="U261" i="3"/>
  <c r="AD260" i="3"/>
  <c r="U260" i="3"/>
  <c r="AD259" i="3"/>
  <c r="U259" i="3"/>
  <c r="AD258" i="3"/>
  <c r="U258" i="3"/>
  <c r="AD257" i="3"/>
  <c r="U257" i="3"/>
  <c r="AD256" i="3"/>
  <c r="U256" i="3"/>
  <c r="AD255" i="3"/>
  <c r="U255" i="3"/>
  <c r="AD254" i="3"/>
  <c r="U254" i="3"/>
  <c r="AD253" i="3"/>
  <c r="U253" i="3"/>
  <c r="AD252" i="3"/>
  <c r="U252" i="3"/>
  <c r="AD251" i="3"/>
  <c r="U251" i="3"/>
  <c r="AD250" i="3"/>
  <c r="U250" i="3"/>
  <c r="AD249" i="3"/>
  <c r="U249" i="3"/>
  <c r="AD248" i="3"/>
  <c r="U248" i="3"/>
  <c r="AD247" i="3"/>
  <c r="U247" i="3"/>
  <c r="AD246" i="3"/>
  <c r="U246" i="3"/>
  <c r="AD245" i="3"/>
  <c r="U245" i="3"/>
  <c r="AD244" i="3"/>
  <c r="U244" i="3"/>
  <c r="AD243" i="3"/>
  <c r="U243" i="3"/>
  <c r="AD242" i="3"/>
  <c r="U242" i="3"/>
  <c r="AD241" i="3"/>
  <c r="U241" i="3"/>
  <c r="AD240" i="3"/>
  <c r="U240" i="3"/>
  <c r="AD239" i="3"/>
  <c r="U239" i="3"/>
  <c r="AD238" i="3"/>
  <c r="U238" i="3"/>
  <c r="AD237" i="3"/>
  <c r="U237" i="3"/>
  <c r="AD236" i="3"/>
  <c r="U236" i="3"/>
  <c r="AD235" i="3"/>
  <c r="U235" i="3"/>
  <c r="AD234" i="3"/>
  <c r="U234" i="3"/>
  <c r="AD233" i="3"/>
  <c r="U233" i="3"/>
  <c r="AD232" i="3"/>
  <c r="U232" i="3"/>
  <c r="AD231" i="3"/>
  <c r="U231" i="3"/>
  <c r="AD230" i="3"/>
  <c r="U230" i="3"/>
  <c r="AD229" i="3"/>
  <c r="U229" i="3"/>
  <c r="AD228" i="3"/>
  <c r="U228" i="3"/>
  <c r="AD227" i="3"/>
  <c r="U227" i="3"/>
  <c r="AD226" i="3"/>
  <c r="U226" i="3"/>
  <c r="AD225" i="3"/>
  <c r="U225" i="3"/>
  <c r="AD224" i="3"/>
  <c r="U224" i="3"/>
  <c r="AD223" i="3"/>
  <c r="U223" i="3"/>
  <c r="AD222" i="3"/>
  <c r="U222" i="3"/>
  <c r="AD221" i="3"/>
  <c r="U221" i="3"/>
  <c r="AD220" i="3"/>
  <c r="U220" i="3"/>
  <c r="AD219" i="3"/>
  <c r="U219" i="3"/>
  <c r="AD218" i="3"/>
  <c r="U218" i="3"/>
  <c r="AD217" i="3"/>
  <c r="U217" i="3"/>
  <c r="AD216" i="3"/>
  <c r="U216" i="3"/>
  <c r="AD215" i="3"/>
  <c r="U215" i="3"/>
  <c r="AD214" i="3"/>
  <c r="U214" i="3"/>
  <c r="AD213" i="3"/>
  <c r="U213" i="3"/>
  <c r="AD212" i="3"/>
  <c r="U212" i="3"/>
  <c r="AD211" i="3"/>
  <c r="U211" i="3"/>
  <c r="AD210" i="3"/>
  <c r="U210" i="3"/>
  <c r="AD209" i="3"/>
  <c r="U209" i="3"/>
  <c r="AD208" i="3"/>
  <c r="U208" i="3"/>
  <c r="AD207" i="3"/>
  <c r="U207" i="3"/>
  <c r="AD206" i="3"/>
  <c r="U206" i="3"/>
  <c r="AD205" i="3"/>
  <c r="U205" i="3"/>
  <c r="AD204" i="3"/>
  <c r="U204" i="3"/>
  <c r="AD203" i="3"/>
  <c r="U203" i="3"/>
  <c r="AD202" i="3"/>
  <c r="U202" i="3"/>
  <c r="AD201" i="3"/>
  <c r="U201" i="3"/>
  <c r="AD200" i="3"/>
  <c r="U200" i="3"/>
  <c r="AD199" i="3"/>
  <c r="U199" i="3"/>
  <c r="AD198" i="3"/>
  <c r="U198" i="3"/>
  <c r="AD197" i="3"/>
  <c r="U197" i="3"/>
  <c r="AD196" i="3"/>
  <c r="U196" i="3"/>
  <c r="AD195" i="3"/>
  <c r="U195" i="3"/>
  <c r="AD194" i="3"/>
  <c r="U194" i="3"/>
  <c r="AD193" i="3"/>
  <c r="U193" i="3"/>
  <c r="AD192" i="3"/>
  <c r="U192" i="3"/>
  <c r="AD191" i="3"/>
  <c r="U191" i="3"/>
  <c r="AD190" i="3"/>
  <c r="U190" i="3"/>
  <c r="AD189" i="3"/>
  <c r="U189" i="3"/>
  <c r="AD188" i="3"/>
  <c r="U188" i="3"/>
  <c r="AD187" i="3"/>
  <c r="U187" i="3"/>
  <c r="AD186" i="3"/>
  <c r="U186" i="3"/>
  <c r="AD185" i="3"/>
  <c r="U185" i="3"/>
  <c r="AD184" i="3"/>
  <c r="U184" i="3"/>
  <c r="AD183" i="3"/>
  <c r="U183" i="3"/>
  <c r="AD182" i="3"/>
  <c r="U182" i="3"/>
  <c r="AD181" i="3"/>
  <c r="U181" i="3"/>
  <c r="AD180" i="3"/>
  <c r="U180" i="3"/>
  <c r="AD179" i="3"/>
  <c r="U179" i="3"/>
  <c r="AD178" i="3"/>
  <c r="U178" i="3"/>
  <c r="AD177" i="3"/>
  <c r="U177" i="3"/>
  <c r="AD176" i="3"/>
  <c r="U176" i="3"/>
  <c r="AD175" i="3"/>
  <c r="U175" i="3"/>
  <c r="AD174" i="3"/>
  <c r="U174" i="3"/>
  <c r="AD173" i="3"/>
  <c r="U173" i="3"/>
  <c r="AD172" i="3"/>
  <c r="U172" i="3"/>
  <c r="AD171" i="3"/>
  <c r="U171" i="3"/>
  <c r="AD170" i="3"/>
  <c r="U170" i="3"/>
  <c r="AD169" i="3"/>
  <c r="U169" i="3"/>
  <c r="AD168" i="3"/>
  <c r="U168" i="3"/>
  <c r="AD167" i="3"/>
  <c r="U167" i="3"/>
  <c r="AD166" i="3"/>
  <c r="U166" i="3"/>
  <c r="AD165" i="3"/>
  <c r="U165" i="3"/>
  <c r="AD164" i="3"/>
  <c r="U164" i="3"/>
  <c r="AD163" i="3"/>
  <c r="U163" i="3"/>
  <c r="AD162" i="3"/>
  <c r="U162" i="3"/>
  <c r="AD161" i="3"/>
  <c r="U161" i="3"/>
  <c r="AD160" i="3"/>
  <c r="U160" i="3"/>
  <c r="AD159" i="3"/>
  <c r="U159" i="3"/>
  <c r="AD158" i="3"/>
  <c r="U158" i="3"/>
  <c r="AD157" i="3"/>
  <c r="U157" i="3"/>
  <c r="AD156" i="3"/>
  <c r="U156" i="3"/>
  <c r="AD155" i="3"/>
  <c r="U155" i="3"/>
  <c r="AD154" i="3"/>
  <c r="U154" i="3"/>
  <c r="AD153" i="3"/>
  <c r="U153" i="3"/>
  <c r="AD152" i="3"/>
  <c r="U152" i="3"/>
  <c r="AD151" i="3"/>
  <c r="U151" i="3"/>
  <c r="AD150" i="3"/>
  <c r="U150" i="3"/>
  <c r="AD149" i="3"/>
  <c r="U149" i="3"/>
  <c r="AD148" i="3"/>
  <c r="U148" i="3"/>
  <c r="AD147" i="3"/>
  <c r="U147" i="3"/>
  <c r="AD146" i="3"/>
  <c r="U146" i="3"/>
  <c r="AD145" i="3"/>
  <c r="U145" i="3"/>
  <c r="AD144" i="3"/>
  <c r="U144" i="3"/>
  <c r="AD143" i="3"/>
  <c r="U143" i="3"/>
  <c r="AD142" i="3"/>
  <c r="U142" i="3"/>
  <c r="AD141" i="3"/>
  <c r="U141" i="3"/>
  <c r="AD140" i="3"/>
  <c r="U140" i="3"/>
  <c r="AD139" i="3"/>
  <c r="U139" i="3"/>
  <c r="AD138" i="3"/>
  <c r="U138" i="3"/>
  <c r="AD137" i="3"/>
  <c r="U137" i="3"/>
  <c r="AD136" i="3"/>
  <c r="U136" i="3"/>
  <c r="AD135" i="3"/>
  <c r="U135" i="3"/>
  <c r="AD134" i="3"/>
  <c r="U134" i="3"/>
  <c r="AD133" i="3"/>
  <c r="U133" i="3"/>
  <c r="AD132" i="3"/>
  <c r="U132" i="3"/>
  <c r="AD131" i="3"/>
  <c r="U131" i="3"/>
  <c r="AD130" i="3"/>
  <c r="U130" i="3"/>
  <c r="AD129" i="3"/>
  <c r="U129" i="3"/>
  <c r="AD128" i="3"/>
  <c r="U128" i="3"/>
  <c r="AD127" i="3"/>
  <c r="U127" i="3"/>
  <c r="AD126" i="3"/>
  <c r="U126" i="3"/>
  <c r="AD125" i="3"/>
  <c r="U125" i="3"/>
  <c r="AD124" i="3"/>
  <c r="U124" i="3"/>
  <c r="AD123" i="3"/>
  <c r="U123" i="3"/>
  <c r="AD122" i="3"/>
  <c r="U122" i="3"/>
  <c r="AD121" i="3"/>
  <c r="U121" i="3"/>
  <c r="AD120" i="3"/>
  <c r="U120" i="3"/>
  <c r="AD119" i="3"/>
  <c r="U119" i="3"/>
  <c r="AD118" i="3"/>
  <c r="U118" i="3"/>
  <c r="AD117" i="3"/>
  <c r="U117" i="3"/>
  <c r="AD116" i="3"/>
  <c r="U116" i="3"/>
  <c r="AD115" i="3"/>
  <c r="U115" i="3"/>
  <c r="AD114" i="3"/>
  <c r="U114" i="3"/>
  <c r="AD113" i="3"/>
  <c r="U113" i="3"/>
  <c r="AD112" i="3"/>
  <c r="U112" i="3"/>
  <c r="AD111" i="3"/>
  <c r="U111" i="3"/>
  <c r="AD110" i="3"/>
  <c r="U110" i="3"/>
  <c r="AD109" i="3"/>
  <c r="U109" i="3"/>
  <c r="AD108" i="3"/>
  <c r="U108" i="3"/>
  <c r="AD107" i="3"/>
  <c r="U107" i="3"/>
  <c r="AD106" i="3"/>
  <c r="U106" i="3"/>
  <c r="AD105" i="3"/>
  <c r="U105" i="3"/>
  <c r="AD104" i="3"/>
  <c r="U104" i="3"/>
  <c r="AD103" i="3"/>
  <c r="U103" i="3"/>
  <c r="AD102" i="3"/>
  <c r="U102" i="3"/>
  <c r="AD101" i="3"/>
  <c r="U101" i="3"/>
  <c r="AD100" i="3"/>
  <c r="U100" i="3"/>
  <c r="AD99" i="3"/>
  <c r="U99" i="3"/>
  <c r="AD98" i="3"/>
  <c r="U98" i="3"/>
  <c r="AD97" i="3"/>
  <c r="U97" i="3"/>
  <c r="AD96" i="3"/>
  <c r="U96" i="3"/>
  <c r="AD95" i="3"/>
  <c r="U95" i="3"/>
  <c r="AD94" i="3"/>
  <c r="U94" i="3"/>
  <c r="AD93" i="3"/>
  <c r="U93" i="3"/>
  <c r="AD92" i="3"/>
  <c r="U92" i="3"/>
  <c r="AD91" i="3"/>
  <c r="U91" i="3"/>
  <c r="AD90" i="3"/>
  <c r="U90" i="3"/>
  <c r="AD89" i="3"/>
  <c r="U89" i="3"/>
  <c r="AD88" i="3"/>
  <c r="U88" i="3"/>
  <c r="AD87" i="3"/>
  <c r="U87" i="3"/>
  <c r="AD86" i="3"/>
  <c r="U86" i="3"/>
  <c r="AD85" i="3"/>
  <c r="U85" i="3"/>
  <c r="AD84" i="3"/>
  <c r="U84" i="3"/>
  <c r="AD83" i="3"/>
  <c r="U83" i="3"/>
  <c r="AD82" i="3"/>
  <c r="U82" i="3"/>
  <c r="AD81" i="3"/>
  <c r="U81" i="3"/>
  <c r="AD80" i="3"/>
  <c r="U80" i="3"/>
  <c r="AD79" i="3"/>
  <c r="U79" i="3"/>
  <c r="AD78" i="3"/>
  <c r="U78" i="3"/>
  <c r="AD77" i="3"/>
  <c r="U77" i="3"/>
  <c r="AD76" i="3"/>
  <c r="U76" i="3"/>
  <c r="AD75" i="3"/>
  <c r="U75" i="3"/>
  <c r="AD74" i="3"/>
  <c r="U74" i="3"/>
  <c r="AD73" i="3"/>
  <c r="U73" i="3"/>
  <c r="AD72" i="3"/>
  <c r="U72" i="3"/>
  <c r="AD71" i="3"/>
  <c r="U71" i="3"/>
  <c r="AD70" i="3"/>
  <c r="U70" i="3"/>
  <c r="AD69" i="3"/>
  <c r="U69" i="3"/>
  <c r="AD68" i="3"/>
  <c r="U68" i="3"/>
  <c r="AD67" i="3"/>
  <c r="U67" i="3"/>
  <c r="AD66" i="3"/>
  <c r="U66" i="3"/>
  <c r="AD65" i="3"/>
  <c r="U65" i="3"/>
  <c r="AD64" i="3"/>
  <c r="U64" i="3"/>
  <c r="AD63" i="3"/>
  <c r="U63" i="3"/>
  <c r="AD62" i="3"/>
  <c r="U62" i="3"/>
  <c r="AD61" i="3"/>
  <c r="U61" i="3"/>
  <c r="AD60" i="3"/>
  <c r="U60" i="3"/>
  <c r="AD59" i="3"/>
  <c r="U59" i="3"/>
  <c r="AD58" i="3"/>
  <c r="U58" i="3"/>
  <c r="AD57" i="3"/>
  <c r="U57" i="3"/>
  <c r="AD56" i="3"/>
  <c r="U56" i="3"/>
  <c r="AD55" i="3"/>
  <c r="U55" i="3"/>
  <c r="AD54" i="3"/>
  <c r="U54" i="3"/>
  <c r="AD53" i="3"/>
  <c r="U53" i="3"/>
  <c r="AD52" i="3"/>
  <c r="U52" i="3"/>
  <c r="AD51" i="3"/>
  <c r="U51" i="3"/>
  <c r="AD50" i="3"/>
  <c r="U50" i="3"/>
  <c r="AD49" i="3"/>
  <c r="U49" i="3"/>
  <c r="AD48" i="3"/>
  <c r="U48" i="3"/>
  <c r="AD47" i="3"/>
  <c r="U47" i="3"/>
  <c r="AD46" i="3"/>
  <c r="U46" i="3"/>
  <c r="AD45" i="3"/>
  <c r="U45" i="3"/>
  <c r="AD44" i="3"/>
  <c r="U44" i="3"/>
  <c r="AD43" i="3"/>
  <c r="U43" i="3"/>
  <c r="AD42" i="3"/>
  <c r="U42" i="3"/>
  <c r="AD41" i="3"/>
  <c r="U41" i="3"/>
  <c r="AD40" i="3"/>
  <c r="U40" i="3"/>
  <c r="AD39" i="3"/>
  <c r="U39" i="3"/>
  <c r="AD38" i="3"/>
  <c r="U38" i="3"/>
  <c r="AD37" i="3"/>
  <c r="U37" i="3"/>
  <c r="AD36" i="3"/>
  <c r="U36" i="3"/>
  <c r="AD35" i="3"/>
  <c r="U35" i="3"/>
  <c r="AD34" i="3"/>
  <c r="U34" i="3"/>
  <c r="AD33" i="3"/>
  <c r="U33" i="3"/>
  <c r="AD32" i="3"/>
  <c r="U32" i="3"/>
  <c r="AD31" i="3"/>
  <c r="U31" i="3"/>
  <c r="AD30" i="3"/>
  <c r="U30" i="3"/>
  <c r="AD29" i="3"/>
  <c r="U29" i="3"/>
  <c r="AD28" i="3"/>
  <c r="U28" i="3"/>
  <c r="AD27" i="3"/>
  <c r="U27" i="3"/>
  <c r="AD26" i="3"/>
  <c r="U26" i="3"/>
  <c r="AD25" i="3"/>
  <c r="U25" i="3"/>
  <c r="AD24" i="3"/>
  <c r="U24" i="3"/>
  <c r="AD23" i="3"/>
  <c r="U23" i="3"/>
  <c r="AD22" i="3"/>
  <c r="U22" i="3"/>
  <c r="AD21" i="3"/>
  <c r="U21" i="3"/>
  <c r="AD20" i="3"/>
  <c r="U20" i="3"/>
  <c r="AD19" i="3"/>
  <c r="U19" i="3"/>
  <c r="AD18" i="3"/>
  <c r="U18" i="3"/>
  <c r="AD17" i="3"/>
  <c r="U17" i="3"/>
  <c r="AD16" i="3"/>
  <c r="U16" i="3"/>
  <c r="AD15" i="3"/>
  <c r="U15" i="3"/>
  <c r="P15" i="3"/>
  <c r="AD14" i="3"/>
  <c r="U14" i="3"/>
  <c r="P14" i="3"/>
  <c r="AD13" i="3"/>
  <c r="U13" i="3"/>
  <c r="P13" i="3"/>
  <c r="AD12" i="3"/>
  <c r="U12" i="3"/>
  <c r="P12" i="3"/>
  <c r="AD11" i="3"/>
  <c r="U11" i="3"/>
  <c r="P11" i="3"/>
  <c r="AD10" i="3"/>
  <c r="U10" i="3"/>
  <c r="P10" i="3"/>
  <c r="AD9" i="3"/>
  <c r="U9" i="3"/>
  <c r="P9" i="3"/>
  <c r="AD8" i="3"/>
  <c r="U8" i="3"/>
  <c r="P8" i="3"/>
  <c r="AD7" i="3"/>
  <c r="U7" i="3"/>
  <c r="P7" i="3"/>
  <c r="AD6" i="3"/>
  <c r="U6" i="3"/>
  <c r="P6" i="3"/>
  <c r="AD5" i="3"/>
  <c r="U5" i="3"/>
  <c r="P5" i="3"/>
  <c r="AD4" i="3"/>
  <c r="U4" i="3"/>
  <c r="P4" i="3"/>
  <c r="AD3" i="3"/>
  <c r="U3" i="3"/>
  <c r="AI15" i="1" l="1"/>
  <c r="AA20" i="1"/>
  <c r="AD12" i="1"/>
  <c r="AD13" i="1" s="1"/>
  <c r="D8" i="7"/>
  <c r="F18" i="7"/>
  <c r="L11" i="7"/>
  <c r="O14" i="7"/>
  <c r="N14" i="7"/>
  <c r="AP10" i="1" l="1"/>
  <c r="AP11" i="1" s="1"/>
  <c r="AJ11" i="1"/>
  <c r="D18" i="1" s="1"/>
  <c r="L20" i="1" s="1"/>
  <c r="O20" i="1" s="1"/>
  <c r="L18" i="1"/>
  <c r="O18" i="1" s="1"/>
  <c r="D11" i="7"/>
  <c r="D23" i="7" s="1"/>
  <c r="G19" i="7"/>
  <c r="L23" i="7"/>
  <c r="N11" i="7"/>
  <c r="F19" i="7"/>
  <c r="AP12" i="1" l="1"/>
  <c r="AP14" i="1" s="1"/>
  <c r="AP15" i="1" s="1"/>
  <c r="G18" i="1"/>
  <c r="D19" i="1"/>
  <c r="G19" i="1" s="1"/>
  <c r="D12" i="7"/>
  <c r="N23" i="7"/>
  <c r="L12" i="7"/>
  <c r="L21" i="7"/>
  <c r="N21" i="7" s="1"/>
  <c r="AP16" i="1" l="1"/>
  <c r="AP17" i="1"/>
  <c r="D21" i="1"/>
  <c r="G21" i="1" s="1"/>
  <c r="D14" i="7"/>
  <c r="D16" i="7" s="1"/>
  <c r="N12" i="7"/>
  <c r="L16" i="7"/>
  <c r="F11" i="7"/>
  <c r="AP18" i="1" l="1"/>
  <c r="D22" i="1"/>
  <c r="L21" i="1" s="1"/>
  <c r="O21" i="1" s="1"/>
  <c r="D26" i="7"/>
  <c r="D22" i="7"/>
  <c r="F12" i="7"/>
  <c r="F23" i="7"/>
  <c r="N16" i="7"/>
  <c r="L25" i="7"/>
  <c r="N25" i="7" s="1"/>
  <c r="G22" i="1" l="1"/>
  <c r="L19" i="1"/>
  <c r="O19" i="1" s="1"/>
  <c r="D21" i="7"/>
  <c r="D25" i="7"/>
  <c r="F14" i="7"/>
  <c r="L22" i="1" l="1"/>
  <c r="AJ15" i="1" s="1"/>
  <c r="R18" i="1"/>
  <c r="S18" i="1" s="1"/>
  <c r="F26" i="7"/>
  <c r="G16" i="7"/>
  <c r="F16" i="7"/>
  <c r="O22" i="1" l="1"/>
  <c r="O23" i="1" s="1"/>
  <c r="L23" i="1"/>
  <c r="F22" i="7"/>
  <c r="F21" i="7"/>
  <c r="F25" i="7"/>
  <c r="D28" i="7"/>
  <c r="E2" i="2" l="1"/>
  <c r="D29" i="7"/>
  <c r="F28" i="7"/>
  <c r="F29" i="7" s="1"/>
  <c r="T11" i="1" l="1"/>
  <c r="M4" i="4" a="1"/>
  <c r="M4" i="4" s="1"/>
  <c r="M5" i="4" a="1"/>
  <c r="M5" i="4" s="1"/>
  <c r="M6" i="4" a="1"/>
  <c r="M6" i="4" s="1"/>
  <c r="M7" i="4" a="1"/>
  <c r="M7" i="4" s="1"/>
  <c r="M8" i="4" a="1"/>
  <c r="M8" i="4" s="1"/>
  <c r="M9" i="4" a="1"/>
  <c r="M9" i="4" s="1"/>
  <c r="M10" i="4" a="1"/>
  <c r="M10" i="4" s="1"/>
  <c r="M11" i="4" a="1"/>
  <c r="M11" i="4" s="1"/>
  <c r="M12" i="4" a="1"/>
  <c r="M12" i="4" s="1"/>
  <c r="M13" i="4" a="1"/>
  <c r="M13" i="4" s="1"/>
  <c r="M14" i="4" a="1"/>
  <c r="M14" i="4" s="1"/>
  <c r="M15" i="4" a="1"/>
  <c r="M15" i="4" s="1"/>
  <c r="M16" i="4" a="1"/>
  <c r="M16" i="4" s="1"/>
  <c r="M17" i="4" a="1"/>
  <c r="M17" i="4" s="1"/>
  <c r="M18" i="4" a="1"/>
  <c r="M18" i="4" s="1"/>
  <c r="M19" i="4" a="1"/>
  <c r="M19" i="4" s="1"/>
  <c r="M20" i="4" a="1"/>
  <c r="M20" i="4" s="1"/>
  <c r="M21" i="4" a="1"/>
  <c r="M21" i="4" s="1"/>
  <c r="M22" i="4" a="1"/>
  <c r="M22" i="4" s="1"/>
  <c r="M23" i="4" a="1"/>
  <c r="M23" i="4" s="1"/>
  <c r="M24" i="4" a="1"/>
  <c r="M24" i="4" s="1"/>
  <c r="M25" i="4" a="1"/>
  <c r="M25" i="4" s="1"/>
  <c r="M26" i="4" a="1"/>
  <c r="M26" i="4" s="1"/>
  <c r="M27" i="4" a="1"/>
  <c r="M27" i="4" s="1"/>
  <c r="M28" i="4" a="1"/>
  <c r="M28" i="4" s="1"/>
  <c r="M29" i="4" a="1"/>
  <c r="M29" i="4" s="1"/>
  <c r="M30" i="4" a="1"/>
  <c r="M30" i="4" s="1"/>
  <c r="M31" i="4" a="1"/>
  <c r="M31" i="4" s="1"/>
  <c r="M32" i="4" a="1"/>
  <c r="M32" i="4" s="1"/>
  <c r="M33" i="4" a="1"/>
  <c r="M33" i="4" s="1"/>
  <c r="M34" i="4" a="1"/>
  <c r="M34" i="4" s="1"/>
  <c r="M35" i="4" a="1"/>
  <c r="M35" i="4" s="1"/>
  <c r="M36" i="4" a="1"/>
  <c r="M36" i="4" s="1"/>
  <c r="M37" i="4" a="1"/>
  <c r="M37" i="4" s="1"/>
  <c r="M38" i="4" a="1"/>
  <c r="M38" i="4" s="1"/>
  <c r="M39" i="4" a="1"/>
  <c r="M39" i="4" s="1"/>
  <c r="M40" i="4" a="1"/>
  <c r="M40" i="4" s="1"/>
  <c r="M41" i="4" a="1"/>
  <c r="M41" i="4" s="1"/>
  <c r="M42" i="4" a="1"/>
  <c r="M42" i="4" s="1"/>
  <c r="M43" i="4" a="1"/>
  <c r="M43" i="4" s="1"/>
  <c r="M44" i="4" a="1"/>
  <c r="M44" i="4" s="1"/>
  <c r="M45" i="4" a="1"/>
  <c r="M45" i="4" s="1"/>
  <c r="M46" i="4" a="1"/>
  <c r="M46" i="4" s="1"/>
  <c r="M47" i="4" a="1"/>
  <c r="M47" i="4" s="1"/>
  <c r="M48" i="4" a="1"/>
  <c r="M48" i="4" s="1"/>
  <c r="M49" i="4" a="1"/>
  <c r="M49" i="4" s="1"/>
  <c r="M50" i="4" a="1"/>
  <c r="M50" i="4" s="1"/>
  <c r="M51" i="4" a="1"/>
  <c r="M51" i="4" s="1"/>
  <c r="M3" i="4" a="1"/>
  <c r="M3" i="4" s="1"/>
  <c r="L2" i="4" a="1"/>
  <c r="L2" i="4" s="1"/>
  <c r="T15" i="1" l="1"/>
  <c r="AA22" i="1" s="1"/>
  <c r="AA23" i="1" s="1" a="1"/>
  <c r="AA23" i="1" s="1"/>
  <c r="T13" i="1"/>
  <c r="K12" i="1"/>
  <c r="C2" i="5"/>
  <c r="C1" i="5" s="1"/>
  <c r="D2" i="2" l="1" a="1"/>
  <c r="D2" i="2" s="1"/>
  <c r="D2822" i="4" l="1"/>
  <c r="D2821" i="4"/>
  <c r="D2820" i="4"/>
  <c r="D2819" i="4"/>
  <c r="D2818" i="4"/>
  <c r="D2817" i="4"/>
  <c r="D2816" i="4"/>
  <c r="D2815" i="4"/>
  <c r="D2814" i="4"/>
  <c r="D2813" i="4"/>
  <c r="D2812" i="4"/>
  <c r="D2811" i="4"/>
  <c r="D2810" i="4"/>
  <c r="D2809" i="4"/>
  <c r="D2808" i="4"/>
  <c r="D2807" i="4"/>
  <c r="D2806" i="4"/>
  <c r="D2805" i="4"/>
  <c r="D2804" i="4"/>
  <c r="D2803" i="4"/>
  <c r="D2802" i="4"/>
  <c r="D2801" i="4"/>
  <c r="D2800" i="4"/>
  <c r="D2799" i="4"/>
  <c r="D2798" i="4"/>
  <c r="D2797" i="4"/>
  <c r="D2796" i="4"/>
  <c r="D2795" i="4"/>
  <c r="D2794" i="4"/>
  <c r="D2793" i="4"/>
  <c r="D2792" i="4"/>
  <c r="D2791" i="4"/>
  <c r="D2790" i="4"/>
  <c r="D2789" i="4"/>
  <c r="D2788" i="4"/>
  <c r="D2787" i="4"/>
  <c r="D2786" i="4"/>
  <c r="D2785" i="4"/>
  <c r="D2784" i="4"/>
  <c r="D2783" i="4"/>
  <c r="D2782" i="4"/>
  <c r="D2781" i="4"/>
  <c r="D2780" i="4"/>
  <c r="D2779" i="4"/>
  <c r="D2778" i="4"/>
  <c r="D2777" i="4"/>
  <c r="D2776" i="4"/>
  <c r="D2775" i="4"/>
  <c r="D2774" i="4"/>
  <c r="D2773" i="4"/>
  <c r="D2772" i="4"/>
  <c r="D2771" i="4"/>
  <c r="D2770" i="4"/>
  <c r="D2769" i="4"/>
  <c r="D2768" i="4"/>
  <c r="D2767" i="4"/>
  <c r="D2766" i="4"/>
  <c r="D2765" i="4"/>
  <c r="D2764" i="4"/>
  <c r="D2763" i="4"/>
  <c r="D2762" i="4"/>
  <c r="D2761" i="4"/>
  <c r="D2760" i="4"/>
  <c r="D2759" i="4"/>
  <c r="D2758" i="4"/>
  <c r="D2757" i="4"/>
  <c r="D2756" i="4"/>
  <c r="D2755" i="4"/>
  <c r="D2754" i="4"/>
  <c r="D2753" i="4"/>
  <c r="D2752" i="4"/>
  <c r="D2751" i="4"/>
  <c r="D2750" i="4"/>
  <c r="D2749" i="4"/>
  <c r="D2748" i="4"/>
  <c r="D2747" i="4"/>
  <c r="D2746" i="4"/>
  <c r="D2745" i="4"/>
  <c r="D2744" i="4"/>
  <c r="D2743" i="4"/>
  <c r="D2742" i="4"/>
  <c r="D2741" i="4"/>
  <c r="D2740" i="4"/>
  <c r="D2739" i="4"/>
  <c r="D2738" i="4"/>
  <c r="D2737" i="4"/>
  <c r="D2736" i="4"/>
  <c r="D2735" i="4"/>
  <c r="D2734" i="4"/>
  <c r="D2733" i="4"/>
  <c r="D2732" i="4"/>
  <c r="D2731" i="4"/>
  <c r="D2730" i="4"/>
  <c r="D2729" i="4"/>
  <c r="D2728" i="4"/>
  <c r="D2727" i="4"/>
  <c r="D2726" i="4"/>
  <c r="D2725" i="4"/>
  <c r="D2724" i="4"/>
  <c r="D2723" i="4"/>
  <c r="D2722" i="4"/>
  <c r="D2721" i="4"/>
  <c r="D2720" i="4"/>
  <c r="D2719" i="4"/>
  <c r="D2718" i="4"/>
  <c r="D2717" i="4"/>
  <c r="D2716" i="4"/>
  <c r="D2715" i="4"/>
  <c r="D2714" i="4"/>
  <c r="D2713" i="4"/>
  <c r="D2712" i="4"/>
  <c r="D2711" i="4"/>
  <c r="D2710" i="4"/>
  <c r="D2709" i="4"/>
  <c r="D2708" i="4"/>
  <c r="D2707" i="4"/>
  <c r="D2706" i="4"/>
  <c r="D2705" i="4"/>
  <c r="D2704" i="4"/>
  <c r="D2703" i="4"/>
  <c r="D2702" i="4"/>
  <c r="D2701" i="4"/>
  <c r="D2700" i="4"/>
  <c r="D2699" i="4"/>
  <c r="D2698" i="4"/>
  <c r="D2697" i="4"/>
  <c r="D2696" i="4"/>
  <c r="D2695" i="4"/>
  <c r="D2694" i="4"/>
  <c r="D2693" i="4"/>
  <c r="D2692" i="4"/>
  <c r="D2691" i="4"/>
  <c r="D2690" i="4"/>
  <c r="D2689" i="4"/>
  <c r="D2688" i="4"/>
  <c r="D2687" i="4"/>
  <c r="D2686" i="4"/>
  <c r="D2685" i="4"/>
  <c r="D2684" i="4"/>
  <c r="D2683" i="4"/>
  <c r="D2682" i="4"/>
  <c r="D2681" i="4"/>
  <c r="D2680" i="4"/>
  <c r="D2679" i="4"/>
  <c r="D2678" i="4"/>
  <c r="D2677" i="4"/>
  <c r="D2676" i="4"/>
  <c r="D2675" i="4"/>
  <c r="D2674" i="4"/>
  <c r="D2673" i="4"/>
  <c r="D2672" i="4"/>
  <c r="D2671" i="4"/>
  <c r="D2670" i="4"/>
  <c r="D2669" i="4"/>
  <c r="D2668" i="4"/>
  <c r="D2667" i="4"/>
  <c r="D2666" i="4"/>
  <c r="D2665" i="4"/>
  <c r="D2664" i="4"/>
  <c r="D2663" i="4"/>
  <c r="D2662" i="4"/>
  <c r="D2661" i="4"/>
  <c r="D2660" i="4"/>
  <c r="D2659" i="4"/>
  <c r="D2658" i="4"/>
  <c r="D2657" i="4"/>
  <c r="D2656" i="4"/>
  <c r="D2655" i="4"/>
  <c r="D2654" i="4"/>
  <c r="D2653" i="4"/>
  <c r="D2652" i="4"/>
  <c r="D2651" i="4"/>
  <c r="D2650" i="4"/>
  <c r="D2649" i="4"/>
  <c r="D2648" i="4"/>
  <c r="D2647" i="4"/>
  <c r="D2646" i="4"/>
  <c r="D2645" i="4"/>
  <c r="D2644" i="4"/>
  <c r="D2643" i="4"/>
  <c r="D2642" i="4"/>
  <c r="D2641" i="4"/>
  <c r="D2640" i="4"/>
  <c r="D2639" i="4"/>
  <c r="D2638" i="4"/>
  <c r="D2637" i="4"/>
  <c r="D2636" i="4"/>
  <c r="D2635" i="4"/>
  <c r="D2634" i="4"/>
  <c r="D2633" i="4"/>
  <c r="D2632" i="4"/>
  <c r="D2631" i="4"/>
  <c r="D2630" i="4"/>
  <c r="D2629" i="4"/>
  <c r="D2628" i="4"/>
  <c r="D2627" i="4"/>
  <c r="D2626" i="4"/>
  <c r="D2625" i="4"/>
  <c r="D2624" i="4"/>
  <c r="D2623" i="4"/>
  <c r="D2622" i="4"/>
  <c r="D2621" i="4"/>
  <c r="D2620" i="4"/>
  <c r="D2619" i="4"/>
  <c r="D2618" i="4"/>
  <c r="D2617" i="4"/>
  <c r="D2616" i="4"/>
  <c r="D2615" i="4"/>
  <c r="D2614" i="4"/>
  <c r="D2613" i="4"/>
  <c r="D2612" i="4"/>
  <c r="D2611" i="4"/>
  <c r="D2610" i="4"/>
  <c r="D2609" i="4"/>
  <c r="D2608" i="4"/>
  <c r="D2607" i="4"/>
  <c r="D2606" i="4"/>
  <c r="D2605" i="4"/>
  <c r="D2604" i="4"/>
  <c r="D2603" i="4"/>
  <c r="D2602" i="4"/>
  <c r="D2601" i="4"/>
  <c r="D2600" i="4"/>
  <c r="D2599" i="4"/>
  <c r="D2598" i="4"/>
  <c r="D2597" i="4"/>
  <c r="D2596" i="4"/>
  <c r="D2595" i="4"/>
  <c r="D2594" i="4"/>
  <c r="D2593" i="4"/>
  <c r="D2592" i="4"/>
  <c r="D2591" i="4"/>
  <c r="D2590" i="4"/>
  <c r="D2589" i="4"/>
  <c r="D2588" i="4"/>
  <c r="D2587" i="4"/>
  <c r="D2586" i="4"/>
  <c r="D2585" i="4"/>
  <c r="D2584" i="4"/>
  <c r="D2583" i="4"/>
  <c r="D2582" i="4"/>
  <c r="D2581" i="4"/>
  <c r="D2580" i="4"/>
  <c r="D2579" i="4"/>
  <c r="D2578" i="4"/>
  <c r="D2577" i="4"/>
  <c r="D2576" i="4"/>
  <c r="D2575" i="4"/>
  <c r="D2574" i="4"/>
  <c r="D2573" i="4"/>
  <c r="D2572" i="4"/>
  <c r="D2571" i="4"/>
  <c r="D2570" i="4"/>
  <c r="D2569" i="4"/>
  <c r="D2568" i="4"/>
  <c r="D2567" i="4"/>
  <c r="D2566" i="4"/>
  <c r="D2565" i="4"/>
  <c r="D2564" i="4"/>
  <c r="D2563" i="4"/>
  <c r="D2562" i="4"/>
  <c r="D2561" i="4"/>
  <c r="D2560" i="4"/>
  <c r="D2559" i="4"/>
  <c r="D2558" i="4"/>
  <c r="D2557" i="4"/>
  <c r="D2556" i="4"/>
  <c r="D2555" i="4"/>
  <c r="D2554" i="4"/>
  <c r="D2553" i="4"/>
  <c r="D2552" i="4"/>
  <c r="D2551" i="4"/>
  <c r="D2550" i="4"/>
  <c r="D2549" i="4"/>
  <c r="D2548" i="4"/>
  <c r="D2547" i="4"/>
  <c r="D2546" i="4"/>
  <c r="D2545" i="4"/>
  <c r="D2544" i="4"/>
  <c r="D2543" i="4"/>
  <c r="D2542" i="4"/>
  <c r="D2541" i="4"/>
  <c r="D2540" i="4"/>
  <c r="D2539" i="4"/>
  <c r="D2538" i="4"/>
  <c r="D2537" i="4"/>
  <c r="D2536" i="4"/>
  <c r="D2535" i="4"/>
  <c r="D2534" i="4"/>
  <c r="D2533" i="4"/>
  <c r="D2532" i="4"/>
  <c r="D2531" i="4"/>
  <c r="D2530" i="4"/>
  <c r="D2529" i="4"/>
  <c r="D2528" i="4"/>
  <c r="D2527" i="4"/>
  <c r="D2526" i="4"/>
  <c r="D2525" i="4"/>
  <c r="D2524" i="4"/>
  <c r="D2523" i="4"/>
  <c r="D2522" i="4"/>
  <c r="D2521" i="4"/>
  <c r="D2520" i="4"/>
  <c r="D2519" i="4"/>
  <c r="D2518" i="4"/>
  <c r="D2517" i="4"/>
  <c r="D2516" i="4"/>
  <c r="D2515" i="4"/>
  <c r="D2514" i="4"/>
  <c r="D2513" i="4"/>
  <c r="D2512" i="4"/>
  <c r="D2511" i="4"/>
  <c r="D2510" i="4"/>
  <c r="D2509" i="4"/>
  <c r="D2508" i="4"/>
  <c r="D2507" i="4"/>
  <c r="D2506" i="4"/>
  <c r="D2505" i="4"/>
  <c r="D2504" i="4"/>
  <c r="D2503" i="4"/>
  <c r="D2502" i="4"/>
  <c r="D2501" i="4"/>
  <c r="D2500" i="4"/>
  <c r="D2499" i="4"/>
  <c r="D2498" i="4"/>
  <c r="D2497" i="4"/>
  <c r="D2496" i="4"/>
  <c r="D2495" i="4"/>
  <c r="D2494" i="4"/>
  <c r="D2493" i="4"/>
  <c r="D2492" i="4"/>
  <c r="D2491" i="4"/>
  <c r="D2490" i="4"/>
  <c r="D2489" i="4"/>
  <c r="D2488" i="4"/>
  <c r="D2487" i="4"/>
  <c r="D2486" i="4"/>
  <c r="D2485" i="4"/>
  <c r="D2484" i="4"/>
  <c r="D2483" i="4"/>
  <c r="D2482" i="4"/>
  <c r="D2481" i="4"/>
  <c r="D2480" i="4"/>
  <c r="D2479" i="4"/>
  <c r="D2478" i="4"/>
  <c r="D2477" i="4"/>
  <c r="D2476" i="4"/>
  <c r="D2475" i="4"/>
  <c r="D2474" i="4"/>
  <c r="D2473" i="4"/>
  <c r="D2472" i="4"/>
  <c r="D2471" i="4"/>
  <c r="D2470" i="4"/>
  <c r="D2469" i="4"/>
  <c r="D2468" i="4"/>
  <c r="D2467" i="4"/>
  <c r="D2466" i="4"/>
  <c r="D2465" i="4"/>
  <c r="D2464" i="4"/>
  <c r="D2463" i="4"/>
  <c r="D2462" i="4"/>
  <c r="D2461" i="4"/>
  <c r="D2460" i="4"/>
  <c r="D2459" i="4"/>
  <c r="D2458" i="4"/>
  <c r="D2457" i="4"/>
  <c r="D2456" i="4"/>
  <c r="D2455" i="4"/>
  <c r="D2454" i="4"/>
  <c r="D2453" i="4"/>
  <c r="D2452" i="4"/>
  <c r="D2451" i="4"/>
  <c r="D2450" i="4"/>
  <c r="D2449" i="4"/>
  <c r="D2448" i="4"/>
  <c r="D2447" i="4"/>
  <c r="D2446" i="4"/>
  <c r="D2445" i="4"/>
  <c r="D2444" i="4"/>
  <c r="D2443" i="4"/>
  <c r="D2442" i="4"/>
  <c r="D2441" i="4"/>
  <c r="D2440" i="4"/>
  <c r="D2439" i="4"/>
  <c r="D2438" i="4"/>
  <c r="D2437" i="4"/>
  <c r="D2436" i="4"/>
  <c r="D2435" i="4"/>
  <c r="D2434" i="4"/>
  <c r="D2433" i="4"/>
  <c r="D2432" i="4"/>
  <c r="D2431" i="4"/>
  <c r="D2430" i="4"/>
  <c r="D2429" i="4"/>
  <c r="D2428" i="4"/>
  <c r="D2427" i="4"/>
  <c r="D2426" i="4"/>
  <c r="D2425" i="4"/>
  <c r="D2424" i="4"/>
  <c r="D2423" i="4"/>
  <c r="D2422" i="4"/>
  <c r="D2421" i="4"/>
  <c r="D2420" i="4"/>
  <c r="D2419" i="4"/>
  <c r="D2418" i="4"/>
  <c r="D2417" i="4"/>
  <c r="D2416" i="4"/>
  <c r="D2415" i="4"/>
  <c r="D2414" i="4"/>
  <c r="D2413" i="4"/>
  <c r="D2412" i="4"/>
  <c r="D2411" i="4"/>
  <c r="D2410" i="4"/>
  <c r="D2409" i="4"/>
  <c r="D2408" i="4"/>
  <c r="D2407" i="4"/>
  <c r="D2406" i="4"/>
  <c r="D2405" i="4"/>
  <c r="D2404" i="4"/>
  <c r="D2403" i="4"/>
  <c r="D2402" i="4"/>
  <c r="D2401" i="4"/>
  <c r="D2400" i="4"/>
  <c r="D2399" i="4"/>
  <c r="D2398" i="4"/>
  <c r="D2397" i="4"/>
  <c r="D2396" i="4"/>
  <c r="D2395" i="4"/>
  <c r="D2394" i="4"/>
  <c r="D2393" i="4"/>
  <c r="D2392" i="4"/>
  <c r="D2391" i="4"/>
  <c r="D2390" i="4"/>
  <c r="D2389" i="4"/>
  <c r="D2388" i="4"/>
  <c r="D2387" i="4"/>
  <c r="D2386" i="4"/>
  <c r="D2385" i="4"/>
  <c r="D2384" i="4"/>
  <c r="D2383" i="4"/>
  <c r="D2382" i="4"/>
  <c r="D2381" i="4"/>
  <c r="D2380" i="4"/>
  <c r="D2379" i="4"/>
  <c r="D2378" i="4"/>
  <c r="D2377" i="4"/>
  <c r="D2376" i="4"/>
  <c r="D2375" i="4"/>
  <c r="D2374" i="4"/>
  <c r="D2373" i="4"/>
  <c r="D2372" i="4"/>
  <c r="D2371" i="4"/>
  <c r="D2370" i="4"/>
  <c r="D2369" i="4"/>
  <c r="D2368" i="4"/>
  <c r="D2367" i="4"/>
  <c r="D2366" i="4"/>
  <c r="D2365" i="4"/>
  <c r="D2364" i="4"/>
  <c r="D2363" i="4"/>
  <c r="D2362" i="4"/>
  <c r="D2361" i="4"/>
  <c r="D2360" i="4"/>
  <c r="D2359" i="4"/>
  <c r="D2358" i="4"/>
  <c r="D2357" i="4"/>
  <c r="D2356" i="4"/>
  <c r="D2355" i="4"/>
  <c r="D2354" i="4"/>
  <c r="D2353" i="4"/>
  <c r="D2352" i="4"/>
  <c r="D2351" i="4"/>
  <c r="D2350" i="4"/>
  <c r="D2349" i="4"/>
  <c r="D2348" i="4"/>
  <c r="D2347" i="4"/>
  <c r="D2346" i="4"/>
  <c r="D2345" i="4"/>
  <c r="D2344" i="4"/>
  <c r="D2343" i="4"/>
  <c r="D2342" i="4"/>
  <c r="D2341" i="4"/>
  <c r="D2340" i="4"/>
  <c r="D2339" i="4"/>
  <c r="D2338" i="4"/>
  <c r="D2337" i="4"/>
  <c r="D2336" i="4"/>
  <c r="D2335" i="4"/>
  <c r="D2334" i="4"/>
  <c r="D2333" i="4"/>
  <c r="D2332" i="4"/>
  <c r="D2331" i="4"/>
  <c r="D2330" i="4"/>
  <c r="D2329" i="4"/>
  <c r="D2328" i="4"/>
  <c r="D2327" i="4"/>
  <c r="D2326" i="4"/>
  <c r="D2325" i="4"/>
  <c r="D2324" i="4"/>
  <c r="D2323" i="4"/>
  <c r="D2322" i="4"/>
  <c r="D2321" i="4"/>
  <c r="D2320" i="4"/>
  <c r="D2319" i="4"/>
  <c r="D2318" i="4"/>
  <c r="D2317" i="4"/>
  <c r="D2316" i="4"/>
  <c r="D2315" i="4"/>
  <c r="D2314" i="4"/>
  <c r="D2313" i="4"/>
  <c r="D2312" i="4"/>
  <c r="D2311" i="4"/>
  <c r="D2310" i="4"/>
  <c r="D2309" i="4"/>
  <c r="D2308" i="4"/>
  <c r="D2307" i="4"/>
  <c r="D2306" i="4"/>
  <c r="D2305" i="4"/>
  <c r="D2304" i="4"/>
  <c r="D2303" i="4"/>
  <c r="D2302" i="4"/>
  <c r="D2301" i="4"/>
  <c r="D2300" i="4"/>
  <c r="D2299" i="4"/>
  <c r="D2298" i="4"/>
  <c r="D2297" i="4"/>
  <c r="D2296" i="4"/>
  <c r="D2295" i="4"/>
  <c r="D2294" i="4"/>
  <c r="D2293" i="4"/>
  <c r="D2292" i="4"/>
  <c r="D2291" i="4"/>
  <c r="D2290" i="4"/>
  <c r="D2289" i="4"/>
  <c r="D2288" i="4"/>
  <c r="D2287" i="4"/>
  <c r="D2286" i="4"/>
  <c r="D2285" i="4"/>
  <c r="D2284" i="4"/>
  <c r="D2283" i="4"/>
  <c r="D2282" i="4"/>
  <c r="D2281" i="4"/>
  <c r="D2280" i="4"/>
  <c r="D2279" i="4"/>
  <c r="D2278" i="4"/>
  <c r="D2277" i="4"/>
  <c r="D2276" i="4"/>
  <c r="D2275" i="4"/>
  <c r="D2274" i="4"/>
  <c r="D2273" i="4"/>
  <c r="D2272" i="4"/>
  <c r="D2271" i="4"/>
  <c r="D2270" i="4"/>
  <c r="D2269" i="4"/>
  <c r="D2268" i="4"/>
  <c r="D2267" i="4"/>
  <c r="D2266" i="4"/>
  <c r="D2265" i="4"/>
  <c r="D2264" i="4"/>
  <c r="D2263" i="4"/>
  <c r="D2262" i="4"/>
  <c r="D2261" i="4"/>
  <c r="D2260" i="4"/>
  <c r="D2259" i="4"/>
  <c r="D2258" i="4"/>
  <c r="D2257" i="4"/>
  <c r="D2256" i="4"/>
  <c r="D2255" i="4"/>
  <c r="D2254" i="4"/>
  <c r="D2253" i="4"/>
  <c r="D2252" i="4"/>
  <c r="D2251" i="4"/>
  <c r="D2250" i="4"/>
  <c r="D2249" i="4"/>
  <c r="D2248" i="4"/>
  <c r="D2247" i="4"/>
  <c r="D2246" i="4"/>
  <c r="D2245" i="4"/>
  <c r="D2244" i="4"/>
  <c r="D2243" i="4"/>
  <c r="D2242" i="4"/>
  <c r="D2241" i="4"/>
  <c r="D2240" i="4"/>
  <c r="D2239" i="4"/>
  <c r="D2238" i="4"/>
  <c r="D2237" i="4"/>
  <c r="D2236" i="4"/>
  <c r="D2235" i="4"/>
  <c r="D2234" i="4"/>
  <c r="D2233" i="4"/>
  <c r="D2232" i="4"/>
  <c r="D2231" i="4"/>
  <c r="D2230" i="4"/>
  <c r="D2229" i="4"/>
  <c r="D2228" i="4"/>
  <c r="D2227" i="4"/>
  <c r="D2226" i="4"/>
  <c r="D2225" i="4"/>
  <c r="D2224" i="4"/>
  <c r="D2223" i="4"/>
  <c r="D2222" i="4"/>
  <c r="D2221" i="4"/>
  <c r="D2220" i="4"/>
  <c r="D2219" i="4"/>
  <c r="D2218" i="4"/>
  <c r="D2217" i="4"/>
  <c r="D2216" i="4"/>
  <c r="D2215" i="4"/>
  <c r="D2214" i="4"/>
  <c r="D2213" i="4"/>
  <c r="D2212" i="4"/>
  <c r="D2211" i="4"/>
  <c r="D2210" i="4"/>
  <c r="D2209" i="4"/>
  <c r="D2208" i="4"/>
  <c r="D2207" i="4"/>
  <c r="D2206" i="4"/>
  <c r="D2205" i="4"/>
  <c r="D2204" i="4"/>
  <c r="D2203" i="4"/>
  <c r="D2202" i="4"/>
  <c r="D2201" i="4"/>
  <c r="D2200" i="4"/>
  <c r="D2199" i="4"/>
  <c r="D2198" i="4"/>
  <c r="D2197" i="4"/>
  <c r="D2196" i="4"/>
  <c r="D2195" i="4"/>
  <c r="D2194" i="4"/>
  <c r="D2193" i="4"/>
  <c r="D2192" i="4"/>
  <c r="D2191" i="4"/>
  <c r="D2190" i="4"/>
  <c r="D2189" i="4"/>
  <c r="D2188" i="4"/>
  <c r="D2187" i="4"/>
  <c r="D2186" i="4"/>
  <c r="D2185" i="4"/>
  <c r="D2184" i="4"/>
  <c r="D2183" i="4"/>
  <c r="D2182" i="4"/>
  <c r="D2181" i="4"/>
  <c r="D2180" i="4"/>
  <c r="D2179" i="4"/>
  <c r="D2178" i="4"/>
  <c r="D2177" i="4"/>
  <c r="D2176" i="4"/>
  <c r="D2175" i="4"/>
  <c r="D2174" i="4"/>
  <c r="D2173" i="4"/>
  <c r="D2172" i="4"/>
  <c r="D2171" i="4"/>
  <c r="D2170" i="4"/>
  <c r="D2169" i="4"/>
  <c r="D2168" i="4"/>
  <c r="D2167" i="4"/>
  <c r="D2166" i="4"/>
  <c r="D2165" i="4"/>
  <c r="D2164" i="4"/>
  <c r="D2163" i="4"/>
  <c r="D2162" i="4"/>
  <c r="D2161" i="4"/>
  <c r="D2160" i="4"/>
  <c r="D2159" i="4"/>
  <c r="D2158" i="4"/>
  <c r="D2157" i="4"/>
  <c r="D2156" i="4"/>
  <c r="D2155" i="4"/>
  <c r="D2154" i="4"/>
  <c r="D2153" i="4"/>
  <c r="D2152" i="4"/>
  <c r="D2151" i="4"/>
  <c r="D2150" i="4"/>
  <c r="D2149" i="4"/>
  <c r="D2148" i="4"/>
  <c r="D2147" i="4"/>
  <c r="D2146" i="4"/>
  <c r="D2145" i="4"/>
  <c r="D2144" i="4"/>
  <c r="D2143" i="4"/>
  <c r="D2142" i="4"/>
  <c r="D2141" i="4"/>
  <c r="D2140" i="4"/>
  <c r="D2139" i="4"/>
  <c r="D2138" i="4"/>
  <c r="D2137" i="4"/>
  <c r="D2136" i="4"/>
  <c r="D2135" i="4"/>
  <c r="D2134" i="4"/>
  <c r="D2133" i="4"/>
  <c r="D2132" i="4"/>
  <c r="D2131" i="4"/>
  <c r="D2130" i="4"/>
  <c r="D2129" i="4"/>
  <c r="D2128" i="4"/>
  <c r="D2127" i="4"/>
  <c r="D2126" i="4"/>
  <c r="D2125" i="4"/>
  <c r="D2124" i="4"/>
  <c r="D2123" i="4"/>
  <c r="D2122" i="4"/>
  <c r="D2121" i="4"/>
  <c r="D2120" i="4"/>
  <c r="D2119" i="4"/>
  <c r="D2118" i="4"/>
  <c r="D2117" i="4"/>
  <c r="D2116" i="4"/>
  <c r="D2115" i="4"/>
  <c r="D2114" i="4"/>
  <c r="D2113" i="4"/>
  <c r="D2112" i="4"/>
  <c r="D2111" i="4"/>
  <c r="D2110" i="4"/>
  <c r="D2109" i="4"/>
  <c r="D2108" i="4"/>
  <c r="D2107" i="4"/>
  <c r="D2106" i="4"/>
  <c r="D2105" i="4"/>
  <c r="D2104" i="4"/>
  <c r="D2103" i="4"/>
  <c r="D2102" i="4"/>
  <c r="D2101" i="4"/>
  <c r="D2100" i="4"/>
  <c r="D2099" i="4"/>
  <c r="D2098" i="4"/>
  <c r="D2097" i="4"/>
  <c r="D2096" i="4"/>
  <c r="D2095" i="4"/>
  <c r="D2094" i="4"/>
  <c r="D2093" i="4"/>
  <c r="D2092" i="4"/>
  <c r="D2091" i="4"/>
  <c r="D2090" i="4"/>
  <c r="D2089" i="4"/>
  <c r="D2088" i="4"/>
  <c r="D2087" i="4"/>
  <c r="D2086" i="4"/>
  <c r="D2085" i="4"/>
  <c r="D2084" i="4"/>
  <c r="D2083" i="4"/>
  <c r="D2082" i="4"/>
  <c r="D2081" i="4"/>
  <c r="D2080" i="4"/>
  <c r="D2079" i="4"/>
  <c r="D2078" i="4"/>
  <c r="D2077" i="4"/>
  <c r="D2076" i="4"/>
  <c r="D2075" i="4"/>
  <c r="D2074" i="4"/>
  <c r="D2073" i="4"/>
  <c r="D2072" i="4"/>
  <c r="D2071" i="4"/>
  <c r="D2070" i="4"/>
  <c r="D2069" i="4"/>
  <c r="D2068" i="4"/>
  <c r="D2067" i="4"/>
  <c r="D2066" i="4"/>
  <c r="D2065" i="4"/>
  <c r="D2064" i="4"/>
  <c r="D2063" i="4"/>
  <c r="D2062" i="4"/>
  <c r="D2061" i="4"/>
  <c r="D2060" i="4"/>
  <c r="D2059" i="4"/>
  <c r="D2058" i="4"/>
  <c r="D2057" i="4"/>
  <c r="D2056" i="4"/>
  <c r="D2055" i="4"/>
  <c r="D2054" i="4"/>
  <c r="D2053" i="4"/>
  <c r="D2052" i="4"/>
  <c r="D2051" i="4"/>
  <c r="D2050" i="4"/>
  <c r="D2049" i="4"/>
  <c r="D2048" i="4"/>
  <c r="D2047" i="4"/>
  <c r="D2046" i="4"/>
  <c r="D2045" i="4"/>
  <c r="D2044" i="4"/>
  <c r="D2043" i="4"/>
  <c r="D2042" i="4"/>
  <c r="D2041" i="4"/>
  <c r="D2040" i="4"/>
  <c r="D2039" i="4"/>
  <c r="D2038" i="4"/>
  <c r="D2037" i="4"/>
  <c r="D2036" i="4"/>
  <c r="D2035" i="4"/>
  <c r="D2034" i="4"/>
  <c r="D2033" i="4"/>
  <c r="D2032" i="4"/>
  <c r="D2031" i="4"/>
  <c r="D2030" i="4"/>
  <c r="D2029" i="4"/>
  <c r="D2028" i="4"/>
  <c r="D2027" i="4"/>
  <c r="D2026" i="4"/>
  <c r="D2025" i="4"/>
  <c r="D2024" i="4"/>
  <c r="D2023" i="4"/>
  <c r="D2022" i="4"/>
  <c r="D2021" i="4"/>
  <c r="D2020" i="4"/>
  <c r="D2019" i="4"/>
  <c r="D2018" i="4"/>
  <c r="D2017" i="4"/>
  <c r="D2016" i="4"/>
  <c r="D2015" i="4"/>
  <c r="D2014" i="4"/>
  <c r="D2013" i="4"/>
  <c r="D2012" i="4"/>
  <c r="D2011" i="4"/>
  <c r="D2010" i="4"/>
  <c r="D2009" i="4"/>
  <c r="D2008" i="4"/>
  <c r="D2007" i="4"/>
  <c r="D2006" i="4"/>
  <c r="D2005" i="4"/>
  <c r="D2004" i="4"/>
  <c r="D2003" i="4"/>
  <c r="D2002" i="4"/>
  <c r="D2001" i="4"/>
  <c r="D2000" i="4"/>
  <c r="D1999" i="4"/>
  <c r="D1998" i="4"/>
  <c r="D1997" i="4"/>
  <c r="D1996" i="4"/>
  <c r="D1995" i="4"/>
  <c r="D1994" i="4"/>
  <c r="D1993" i="4"/>
  <c r="D1992" i="4"/>
  <c r="D1991" i="4"/>
  <c r="D1990" i="4"/>
  <c r="D1989" i="4"/>
  <c r="D1988" i="4"/>
  <c r="D1987" i="4"/>
  <c r="D1986" i="4"/>
  <c r="D1985" i="4"/>
  <c r="D1984" i="4"/>
  <c r="D1983" i="4"/>
  <c r="D1982" i="4"/>
  <c r="D1981" i="4"/>
  <c r="D1980" i="4"/>
  <c r="D1979" i="4"/>
  <c r="D1978" i="4"/>
  <c r="D1977" i="4"/>
  <c r="D1976" i="4"/>
  <c r="D1975" i="4"/>
  <c r="D1974" i="4"/>
  <c r="D1973" i="4"/>
  <c r="D1972" i="4"/>
  <c r="D1971" i="4"/>
  <c r="D1970" i="4"/>
  <c r="D1969" i="4"/>
  <c r="D1968" i="4"/>
  <c r="D1967" i="4"/>
  <c r="D1966" i="4"/>
  <c r="D1965" i="4"/>
  <c r="D1964" i="4"/>
  <c r="D1963" i="4"/>
  <c r="D1962" i="4"/>
  <c r="D1961" i="4"/>
  <c r="D1960" i="4"/>
  <c r="D1959" i="4"/>
  <c r="D1958" i="4"/>
  <c r="D1957" i="4"/>
  <c r="D1956" i="4"/>
  <c r="D1955" i="4"/>
  <c r="D1954" i="4"/>
  <c r="D1953" i="4"/>
  <c r="D1952" i="4"/>
  <c r="D1951" i="4"/>
  <c r="D1950" i="4"/>
  <c r="D1949" i="4"/>
  <c r="D1948" i="4"/>
  <c r="D1947" i="4"/>
  <c r="D1946" i="4"/>
  <c r="D1945" i="4"/>
  <c r="D1944" i="4"/>
  <c r="D1943" i="4"/>
  <c r="D1942" i="4"/>
  <c r="D1941" i="4"/>
  <c r="D1940" i="4"/>
  <c r="D1939" i="4"/>
  <c r="D1938" i="4"/>
  <c r="D1937" i="4"/>
  <c r="D1936" i="4"/>
  <c r="D1935" i="4"/>
  <c r="D1934" i="4"/>
  <c r="D1933" i="4"/>
  <c r="D1932" i="4"/>
  <c r="D1931" i="4"/>
  <c r="D1930" i="4"/>
  <c r="D1929" i="4"/>
  <c r="D1928" i="4"/>
  <c r="D1927" i="4"/>
  <c r="D1926" i="4"/>
  <c r="D1925" i="4"/>
  <c r="D1924" i="4"/>
  <c r="D1923" i="4"/>
  <c r="D1922" i="4"/>
  <c r="D1921" i="4"/>
  <c r="D1920" i="4"/>
  <c r="D1919" i="4"/>
  <c r="D1918" i="4"/>
  <c r="D1917" i="4"/>
  <c r="D1916" i="4"/>
  <c r="D1915" i="4"/>
  <c r="D1914" i="4"/>
  <c r="D1913" i="4"/>
  <c r="D1912" i="4"/>
  <c r="D1911" i="4"/>
  <c r="D1910" i="4"/>
  <c r="D1909" i="4"/>
  <c r="D1908" i="4"/>
  <c r="D1907" i="4"/>
  <c r="D1906" i="4"/>
  <c r="D1905" i="4"/>
  <c r="D1904" i="4"/>
  <c r="D1903" i="4"/>
  <c r="D1902" i="4"/>
  <c r="D1901" i="4"/>
  <c r="D1900" i="4"/>
  <c r="D1899" i="4"/>
  <c r="D1898" i="4"/>
  <c r="D1897" i="4"/>
  <c r="D1896" i="4"/>
  <c r="D1895" i="4"/>
  <c r="D1894" i="4"/>
  <c r="D1893" i="4"/>
  <c r="D1892" i="4"/>
  <c r="D1891" i="4"/>
  <c r="D1890" i="4"/>
  <c r="D1889" i="4"/>
  <c r="D1888" i="4"/>
  <c r="D1887" i="4"/>
  <c r="D1886" i="4"/>
  <c r="D1885" i="4"/>
  <c r="D1884" i="4"/>
  <c r="D1883" i="4"/>
  <c r="D1882" i="4"/>
  <c r="D1881" i="4"/>
  <c r="D1880" i="4"/>
  <c r="D1879" i="4"/>
  <c r="D1878" i="4"/>
  <c r="D1877" i="4"/>
  <c r="D1876" i="4"/>
  <c r="D1875" i="4"/>
  <c r="D1874" i="4"/>
  <c r="D1873" i="4"/>
  <c r="D1872" i="4"/>
  <c r="D1871" i="4"/>
  <c r="D1870" i="4"/>
  <c r="D1869" i="4"/>
  <c r="D1868" i="4"/>
  <c r="D1867" i="4"/>
  <c r="D1866" i="4"/>
  <c r="D1865" i="4"/>
  <c r="D1864" i="4"/>
  <c r="D1863" i="4"/>
  <c r="D1862" i="4"/>
  <c r="D1861" i="4"/>
  <c r="D1860" i="4"/>
  <c r="D1859" i="4"/>
  <c r="D1858" i="4"/>
  <c r="D1857" i="4"/>
  <c r="D1856" i="4"/>
  <c r="D1855" i="4"/>
  <c r="D1854" i="4"/>
  <c r="D1853" i="4"/>
  <c r="D1852" i="4"/>
  <c r="D1851" i="4"/>
  <c r="D1850" i="4"/>
  <c r="D1849" i="4"/>
  <c r="D1848" i="4"/>
  <c r="D1847" i="4"/>
  <c r="D1846" i="4"/>
  <c r="D1845" i="4"/>
  <c r="D1844" i="4"/>
  <c r="D1843" i="4"/>
  <c r="D1842" i="4"/>
  <c r="D1841" i="4"/>
  <c r="D1840" i="4"/>
  <c r="D1839" i="4"/>
  <c r="D1838" i="4"/>
  <c r="D1837" i="4"/>
  <c r="D1836" i="4"/>
  <c r="D1835" i="4"/>
  <c r="D1834" i="4"/>
  <c r="D1833" i="4"/>
  <c r="D1832" i="4"/>
  <c r="D1831" i="4"/>
  <c r="D1830" i="4"/>
  <c r="D1829" i="4"/>
  <c r="D1828" i="4"/>
  <c r="D1827" i="4"/>
  <c r="D1826" i="4"/>
  <c r="D1825" i="4"/>
  <c r="D1824" i="4"/>
  <c r="D1823" i="4"/>
  <c r="D1822" i="4"/>
  <c r="D1821" i="4"/>
  <c r="D1820" i="4"/>
  <c r="D1819" i="4"/>
  <c r="D1818" i="4"/>
  <c r="D1817" i="4"/>
  <c r="D1816" i="4"/>
  <c r="D1815" i="4"/>
  <c r="D1814" i="4"/>
  <c r="D1813" i="4"/>
  <c r="D1812" i="4"/>
  <c r="D1811" i="4"/>
  <c r="D1810" i="4"/>
  <c r="D1809" i="4"/>
  <c r="D1808" i="4"/>
  <c r="D1807" i="4"/>
  <c r="D1806" i="4"/>
  <c r="D1805" i="4"/>
  <c r="D1804" i="4"/>
  <c r="D1803" i="4"/>
  <c r="D1802" i="4"/>
  <c r="D1801" i="4"/>
  <c r="D1800" i="4"/>
  <c r="D1799" i="4"/>
  <c r="D1798" i="4"/>
  <c r="D1797" i="4"/>
  <c r="D1796" i="4"/>
  <c r="D1795" i="4"/>
  <c r="D1794" i="4"/>
  <c r="D1793" i="4"/>
  <c r="D1792" i="4"/>
  <c r="D1791" i="4"/>
  <c r="D1790" i="4"/>
  <c r="D1789" i="4"/>
  <c r="D1788" i="4"/>
  <c r="D1787" i="4"/>
  <c r="D1786" i="4"/>
  <c r="D1785" i="4"/>
  <c r="D1784" i="4"/>
  <c r="D1783" i="4"/>
  <c r="D1782" i="4"/>
  <c r="D1781" i="4"/>
  <c r="D1780" i="4"/>
  <c r="D1779" i="4"/>
  <c r="D1778" i="4"/>
  <c r="D1777" i="4"/>
  <c r="D1776" i="4"/>
  <c r="D1775" i="4"/>
  <c r="D1774" i="4"/>
  <c r="D1773" i="4"/>
  <c r="D1772" i="4"/>
  <c r="D1771" i="4"/>
  <c r="D1770" i="4"/>
  <c r="D1769" i="4"/>
  <c r="D1768" i="4"/>
  <c r="D1767" i="4"/>
  <c r="D1766" i="4"/>
  <c r="D1765" i="4"/>
  <c r="D1764" i="4"/>
  <c r="D1763" i="4"/>
  <c r="D1762" i="4"/>
  <c r="D1761" i="4"/>
  <c r="D1760" i="4"/>
  <c r="D1759" i="4"/>
  <c r="D1758" i="4"/>
  <c r="D1757" i="4"/>
  <c r="D1756" i="4"/>
  <c r="D1755" i="4"/>
  <c r="D1754" i="4"/>
  <c r="D1753" i="4"/>
  <c r="D1752" i="4"/>
  <c r="D1751" i="4"/>
  <c r="D1750" i="4"/>
  <c r="D1749" i="4"/>
  <c r="D1748" i="4"/>
  <c r="D1747" i="4"/>
  <c r="D1746" i="4"/>
  <c r="D1745" i="4"/>
  <c r="D1744" i="4"/>
  <c r="D1743" i="4"/>
  <c r="D1742" i="4"/>
  <c r="D1741" i="4"/>
  <c r="D1740" i="4"/>
  <c r="D1739" i="4"/>
  <c r="D1738" i="4"/>
  <c r="D1737" i="4"/>
  <c r="D1736" i="4"/>
  <c r="D1735" i="4"/>
  <c r="D1734" i="4"/>
  <c r="D1733" i="4"/>
  <c r="D1732" i="4"/>
  <c r="D1731" i="4"/>
  <c r="D1730" i="4"/>
  <c r="D1729" i="4"/>
  <c r="D1728" i="4"/>
  <c r="D1727" i="4"/>
  <c r="D1726" i="4"/>
  <c r="D1725" i="4"/>
  <c r="D1724" i="4"/>
  <c r="D1723" i="4"/>
  <c r="D1722" i="4"/>
  <c r="D1721" i="4"/>
  <c r="D1720" i="4"/>
  <c r="D1719" i="4"/>
  <c r="D1718" i="4"/>
  <c r="D1717" i="4"/>
  <c r="D1716" i="4"/>
  <c r="D1715" i="4"/>
  <c r="D1714" i="4"/>
  <c r="D1713" i="4"/>
  <c r="D1712" i="4"/>
  <c r="D1711" i="4"/>
  <c r="D1710" i="4"/>
  <c r="D1709" i="4"/>
  <c r="D1708" i="4"/>
  <c r="D1707" i="4"/>
  <c r="D1706" i="4"/>
  <c r="D1705" i="4"/>
  <c r="D1704" i="4"/>
  <c r="D1703" i="4"/>
  <c r="D1702" i="4"/>
  <c r="D1701" i="4"/>
  <c r="D1700" i="4"/>
  <c r="D1699" i="4"/>
  <c r="D1698" i="4"/>
  <c r="D1697" i="4"/>
  <c r="D1696" i="4"/>
  <c r="D1695" i="4"/>
  <c r="D1694" i="4"/>
  <c r="D1693" i="4"/>
  <c r="D1692" i="4"/>
  <c r="D1691" i="4"/>
  <c r="D1690" i="4"/>
  <c r="D1689" i="4"/>
  <c r="D1688" i="4"/>
  <c r="D1687" i="4"/>
  <c r="D1686" i="4"/>
  <c r="D1685" i="4"/>
  <c r="D1684" i="4"/>
  <c r="D1683" i="4"/>
  <c r="D1682" i="4"/>
  <c r="D1681" i="4"/>
  <c r="D1680" i="4"/>
  <c r="D1679" i="4"/>
  <c r="D1678" i="4"/>
  <c r="D1677" i="4"/>
  <c r="D1676" i="4"/>
  <c r="D1675" i="4"/>
  <c r="D1674" i="4"/>
  <c r="D1673" i="4"/>
  <c r="D1672" i="4"/>
  <c r="D1671" i="4"/>
  <c r="D1670" i="4"/>
  <c r="D1669" i="4"/>
  <c r="D1668" i="4"/>
  <c r="D1667" i="4"/>
  <c r="D1666" i="4"/>
  <c r="D1665" i="4"/>
  <c r="D1664" i="4"/>
  <c r="D1663" i="4"/>
  <c r="D1662" i="4"/>
  <c r="D1661" i="4"/>
  <c r="D1660" i="4"/>
  <c r="D1659" i="4"/>
  <c r="D1658" i="4"/>
  <c r="D1657" i="4"/>
  <c r="D1656" i="4"/>
  <c r="D1655" i="4"/>
  <c r="D1654" i="4"/>
  <c r="D1653" i="4"/>
  <c r="D1652" i="4"/>
  <c r="D1651" i="4"/>
  <c r="D1650" i="4"/>
  <c r="D1649" i="4"/>
  <c r="D1648" i="4"/>
  <c r="D1647" i="4"/>
  <c r="D1646" i="4"/>
  <c r="D1645" i="4"/>
  <c r="D1644" i="4"/>
  <c r="D1643" i="4"/>
  <c r="D1642" i="4"/>
  <c r="D1641" i="4"/>
  <c r="D1640" i="4"/>
  <c r="D1639" i="4"/>
  <c r="D1638" i="4"/>
  <c r="D1637" i="4"/>
  <c r="D1636" i="4"/>
  <c r="D1635" i="4"/>
  <c r="D1634" i="4"/>
  <c r="D1633" i="4"/>
  <c r="D1632" i="4"/>
  <c r="D1631" i="4"/>
  <c r="D1630" i="4"/>
  <c r="D1629" i="4"/>
  <c r="D1628" i="4"/>
  <c r="D1627" i="4"/>
  <c r="D1626" i="4"/>
  <c r="D1625" i="4"/>
  <c r="D1624" i="4"/>
  <c r="D1623" i="4"/>
  <c r="D1622" i="4"/>
  <c r="D1621" i="4"/>
  <c r="D1620" i="4"/>
  <c r="D1619" i="4"/>
  <c r="D1618" i="4"/>
  <c r="D1617" i="4"/>
  <c r="D1616" i="4"/>
  <c r="D1615" i="4"/>
  <c r="D1614" i="4"/>
  <c r="D1613" i="4"/>
  <c r="D1612" i="4"/>
  <c r="D1611" i="4"/>
  <c r="D1610" i="4"/>
  <c r="D1609" i="4"/>
  <c r="D1608" i="4"/>
  <c r="D1607" i="4"/>
  <c r="D1606" i="4"/>
  <c r="D1605" i="4"/>
  <c r="D1604" i="4"/>
  <c r="D1603" i="4"/>
  <c r="D1602" i="4"/>
  <c r="D1601" i="4"/>
  <c r="D1600" i="4"/>
  <c r="D1599" i="4"/>
  <c r="D1598" i="4"/>
  <c r="D1597" i="4"/>
  <c r="D1596" i="4"/>
  <c r="D1595" i="4"/>
  <c r="D1594" i="4"/>
  <c r="D1593" i="4"/>
  <c r="D1592" i="4"/>
  <c r="D1591" i="4"/>
  <c r="D1590" i="4"/>
  <c r="D1589" i="4"/>
  <c r="D1588" i="4"/>
  <c r="D1587" i="4"/>
  <c r="D1586" i="4"/>
  <c r="D1585" i="4"/>
  <c r="D1584" i="4"/>
  <c r="D1583" i="4"/>
  <c r="D1582" i="4"/>
  <c r="D1581" i="4"/>
  <c r="D1580" i="4"/>
  <c r="D1579" i="4"/>
  <c r="D1578" i="4"/>
  <c r="D1577" i="4"/>
  <c r="D1576" i="4"/>
  <c r="D1575" i="4"/>
  <c r="D1574" i="4"/>
  <c r="D1573" i="4"/>
  <c r="D1572" i="4"/>
  <c r="D1571" i="4"/>
  <c r="D1570" i="4"/>
  <c r="D1569" i="4"/>
  <c r="D1568" i="4"/>
  <c r="D1567" i="4"/>
  <c r="D1566" i="4"/>
  <c r="D1565" i="4"/>
  <c r="D1564" i="4"/>
  <c r="D1563" i="4"/>
  <c r="D1562" i="4"/>
  <c r="D1561" i="4"/>
  <c r="D1560" i="4"/>
  <c r="D1559" i="4"/>
  <c r="D1558" i="4"/>
  <c r="D1557" i="4"/>
  <c r="D1556" i="4"/>
  <c r="D1555" i="4"/>
  <c r="D1554" i="4"/>
  <c r="D1553" i="4"/>
  <c r="D1552" i="4"/>
  <c r="D1551" i="4"/>
  <c r="D1550" i="4"/>
  <c r="D1549" i="4"/>
  <c r="D1548" i="4"/>
  <c r="D1547" i="4"/>
  <c r="D1546" i="4"/>
  <c r="D1545" i="4"/>
  <c r="D1544" i="4"/>
  <c r="D1543" i="4"/>
  <c r="D1542" i="4"/>
  <c r="D1541" i="4"/>
  <c r="D1540" i="4"/>
  <c r="D1539" i="4"/>
  <c r="D1538" i="4"/>
  <c r="D1537" i="4"/>
  <c r="D1536" i="4"/>
  <c r="D1535" i="4"/>
  <c r="D1534" i="4"/>
  <c r="D1533" i="4"/>
  <c r="D1532" i="4"/>
  <c r="D1531" i="4"/>
  <c r="D1530" i="4"/>
  <c r="D1529" i="4"/>
  <c r="D1528" i="4"/>
  <c r="D1527" i="4"/>
  <c r="D1526" i="4"/>
  <c r="D1525" i="4"/>
  <c r="D1524" i="4"/>
  <c r="D1523" i="4"/>
  <c r="D1522" i="4"/>
  <c r="D1521" i="4"/>
  <c r="D1520" i="4"/>
  <c r="D1519" i="4"/>
  <c r="D1518" i="4"/>
  <c r="D1517" i="4"/>
  <c r="D1516" i="4"/>
  <c r="D1515" i="4"/>
  <c r="D1514" i="4"/>
  <c r="D1513" i="4"/>
  <c r="D1512" i="4"/>
  <c r="D1511" i="4"/>
  <c r="D1510" i="4"/>
  <c r="D1509" i="4"/>
  <c r="D1508" i="4"/>
  <c r="D1507" i="4"/>
  <c r="D1506" i="4"/>
  <c r="D1505" i="4"/>
  <c r="D1504" i="4"/>
  <c r="D1503" i="4"/>
  <c r="D1502" i="4"/>
  <c r="D1501" i="4"/>
  <c r="D1500" i="4"/>
  <c r="D1499" i="4"/>
  <c r="D1498" i="4"/>
  <c r="D1497" i="4"/>
  <c r="D1496" i="4"/>
  <c r="D1495" i="4"/>
  <c r="D1494" i="4"/>
  <c r="D1493" i="4"/>
  <c r="D1492" i="4"/>
  <c r="D1491" i="4"/>
  <c r="D1490" i="4"/>
  <c r="D1489" i="4"/>
  <c r="D1488" i="4"/>
  <c r="D1487" i="4"/>
  <c r="D1486" i="4"/>
  <c r="D1485" i="4"/>
  <c r="D1484" i="4"/>
  <c r="D1483" i="4"/>
  <c r="D1482" i="4"/>
  <c r="D1481" i="4"/>
  <c r="D1480" i="4"/>
  <c r="D1479" i="4"/>
  <c r="D1478" i="4"/>
  <c r="D1477" i="4"/>
  <c r="D1476" i="4"/>
  <c r="D1475" i="4"/>
  <c r="D1474" i="4"/>
  <c r="D1473" i="4"/>
  <c r="D1472" i="4"/>
  <c r="D1471" i="4"/>
  <c r="D1470" i="4"/>
  <c r="D1469" i="4"/>
  <c r="D1468" i="4"/>
  <c r="D1467" i="4"/>
  <c r="D1466" i="4"/>
  <c r="D1465" i="4"/>
  <c r="D1464" i="4"/>
  <c r="D1463" i="4"/>
  <c r="D1462" i="4"/>
  <c r="D1461" i="4"/>
  <c r="D1460" i="4"/>
  <c r="D1459" i="4"/>
  <c r="D1458" i="4"/>
  <c r="D1457" i="4"/>
  <c r="D1456" i="4"/>
  <c r="D1455" i="4"/>
  <c r="D1454" i="4"/>
  <c r="D1453" i="4"/>
  <c r="D1452" i="4"/>
  <c r="D1451" i="4"/>
  <c r="D1450" i="4"/>
  <c r="D1449" i="4"/>
  <c r="D1448" i="4"/>
  <c r="D1447" i="4"/>
  <c r="D1446" i="4"/>
  <c r="D1445" i="4"/>
  <c r="D1444" i="4"/>
  <c r="D1443" i="4"/>
  <c r="D1442" i="4"/>
  <c r="D1441" i="4"/>
  <c r="D1440" i="4"/>
  <c r="D1439" i="4"/>
  <c r="D1438" i="4"/>
  <c r="D1437" i="4"/>
  <c r="D1436" i="4"/>
  <c r="D1435" i="4"/>
  <c r="D1434" i="4"/>
  <c r="D1433" i="4"/>
  <c r="D1432" i="4"/>
  <c r="D1431" i="4"/>
  <c r="D1430" i="4"/>
  <c r="D1429" i="4"/>
  <c r="D1428" i="4"/>
  <c r="D1427" i="4"/>
  <c r="D1426" i="4"/>
  <c r="D1425" i="4"/>
  <c r="D1424" i="4"/>
  <c r="D1423" i="4"/>
  <c r="D1422" i="4"/>
  <c r="D1421" i="4"/>
  <c r="D1420" i="4"/>
  <c r="D1419" i="4"/>
  <c r="D1418" i="4"/>
  <c r="D1417" i="4"/>
  <c r="D1416" i="4"/>
  <c r="D1415" i="4"/>
  <c r="D1414" i="4"/>
  <c r="D1413" i="4"/>
  <c r="D1412" i="4"/>
  <c r="D1411" i="4"/>
  <c r="D1410" i="4"/>
  <c r="D1409" i="4"/>
  <c r="D1408" i="4"/>
  <c r="D1407" i="4"/>
  <c r="D1406" i="4"/>
  <c r="D1405" i="4"/>
  <c r="D1404" i="4"/>
  <c r="D1403" i="4"/>
  <c r="D1402" i="4"/>
  <c r="D1401" i="4"/>
  <c r="D1400" i="4"/>
  <c r="D1399" i="4"/>
  <c r="D1398" i="4"/>
  <c r="D1397" i="4"/>
  <c r="D1396" i="4"/>
  <c r="D1395" i="4"/>
  <c r="D1394" i="4"/>
  <c r="D1393" i="4"/>
  <c r="D1392" i="4"/>
  <c r="D1391" i="4"/>
  <c r="D1390" i="4"/>
  <c r="D1389" i="4"/>
  <c r="D1388" i="4"/>
  <c r="D1387" i="4"/>
  <c r="D1386" i="4"/>
  <c r="D1385" i="4"/>
  <c r="D1384" i="4"/>
  <c r="D1383" i="4"/>
  <c r="D1382" i="4"/>
  <c r="D1381" i="4"/>
  <c r="D1380" i="4"/>
  <c r="D1379" i="4"/>
  <c r="D1378" i="4"/>
  <c r="D1377" i="4"/>
  <c r="D1376" i="4"/>
  <c r="D1375" i="4"/>
  <c r="D1374" i="4"/>
  <c r="D1373" i="4"/>
  <c r="D1372" i="4"/>
  <c r="D1371" i="4"/>
  <c r="D1370" i="4"/>
  <c r="D1369" i="4"/>
  <c r="D1368" i="4"/>
  <c r="D1367" i="4"/>
  <c r="D1366" i="4"/>
  <c r="D1365" i="4"/>
  <c r="D1364" i="4"/>
  <c r="D1363" i="4"/>
  <c r="D1362" i="4"/>
  <c r="D1361" i="4"/>
  <c r="D1360" i="4"/>
  <c r="D1359" i="4"/>
  <c r="D1358" i="4"/>
  <c r="D1357" i="4"/>
  <c r="D1356" i="4"/>
  <c r="D1355" i="4"/>
  <c r="D1354" i="4"/>
  <c r="D1353" i="4"/>
  <c r="D1352" i="4"/>
  <c r="D1351" i="4"/>
  <c r="D1350" i="4"/>
  <c r="D1349" i="4"/>
  <c r="D1348" i="4"/>
  <c r="D1347" i="4"/>
  <c r="D1346" i="4"/>
  <c r="D1345" i="4"/>
  <c r="D1344" i="4"/>
  <c r="D1343" i="4"/>
  <c r="D1342" i="4"/>
  <c r="D1341" i="4"/>
  <c r="D1340" i="4"/>
  <c r="D1339" i="4"/>
  <c r="D1338" i="4"/>
  <c r="D1337" i="4"/>
  <c r="D1336" i="4"/>
  <c r="D1335" i="4"/>
  <c r="D1334" i="4"/>
  <c r="D1333" i="4"/>
  <c r="D1332" i="4"/>
  <c r="D1331" i="4"/>
  <c r="D1330" i="4"/>
  <c r="D1329" i="4"/>
  <c r="D1328" i="4"/>
  <c r="D1327" i="4"/>
  <c r="D1326" i="4"/>
  <c r="D1325" i="4"/>
  <c r="D1324" i="4"/>
  <c r="D1323" i="4"/>
  <c r="D1322" i="4"/>
  <c r="D1321" i="4"/>
  <c r="D1320" i="4"/>
  <c r="D1319" i="4"/>
  <c r="D1318" i="4"/>
  <c r="D1317" i="4"/>
  <c r="D1316" i="4"/>
  <c r="D1315" i="4"/>
  <c r="D1314" i="4"/>
  <c r="D1313" i="4"/>
  <c r="D1312" i="4"/>
  <c r="D1311" i="4"/>
  <c r="D1310" i="4"/>
  <c r="D1309" i="4"/>
  <c r="D1308" i="4"/>
  <c r="D1307" i="4"/>
  <c r="D1306" i="4"/>
  <c r="D1305" i="4"/>
  <c r="D1304" i="4"/>
  <c r="D1303" i="4"/>
  <c r="D1302" i="4"/>
  <c r="D1301" i="4"/>
  <c r="D1300" i="4"/>
  <c r="D1299" i="4"/>
  <c r="D1298" i="4"/>
  <c r="D1297" i="4"/>
  <c r="D1296" i="4"/>
  <c r="D1295" i="4"/>
  <c r="D1294" i="4"/>
  <c r="D1293" i="4"/>
  <c r="D1292" i="4"/>
  <c r="D1291" i="4"/>
  <c r="D1290" i="4"/>
  <c r="D1289" i="4"/>
  <c r="D1288" i="4"/>
  <c r="D1287" i="4"/>
  <c r="D1286" i="4"/>
  <c r="D1285" i="4"/>
  <c r="D1284" i="4"/>
  <c r="D1283" i="4"/>
  <c r="D1282" i="4"/>
  <c r="D1281" i="4"/>
  <c r="D1280" i="4"/>
  <c r="D1279" i="4"/>
  <c r="D1278" i="4"/>
  <c r="D1277" i="4"/>
  <c r="D1276" i="4"/>
  <c r="D1275" i="4"/>
  <c r="D1274" i="4"/>
  <c r="D1273" i="4"/>
  <c r="D1272" i="4"/>
  <c r="D1271" i="4"/>
  <c r="D1270" i="4"/>
  <c r="D1269" i="4"/>
  <c r="D1268" i="4"/>
  <c r="D1267" i="4"/>
  <c r="D1266" i="4"/>
  <c r="D1265" i="4"/>
  <c r="D1264" i="4"/>
  <c r="D1263" i="4"/>
  <c r="D1262" i="4"/>
  <c r="D1261" i="4"/>
  <c r="D1260" i="4"/>
  <c r="D1259" i="4"/>
  <c r="D1258" i="4"/>
  <c r="D1257" i="4"/>
  <c r="D1256" i="4"/>
  <c r="D1255" i="4"/>
  <c r="D1254" i="4"/>
  <c r="D1253" i="4"/>
  <c r="D1252" i="4"/>
  <c r="D1251" i="4"/>
  <c r="D1250" i="4"/>
  <c r="D1249" i="4"/>
  <c r="D1248" i="4"/>
  <c r="D1247" i="4"/>
  <c r="D1246" i="4"/>
  <c r="D1245" i="4"/>
  <c r="D1244" i="4"/>
  <c r="D1243" i="4"/>
  <c r="D1242" i="4"/>
  <c r="D1241" i="4"/>
  <c r="D1240" i="4"/>
  <c r="D1239" i="4"/>
  <c r="D1238" i="4"/>
  <c r="D1237" i="4"/>
  <c r="D1236" i="4"/>
  <c r="D1235" i="4"/>
  <c r="D1234" i="4"/>
  <c r="D1233" i="4"/>
  <c r="D1232" i="4"/>
  <c r="D1231" i="4"/>
  <c r="D1230" i="4"/>
  <c r="D1229" i="4"/>
  <c r="D1228" i="4"/>
  <c r="D1227" i="4"/>
  <c r="D1226" i="4"/>
  <c r="D1225" i="4"/>
  <c r="D1224" i="4"/>
  <c r="D1223" i="4"/>
  <c r="D1222" i="4"/>
  <c r="D1221" i="4"/>
  <c r="D1220" i="4"/>
  <c r="D1219" i="4"/>
  <c r="D1218" i="4"/>
  <c r="D1217" i="4"/>
  <c r="D1216" i="4"/>
  <c r="D1215" i="4"/>
  <c r="D1214" i="4"/>
  <c r="D1213" i="4"/>
  <c r="D1212" i="4"/>
  <c r="D1211" i="4"/>
  <c r="D1210" i="4"/>
  <c r="D1209" i="4"/>
  <c r="D1208" i="4"/>
  <c r="D1207" i="4"/>
  <c r="D1206" i="4"/>
  <c r="D1205" i="4"/>
  <c r="D1204" i="4"/>
  <c r="D1203" i="4"/>
  <c r="D1202" i="4"/>
  <c r="D1201" i="4"/>
  <c r="D1200" i="4"/>
  <c r="D1199" i="4"/>
  <c r="D1198" i="4"/>
  <c r="D1197" i="4"/>
  <c r="D1196" i="4"/>
  <c r="D1195" i="4"/>
  <c r="D1194" i="4"/>
  <c r="D1193" i="4"/>
  <c r="D1192" i="4"/>
  <c r="D1191" i="4"/>
  <c r="D1190" i="4"/>
  <c r="D1189" i="4"/>
  <c r="D1188" i="4"/>
  <c r="D1187" i="4"/>
  <c r="D1186" i="4"/>
  <c r="D1185" i="4"/>
  <c r="D1184" i="4"/>
  <c r="D1183" i="4"/>
  <c r="D1182" i="4"/>
  <c r="D1181" i="4"/>
  <c r="D1180" i="4"/>
  <c r="D1179" i="4"/>
  <c r="D1178" i="4"/>
  <c r="D1177" i="4"/>
  <c r="D1176" i="4"/>
  <c r="D1175" i="4"/>
  <c r="D1174" i="4"/>
  <c r="D1173" i="4"/>
  <c r="D1172" i="4"/>
  <c r="D1171" i="4"/>
  <c r="D1170" i="4"/>
  <c r="D1169" i="4"/>
  <c r="D1168" i="4"/>
  <c r="D1167" i="4"/>
  <c r="D1166" i="4"/>
  <c r="D1165" i="4"/>
  <c r="D1164" i="4"/>
  <c r="D1163" i="4"/>
  <c r="D1162" i="4"/>
  <c r="D1161" i="4"/>
  <c r="D1160" i="4"/>
  <c r="D1159" i="4"/>
  <c r="D1158" i="4"/>
  <c r="D1157" i="4"/>
  <c r="D1156" i="4"/>
  <c r="D1155" i="4"/>
  <c r="D1154" i="4"/>
  <c r="D1153" i="4"/>
  <c r="D1152" i="4"/>
  <c r="D1151" i="4"/>
  <c r="D1150" i="4"/>
  <c r="D1149" i="4"/>
  <c r="D1148" i="4"/>
  <c r="D1147" i="4"/>
  <c r="D1146" i="4"/>
  <c r="D1145" i="4"/>
  <c r="D1144" i="4"/>
  <c r="D1143" i="4"/>
  <c r="D1142" i="4"/>
  <c r="D1141" i="4"/>
  <c r="D1140" i="4"/>
  <c r="D1139" i="4"/>
  <c r="D1138" i="4"/>
  <c r="D1137" i="4"/>
  <c r="D1136" i="4"/>
  <c r="D1135" i="4"/>
  <c r="D1134" i="4"/>
  <c r="D1133" i="4"/>
  <c r="D1132" i="4"/>
  <c r="D1131" i="4"/>
  <c r="D1130" i="4"/>
  <c r="D1129" i="4"/>
  <c r="D1128" i="4"/>
  <c r="D1127" i="4"/>
  <c r="D1126" i="4"/>
  <c r="D1125" i="4"/>
  <c r="D1124" i="4"/>
  <c r="D1123" i="4"/>
  <c r="D1122" i="4"/>
  <c r="D1121" i="4"/>
  <c r="D1120" i="4"/>
  <c r="D1119" i="4"/>
  <c r="D1118" i="4"/>
  <c r="D1117" i="4"/>
  <c r="D1116" i="4"/>
  <c r="D1115" i="4"/>
  <c r="D1114" i="4"/>
  <c r="D1113" i="4"/>
  <c r="D1112" i="4"/>
  <c r="D1111" i="4"/>
  <c r="D1110" i="4"/>
  <c r="D1109" i="4"/>
  <c r="D1108" i="4"/>
  <c r="D1107" i="4"/>
  <c r="D1106" i="4"/>
  <c r="D1105" i="4"/>
  <c r="D1104" i="4"/>
  <c r="D1103" i="4"/>
  <c r="D1102" i="4"/>
  <c r="D1101" i="4"/>
  <c r="D1100" i="4"/>
  <c r="D1099" i="4"/>
  <c r="D1098" i="4"/>
  <c r="D1097" i="4"/>
  <c r="D1096" i="4"/>
  <c r="D1095" i="4"/>
  <c r="D1094" i="4"/>
  <c r="D1093" i="4"/>
  <c r="D1092" i="4"/>
  <c r="D1091" i="4"/>
  <c r="D1090" i="4"/>
  <c r="D1089" i="4"/>
  <c r="D1088" i="4"/>
  <c r="D1087" i="4"/>
  <c r="D1086" i="4"/>
  <c r="D1085" i="4"/>
  <c r="D1084" i="4"/>
  <c r="D1083" i="4"/>
  <c r="D1082" i="4"/>
  <c r="D1081" i="4"/>
  <c r="D1080" i="4"/>
  <c r="D1079" i="4"/>
  <c r="D1078" i="4"/>
  <c r="D1077" i="4"/>
  <c r="D1076" i="4"/>
  <c r="D1075" i="4"/>
  <c r="D1074" i="4"/>
  <c r="D1073" i="4"/>
  <c r="D1072" i="4"/>
  <c r="D1071" i="4"/>
  <c r="D1070" i="4"/>
  <c r="D1069" i="4"/>
  <c r="D1068" i="4"/>
  <c r="D1067" i="4"/>
  <c r="D1066" i="4"/>
  <c r="D1065" i="4"/>
  <c r="D1064" i="4"/>
  <c r="D1063" i="4"/>
  <c r="D1062" i="4"/>
  <c r="D1061" i="4"/>
  <c r="D1060" i="4"/>
  <c r="D1059" i="4"/>
  <c r="D1058" i="4"/>
  <c r="D1057" i="4"/>
  <c r="D1056" i="4"/>
  <c r="D1055" i="4"/>
  <c r="D1054" i="4"/>
  <c r="D1053" i="4"/>
  <c r="D1052" i="4"/>
  <c r="D1051" i="4"/>
  <c r="D1050" i="4"/>
  <c r="D1049" i="4"/>
  <c r="D1048" i="4"/>
  <c r="D1047" i="4"/>
  <c r="D1046" i="4"/>
  <c r="D1045" i="4"/>
  <c r="D1044" i="4"/>
  <c r="D1043" i="4"/>
  <c r="D1042" i="4"/>
  <c r="D1041" i="4"/>
  <c r="D1040" i="4"/>
  <c r="D1039" i="4"/>
  <c r="D1038" i="4"/>
  <c r="D1037" i="4"/>
  <c r="D1036" i="4"/>
  <c r="D1035" i="4"/>
  <c r="D1034" i="4"/>
  <c r="D1033" i="4"/>
  <c r="D1032" i="4"/>
  <c r="D1031" i="4"/>
  <c r="D1030" i="4"/>
  <c r="D1029" i="4"/>
  <c r="D1028" i="4"/>
  <c r="D1027" i="4"/>
  <c r="D1026" i="4"/>
  <c r="D1025" i="4"/>
  <c r="D1024" i="4"/>
  <c r="D1023" i="4"/>
  <c r="D1022" i="4"/>
  <c r="D1021" i="4"/>
  <c r="D1020" i="4"/>
  <c r="D1019" i="4"/>
  <c r="D1018" i="4"/>
  <c r="D1017" i="4"/>
  <c r="D1016" i="4"/>
  <c r="D1015" i="4"/>
  <c r="D1014" i="4"/>
  <c r="D1013" i="4"/>
  <c r="D1012" i="4"/>
  <c r="D1011" i="4"/>
  <c r="D1010" i="4"/>
  <c r="D1009" i="4"/>
  <c r="D1008" i="4"/>
  <c r="D1007" i="4"/>
  <c r="D1006" i="4"/>
  <c r="D1005" i="4"/>
  <c r="D1004" i="4"/>
  <c r="D1003" i="4"/>
  <c r="D1002" i="4"/>
  <c r="D1001" i="4"/>
  <c r="D1000" i="4"/>
  <c r="D999" i="4"/>
  <c r="D998" i="4"/>
  <c r="D997" i="4"/>
  <c r="D996" i="4"/>
  <c r="D995" i="4"/>
  <c r="D994" i="4"/>
  <c r="D993" i="4"/>
  <c r="D992" i="4"/>
  <c r="D991" i="4"/>
  <c r="D990" i="4"/>
  <c r="D989" i="4"/>
  <c r="D988" i="4"/>
  <c r="D987" i="4"/>
  <c r="D986" i="4"/>
  <c r="D985" i="4"/>
  <c r="D984" i="4"/>
  <c r="D983" i="4"/>
  <c r="D982" i="4"/>
  <c r="D981" i="4"/>
  <c r="D980" i="4"/>
  <c r="D979" i="4"/>
  <c r="D978" i="4"/>
  <c r="D977" i="4"/>
  <c r="D976" i="4"/>
  <c r="D975" i="4"/>
  <c r="D974" i="4"/>
  <c r="D973" i="4"/>
  <c r="D972" i="4"/>
  <c r="D971" i="4"/>
  <c r="D970" i="4"/>
  <c r="D969" i="4"/>
  <c r="D968" i="4"/>
  <c r="D967" i="4"/>
  <c r="D966" i="4"/>
  <c r="D965" i="4"/>
  <c r="D964" i="4"/>
  <c r="D963" i="4"/>
  <c r="D962" i="4"/>
  <c r="D961" i="4"/>
  <c r="D960" i="4"/>
  <c r="D959" i="4"/>
  <c r="D958" i="4"/>
  <c r="D957" i="4"/>
  <c r="D956" i="4"/>
  <c r="D955" i="4"/>
  <c r="D954" i="4"/>
  <c r="D953" i="4"/>
  <c r="D952" i="4"/>
  <c r="D951" i="4"/>
  <c r="D950" i="4"/>
  <c r="D949" i="4"/>
  <c r="D948" i="4"/>
  <c r="D947" i="4"/>
  <c r="D946" i="4"/>
  <c r="D945" i="4"/>
  <c r="D944" i="4"/>
  <c r="D943" i="4"/>
  <c r="D942" i="4"/>
  <c r="D941" i="4"/>
  <c r="D940" i="4"/>
  <c r="D939" i="4"/>
  <c r="D938" i="4"/>
  <c r="D937" i="4"/>
  <c r="D936" i="4"/>
  <c r="D935" i="4"/>
  <c r="D934" i="4"/>
  <c r="D933" i="4"/>
  <c r="D932" i="4"/>
  <c r="D931" i="4"/>
  <c r="D930" i="4"/>
  <c r="D929" i="4"/>
  <c r="D928" i="4"/>
  <c r="D927" i="4"/>
  <c r="D926" i="4"/>
  <c r="D925" i="4"/>
  <c r="D924" i="4"/>
  <c r="D923" i="4"/>
  <c r="D922" i="4"/>
  <c r="D921" i="4"/>
  <c r="D920" i="4"/>
  <c r="D919" i="4"/>
  <c r="D918" i="4"/>
  <c r="D917" i="4"/>
  <c r="D916" i="4"/>
  <c r="D915" i="4"/>
  <c r="D914" i="4"/>
  <c r="D913" i="4"/>
  <c r="D912" i="4"/>
  <c r="D911" i="4"/>
  <c r="D910" i="4"/>
  <c r="D909" i="4"/>
  <c r="D908" i="4"/>
  <c r="D907" i="4"/>
  <c r="D906" i="4"/>
  <c r="D905" i="4"/>
  <c r="D904" i="4"/>
  <c r="D903" i="4"/>
  <c r="D902" i="4"/>
  <c r="D901" i="4"/>
  <c r="D900" i="4"/>
  <c r="D899" i="4"/>
  <c r="D898" i="4"/>
  <c r="D897" i="4"/>
  <c r="D896" i="4"/>
  <c r="D895" i="4"/>
  <c r="D894" i="4"/>
  <c r="D893" i="4"/>
  <c r="D892" i="4"/>
  <c r="D891" i="4"/>
  <c r="D890" i="4"/>
  <c r="D889" i="4"/>
  <c r="D888" i="4"/>
  <c r="D887" i="4"/>
  <c r="D886" i="4"/>
  <c r="D885" i="4"/>
  <c r="D884" i="4"/>
  <c r="D883" i="4"/>
  <c r="D882" i="4"/>
  <c r="D881" i="4"/>
  <c r="D880" i="4"/>
  <c r="D879" i="4"/>
  <c r="D878" i="4"/>
  <c r="D877" i="4"/>
  <c r="D876" i="4"/>
  <c r="D875" i="4"/>
  <c r="D874" i="4"/>
  <c r="D873" i="4"/>
  <c r="D872" i="4"/>
  <c r="D871" i="4"/>
  <c r="D870" i="4"/>
  <c r="D869" i="4"/>
  <c r="D868" i="4"/>
  <c r="D867" i="4"/>
  <c r="D866" i="4"/>
  <c r="D865" i="4"/>
  <c r="D864" i="4"/>
  <c r="D863" i="4"/>
  <c r="D862" i="4"/>
  <c r="D861" i="4"/>
  <c r="D860" i="4"/>
  <c r="D859" i="4"/>
  <c r="D858" i="4"/>
  <c r="D857" i="4"/>
  <c r="D856" i="4"/>
  <c r="D855" i="4"/>
  <c r="D854" i="4"/>
  <c r="D853" i="4"/>
  <c r="D852" i="4"/>
  <c r="D851" i="4"/>
  <c r="D850" i="4"/>
  <c r="D849" i="4"/>
  <c r="D848" i="4"/>
  <c r="D847" i="4"/>
  <c r="D846" i="4"/>
  <c r="D845" i="4"/>
  <c r="D844" i="4"/>
  <c r="D843" i="4"/>
  <c r="D842" i="4"/>
  <c r="D841" i="4"/>
  <c r="D840" i="4"/>
  <c r="D839" i="4"/>
  <c r="D838" i="4"/>
  <c r="D837" i="4"/>
  <c r="D836" i="4"/>
  <c r="D835" i="4"/>
  <c r="D834" i="4"/>
  <c r="D833" i="4"/>
  <c r="D832" i="4"/>
  <c r="D831" i="4"/>
  <c r="D830" i="4"/>
  <c r="D829" i="4"/>
  <c r="D828" i="4"/>
  <c r="D827" i="4"/>
  <c r="D826" i="4"/>
  <c r="D825" i="4"/>
  <c r="D824" i="4"/>
  <c r="D823" i="4"/>
  <c r="D822" i="4"/>
  <c r="D821" i="4"/>
  <c r="D820" i="4"/>
  <c r="D819" i="4"/>
  <c r="D818" i="4"/>
  <c r="D817" i="4"/>
  <c r="D816" i="4"/>
  <c r="D815" i="4"/>
  <c r="D814" i="4"/>
  <c r="D813" i="4"/>
  <c r="D812" i="4"/>
  <c r="D811" i="4"/>
  <c r="D810" i="4"/>
  <c r="D809" i="4"/>
  <c r="D808" i="4"/>
  <c r="D807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O5" i="1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D5" i="2"/>
  <c r="D4" i="2"/>
  <c r="D3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<sst xmlns="http://schemas.openxmlformats.org/spreadsheetml/2006/main" count="38933" uniqueCount="1185">
  <si>
    <t>Recruiter Name</t>
  </si>
  <si>
    <t>Arya V Jayaprakasan</t>
  </si>
  <si>
    <t>Aditi Pisat</t>
  </si>
  <si>
    <t>Jerry Charles K</t>
  </si>
  <si>
    <t>Shakul Jain</t>
  </si>
  <si>
    <t>Kumar Nachiketa</t>
  </si>
  <si>
    <t>Alex Joy</t>
  </si>
  <si>
    <t>Priyanka Kashyap</t>
  </si>
  <si>
    <t>Achamma Hannah Iype</t>
  </si>
  <si>
    <t>Dhruv Sabharwal</t>
  </si>
  <si>
    <t>Vaishnavi Kirad</t>
  </si>
  <si>
    <t>Satish Saravanan A</t>
  </si>
  <si>
    <t>Atul Vinayak KALE</t>
  </si>
  <si>
    <t>Rohith Rajendran</t>
  </si>
  <si>
    <t>Shepali A Jangam</t>
  </si>
  <si>
    <t>Soumya Jagan</t>
  </si>
  <si>
    <t>A PAMELA Ranet</t>
  </si>
  <si>
    <t>Swathi R</t>
  </si>
  <si>
    <t>K Raghavender Rao</t>
  </si>
  <si>
    <t>Josephine Mary P J</t>
  </si>
  <si>
    <t>STEPHEN Rajan J</t>
  </si>
  <si>
    <t>Srinivasaram shanmugam</t>
  </si>
  <si>
    <t>Susheel Sudhakar Taralekar</t>
  </si>
  <si>
    <t>ROMMEL Mitchell</t>
  </si>
  <si>
    <t>Sandhya Rani S S</t>
  </si>
  <si>
    <t>Marian Jacob Fernandes</t>
  </si>
  <si>
    <t>Aniesh Kesavan</t>
  </si>
  <si>
    <t>Vijayaraghavan M</t>
  </si>
  <si>
    <t>Sanjana Verma</t>
  </si>
  <si>
    <t>Hemalatha N</t>
  </si>
  <si>
    <t>Saravanan Govindhan</t>
  </si>
  <si>
    <t>SATISH Singh</t>
  </si>
  <si>
    <t>Jennifer James DSOUZA</t>
  </si>
  <si>
    <t>Sankiti Vamshi</t>
  </si>
  <si>
    <t>GOKULAKRISHNAN Sundramoorthy</t>
  </si>
  <si>
    <t>Elsa Alex</t>
  </si>
  <si>
    <t>Litty Shalu</t>
  </si>
  <si>
    <t>P A Abraham Tharakan</t>
  </si>
  <si>
    <t>Keerthana Manohar</t>
  </si>
  <si>
    <t>Manikandan Ravi</t>
  </si>
  <si>
    <t>DIBYAJYOTI Pandey</t>
  </si>
  <si>
    <t>Niharika Sharma</t>
  </si>
  <si>
    <t>JAIDEV CHATANAT</t>
  </si>
  <si>
    <t>Deeksha Singh</t>
  </si>
  <si>
    <t>Bhupesh MANDALAPARTHI</t>
  </si>
  <si>
    <t>Sarah Samuel</t>
  </si>
  <si>
    <t>Ashwita Kotian</t>
  </si>
  <si>
    <t>E Praneeth RAJ</t>
  </si>
  <si>
    <t>Aswin Krishna KM</t>
  </si>
  <si>
    <t>Athira P S</t>
  </si>
  <si>
    <t>Athira Raveendran</t>
  </si>
  <si>
    <t>Divya Kumari</t>
  </si>
  <si>
    <t>Divyan Singh Bhadauria</t>
  </si>
  <si>
    <t>Dona Thomas</t>
  </si>
  <si>
    <t>Geethapriya M</t>
  </si>
  <si>
    <t>Keerthana S</t>
  </si>
  <si>
    <t>M Durga</t>
  </si>
  <si>
    <t>shivani Parashar</t>
  </si>
  <si>
    <t>SUNILKUMAR R</t>
  </si>
  <si>
    <t>Swati Subhash Khanapure</t>
  </si>
  <si>
    <t>Lohith Anand Ankeshwarapu</t>
  </si>
  <si>
    <t>Rekha Sashidharan</t>
  </si>
  <si>
    <t>Pavithra .</t>
  </si>
  <si>
    <t>Lakshmi Narasimhan Sridharan</t>
  </si>
  <si>
    <t>Vijeta Preetam Kamble</t>
  </si>
  <si>
    <t>Kheerthana V</t>
  </si>
  <si>
    <t>Joseph Abilash R</t>
  </si>
  <si>
    <t>Candidate Name</t>
  </si>
  <si>
    <t>Total Experience in Months</t>
  </si>
  <si>
    <t>Relevant Experience</t>
  </si>
  <si>
    <t>Company Name</t>
  </si>
  <si>
    <t>Wipro</t>
  </si>
  <si>
    <t>Concentrix</t>
  </si>
  <si>
    <t>Teleperformance</t>
  </si>
  <si>
    <t>Accenture</t>
  </si>
  <si>
    <t>Amazon</t>
  </si>
  <si>
    <t>Tech Mahindra</t>
  </si>
  <si>
    <t>Sitel</t>
  </si>
  <si>
    <t>TCS</t>
  </si>
  <si>
    <t>Infosys</t>
  </si>
  <si>
    <t>Sutherland</t>
  </si>
  <si>
    <t>Fixed Pay</t>
  </si>
  <si>
    <t>Variables</t>
  </si>
  <si>
    <t>CTC With Variables</t>
  </si>
  <si>
    <t>CTC W/O Variables</t>
  </si>
  <si>
    <t>Take Home (M)</t>
  </si>
  <si>
    <t>Entity</t>
  </si>
  <si>
    <t>SHS</t>
  </si>
  <si>
    <t>State</t>
  </si>
  <si>
    <t>TN</t>
  </si>
  <si>
    <t>Level</t>
  </si>
  <si>
    <t>Project ID</t>
  </si>
  <si>
    <t>SBPTable</t>
  </si>
  <si>
    <t>PBI</t>
  </si>
  <si>
    <t>SGS</t>
  </si>
  <si>
    <t>cateogry</t>
  </si>
  <si>
    <t>&lt;L5 /  Min Wage</t>
  </si>
  <si>
    <t>Code</t>
  </si>
  <si>
    <t>Program</t>
  </si>
  <si>
    <t>Fun</t>
  </si>
  <si>
    <t>Category</t>
  </si>
  <si>
    <t>Sub Family</t>
  </si>
  <si>
    <t>Sub Family Group</t>
  </si>
  <si>
    <t>Amd</t>
  </si>
  <si>
    <t>Support</t>
  </si>
  <si>
    <t>SD / PS</t>
  </si>
  <si>
    <t>Vertical / Level</t>
  </si>
  <si>
    <t>MW</t>
  </si>
  <si>
    <t>Bonus</t>
  </si>
  <si>
    <t>Total</t>
  </si>
  <si>
    <t>Amazon NA</t>
  </si>
  <si>
    <t>QLY</t>
  </si>
  <si>
    <t>Production Support</t>
  </si>
  <si>
    <t>Quality Assurance</t>
  </si>
  <si>
    <t>Sub Family 02</t>
  </si>
  <si>
    <t>2021_Atkins_FixedBid_ManagedSe</t>
  </si>
  <si>
    <t>PRD</t>
  </si>
  <si>
    <t>DES</t>
  </si>
  <si>
    <t>Corporate</t>
  </si>
  <si>
    <t>SQM</t>
  </si>
  <si>
    <t>Accounting Local</t>
  </si>
  <si>
    <t>F&amp;A</t>
  </si>
  <si>
    <t>Accounting</t>
  </si>
  <si>
    <t>Amazon UK</t>
  </si>
  <si>
    <t>IT Development</t>
  </si>
  <si>
    <t>MH</t>
  </si>
  <si>
    <t>Production</t>
  </si>
  <si>
    <t>Customer Service Phone</t>
  </si>
  <si>
    <t>Sub Family 03</t>
  </si>
  <si>
    <t>MGT</t>
  </si>
  <si>
    <t>Amazon Seller Support</t>
  </si>
  <si>
    <t>IT Implementation</t>
  </si>
  <si>
    <t>MP</t>
  </si>
  <si>
    <t>AMG</t>
  </si>
  <si>
    <t>SEC</t>
  </si>
  <si>
    <t>Amazon India</t>
  </si>
  <si>
    <t>IT Consulting</t>
  </si>
  <si>
    <t>TS</t>
  </si>
  <si>
    <t>BOS</t>
  </si>
  <si>
    <t>SMGT</t>
  </si>
  <si>
    <t>Amazon Kindle</t>
  </si>
  <si>
    <t>HPS</t>
  </si>
  <si>
    <t>G</t>
  </si>
  <si>
    <t>KL</t>
  </si>
  <si>
    <t>CCOD</t>
  </si>
  <si>
    <t>SUP</t>
  </si>
  <si>
    <t>Mittera - F and A - AP</t>
  </si>
  <si>
    <t>PBI for Others</t>
  </si>
  <si>
    <t>Provider Hospital</t>
  </si>
  <si>
    <t>E</t>
  </si>
  <si>
    <t>CCS</t>
  </si>
  <si>
    <t>Accounting-Global</t>
  </si>
  <si>
    <t>Clarien - Salesforce Cost JC</t>
  </si>
  <si>
    <t>VPP%</t>
  </si>
  <si>
    <t>Provider Physician</t>
  </si>
  <si>
    <t>D</t>
  </si>
  <si>
    <t>CLR</t>
  </si>
  <si>
    <t>Air Niugini_Audit.</t>
  </si>
  <si>
    <t>L5 - Mgr</t>
  </si>
  <si>
    <t>Medical Coding</t>
  </si>
  <si>
    <t>C</t>
  </si>
  <si>
    <t>ECC</t>
  </si>
  <si>
    <t>ADNIC - Claims Operations</t>
  </si>
  <si>
    <t>Transaction Processing</t>
  </si>
  <si>
    <t>Sub Family 01</t>
  </si>
  <si>
    <t>Expedia Global English</t>
  </si>
  <si>
    <t>L5 - Sr.Mgr</t>
  </si>
  <si>
    <t>KA</t>
  </si>
  <si>
    <t>ESC</t>
  </si>
  <si>
    <t>DLG LS IND and SA</t>
  </si>
  <si>
    <t>L6 - Dir</t>
  </si>
  <si>
    <t>ETE</t>
  </si>
  <si>
    <t>SME</t>
  </si>
  <si>
    <t>WestField</t>
  </si>
  <si>
    <t>L6 - Sr. Dir</t>
  </si>
  <si>
    <t>Saxco - F and A</t>
  </si>
  <si>
    <t>L7 - AVP</t>
  </si>
  <si>
    <t>OPS</t>
  </si>
  <si>
    <t>Customer Service Internet</t>
  </si>
  <si>
    <t>Amazon SIV</t>
  </si>
  <si>
    <t>TMG</t>
  </si>
  <si>
    <t>Ingram QA Strategic JC</t>
  </si>
  <si>
    <t>PBI for DES</t>
  </si>
  <si>
    <t>JC DES / Research</t>
  </si>
  <si>
    <t>Research</t>
  </si>
  <si>
    <t>TPS</t>
  </si>
  <si>
    <t>Windstream Order Management</t>
  </si>
  <si>
    <t>PI/ VPP %</t>
  </si>
  <si>
    <t>JC</t>
  </si>
  <si>
    <t>Vertical</t>
  </si>
  <si>
    <t>L3</t>
  </si>
  <si>
    <t>L4</t>
  </si>
  <si>
    <t>ADNIC L2L3 App Support India</t>
  </si>
  <si>
    <t>DEV</t>
  </si>
  <si>
    <t>Hiscox_Ops Services_India</t>
  </si>
  <si>
    <t>Wayfair CS India</t>
  </si>
  <si>
    <t>SUT</t>
  </si>
  <si>
    <t>SAP - Concur Invoice Pilot</t>
  </si>
  <si>
    <t>TEC</t>
  </si>
  <si>
    <t>Finastra</t>
  </si>
  <si>
    <t>LSC Comm - Growth FY25</t>
  </si>
  <si>
    <t>ADNICL2L3AppSupport AbuDhabi</t>
  </si>
  <si>
    <t>FIS India</t>
  </si>
  <si>
    <t>TRG</t>
  </si>
  <si>
    <t>Technical Training</t>
  </si>
  <si>
    <t>Sub Family 14</t>
  </si>
  <si>
    <t>Advance Hiring - ITS</t>
  </si>
  <si>
    <t>Taylor and Francis - F and A</t>
  </si>
  <si>
    <t>TTR</t>
  </si>
  <si>
    <t>Aetna - CPD/LNCPD</t>
  </si>
  <si>
    <t>Wayfair LPS Support Ind</t>
  </si>
  <si>
    <t>Trove-Backoffice</t>
  </si>
  <si>
    <t>LSC Comm - NFB FY25</t>
  </si>
  <si>
    <t>Airbnb Aircover Insurance</t>
  </si>
  <si>
    <t>Trustpilot - CoMo Kochi</t>
  </si>
  <si>
    <t>IOA - Incumbent Backoffice</t>
  </si>
  <si>
    <t>AFG Support- IT Services</t>
  </si>
  <si>
    <t>Checkrs - CX Support</t>
  </si>
  <si>
    <t>EMAIL</t>
  </si>
  <si>
    <t>AirBnb India</t>
  </si>
  <si>
    <t>Navigatr Travel Fulfillment</t>
  </si>
  <si>
    <t>AJG-InframanagedServices</t>
  </si>
  <si>
    <t>expedia WFM</t>
  </si>
  <si>
    <t>Allscripts _US MSA</t>
  </si>
  <si>
    <t>ACM</t>
  </si>
  <si>
    <t>Expedia Airline BO</t>
  </si>
  <si>
    <t>FTD IND Ops</t>
  </si>
  <si>
    <t>INT</t>
  </si>
  <si>
    <t>Fiserv Back-Office India</t>
  </si>
  <si>
    <t>Air Niugini_ARM</t>
  </si>
  <si>
    <t>PRSP</t>
  </si>
  <si>
    <t>Amazon MHLS</t>
  </si>
  <si>
    <t>Lincoln Member Suppt BO IND</t>
  </si>
  <si>
    <t>Mcafee TS Non Voice – NA</t>
  </si>
  <si>
    <t>Mcafee TS Voice – NA</t>
  </si>
  <si>
    <t>India Mcafee Verizon</t>
  </si>
  <si>
    <t>AllyAlign Health_Coding</t>
  </si>
  <si>
    <t>Technology</t>
  </si>
  <si>
    <t>Sub Family 09</t>
  </si>
  <si>
    <t>Act! Software</t>
  </si>
  <si>
    <t>CX and KA GST</t>
  </si>
  <si>
    <t>GST for Malaysia Airlines</t>
  </si>
  <si>
    <t>Altera - TW Prof Services</t>
  </si>
  <si>
    <t>Everest Re UK Supportt</t>
  </si>
  <si>
    <t>SIG FTP INDIA</t>
  </si>
  <si>
    <t>AmeriHealth Caritas_Credential</t>
  </si>
  <si>
    <t>IDMS Research</t>
  </si>
  <si>
    <t>Blackboard - AP_India</t>
  </si>
  <si>
    <t>ARGO - Cash Journal Entries</t>
  </si>
  <si>
    <t>AmeriHealth_ProviderEnrollment</t>
  </si>
  <si>
    <t>LED</t>
  </si>
  <si>
    <t>Netflix APAC</t>
  </si>
  <si>
    <t>Travel_CX_Audit</t>
  </si>
  <si>
    <t>Mcafee Sales &amp; Retention - Chn</t>
  </si>
  <si>
    <t>Supplier Enablement Services</t>
  </si>
  <si>
    <t>Credit Research NFB</t>
  </si>
  <si>
    <t>Analyst &amp; Advisor Relations</t>
  </si>
  <si>
    <t xml:space="preserve">Marketing </t>
  </si>
  <si>
    <t>Investment Banking NFB</t>
  </si>
  <si>
    <t>Anthem - Provider Enrollment</t>
  </si>
  <si>
    <t>ATI AP TE</t>
  </si>
  <si>
    <t>Application Support</t>
  </si>
  <si>
    <t>GSI</t>
  </si>
  <si>
    <t>Infrastructure</t>
  </si>
  <si>
    <t>GSI, GTI, GSD</t>
  </si>
  <si>
    <t>IndiGo PRA</t>
  </si>
  <si>
    <t>NetApp_HARDWARE_Bangalore</t>
  </si>
  <si>
    <t>Amazon IN Seller Support</t>
  </si>
  <si>
    <t>Application Testing</t>
  </si>
  <si>
    <t>AT&amp;T DDAC - Airoli</t>
  </si>
  <si>
    <t>India Private Label</t>
  </si>
  <si>
    <t>799999</t>
  </si>
  <si>
    <t>Aramco - GSBS</t>
  </si>
  <si>
    <t>GPCNA</t>
  </si>
  <si>
    <t>Arch Re Offshore Tech JC</t>
  </si>
  <si>
    <t>IAG GBS LTD-Cargo-CC-Airoli</t>
  </si>
  <si>
    <t>Arkansas - Report Development</t>
  </si>
  <si>
    <t>Avaya Inventory Assurance</t>
  </si>
  <si>
    <t>Athena - Coding</t>
  </si>
  <si>
    <t>Avaya Quote to order</t>
  </si>
  <si>
    <t>Athena - Coding - NFB</t>
  </si>
  <si>
    <t>Air Europa FDS</t>
  </si>
  <si>
    <t>Athena - Community Hosp Coding</t>
  </si>
  <si>
    <t>Dell SmartLeap SW License</t>
  </si>
  <si>
    <t>Athena - Cred</t>
  </si>
  <si>
    <t>Micron WW</t>
  </si>
  <si>
    <t>Athena - IN COMPASS Coding</t>
  </si>
  <si>
    <t>Hagerty Insurance</t>
  </si>
  <si>
    <t>Athena - RPA - NFB</t>
  </si>
  <si>
    <t>Transform holding Malad</t>
  </si>
  <si>
    <t>Athena - Panoramic Health</t>
  </si>
  <si>
    <t>Remitly CET IS IND</t>
  </si>
  <si>
    <t>Athena - RPA</t>
  </si>
  <si>
    <t>LYFT _RIDER SUPPORT</t>
  </si>
  <si>
    <t>Athena - RCM</t>
  </si>
  <si>
    <t>NetApp -BLR- SolidFire</t>
  </si>
  <si>
    <t>Argo Rater VBA Excel Support</t>
  </si>
  <si>
    <t>SpiceJet - PRA</t>
  </si>
  <si>
    <t>Athena RCM - NFB</t>
  </si>
  <si>
    <t>GPC APAC India JC</t>
  </si>
  <si>
    <t>BCBS-AZ SOW 2-Credentialling</t>
  </si>
  <si>
    <t>Lenovo SmartLeap Smart Assist</t>
  </si>
  <si>
    <t>BD - Sales team/ Compensation</t>
  </si>
  <si>
    <t>Business Development</t>
  </si>
  <si>
    <t>Micron OMR</t>
  </si>
  <si>
    <t>Beachbody-DBS</t>
  </si>
  <si>
    <t>FAO</t>
  </si>
  <si>
    <t>Hagerty - Claims Data Entry</t>
  </si>
  <si>
    <t>BedRock - Cred &amp; Enrollment</t>
  </si>
  <si>
    <t>Transom Capital Digital Fin</t>
  </si>
  <si>
    <t>BedRock - RCM</t>
  </si>
  <si>
    <t>Paragon Insurance Holdings</t>
  </si>
  <si>
    <t>Bench - New Business - DHES</t>
  </si>
  <si>
    <t>Allianz_ Environment Resource</t>
  </si>
  <si>
    <t>BIDT Audit for NACIL</t>
  </si>
  <si>
    <t>Amazon LifeCycle IND</t>
  </si>
  <si>
    <t>Bermuda - BHB Funding Model</t>
  </si>
  <si>
    <t>Enterprise IT Managed Services</t>
  </si>
  <si>
    <t>BPT – SD Support</t>
  </si>
  <si>
    <t>Amazon ACCS SMS</t>
  </si>
  <si>
    <t>AT&amp;T TV Service Chat - Chennai</t>
  </si>
  <si>
    <t>AT&amp;T Video Chat - Chennai</t>
  </si>
  <si>
    <t>BTS COMMON JC_93605</t>
  </si>
  <si>
    <t>Corporate Planning</t>
  </si>
  <si>
    <t>Amazon SPS Mandarin</t>
  </si>
  <si>
    <t>Business Contracting</t>
  </si>
  <si>
    <t>Contract Management</t>
  </si>
  <si>
    <t>Robotics -Genesis</t>
  </si>
  <si>
    <t>AP TE Outsource</t>
  </si>
  <si>
    <t>California Dept of Public Heal</t>
  </si>
  <si>
    <t>CREDIT RESEARCH NEW LOGO</t>
  </si>
  <si>
    <t>FlightHub BO Ticket Res CS</t>
  </si>
  <si>
    <t>RCF</t>
  </si>
  <si>
    <t>Micron Add-on work - India</t>
  </si>
  <si>
    <t>Hotstar Digital Chat CS IND</t>
  </si>
  <si>
    <t>Amazon PLS</t>
  </si>
  <si>
    <t>TSL</t>
  </si>
  <si>
    <t>Carl Zeiss</t>
  </si>
  <si>
    <t>Lenovo Comml Smartcare LAS</t>
  </si>
  <si>
    <t>CDPH - BMS</t>
  </si>
  <si>
    <t>LYFT Procurement Services</t>
  </si>
  <si>
    <t>Amazon Knowledge Management</t>
  </si>
  <si>
    <t>Centene - Conduct DMHC PAAS</t>
  </si>
  <si>
    <t>Insurance</t>
  </si>
  <si>
    <t>Sub Family 06</t>
  </si>
  <si>
    <t>IRM Global A2C - India</t>
  </si>
  <si>
    <t>SPOTIFY HYD</t>
  </si>
  <si>
    <t>Chairman &amp; CEO Office</t>
  </si>
  <si>
    <t>ADM</t>
  </si>
  <si>
    <t>Administrative Support</t>
  </si>
  <si>
    <t>Sub Family 13</t>
  </si>
  <si>
    <t>GAM IT Support India Consol</t>
  </si>
  <si>
    <t>EAT</t>
  </si>
  <si>
    <t>GHW WFM</t>
  </si>
  <si>
    <t>FrenchBee FDS</t>
  </si>
  <si>
    <t>ChartFast Web Application-Impl</t>
  </si>
  <si>
    <t>Amazon NA Voice and MU</t>
  </si>
  <si>
    <t>Arch Capital Services LLC</t>
  </si>
  <si>
    <t>Micron OMR Chennai</t>
  </si>
  <si>
    <t>DHG Tax Auditing</t>
  </si>
  <si>
    <t>Technical Support</t>
  </si>
  <si>
    <t>Sub Family 04</t>
  </si>
  <si>
    <t>Plixer- Network Testing</t>
  </si>
  <si>
    <t>Clarien Bank IT Strategy GRC</t>
  </si>
  <si>
    <t>AT&amp;T Broadband Chat - Cochin</t>
  </si>
  <si>
    <t>CLM Applications - GSI</t>
  </si>
  <si>
    <t>Application Development</t>
  </si>
  <si>
    <t>Fare and BIDT Audit</t>
  </si>
  <si>
    <t>HahnAir_PRA_TiTan</t>
  </si>
  <si>
    <t>CLS – ISD &amp; eLearning</t>
  </si>
  <si>
    <t>Knowledge Management</t>
  </si>
  <si>
    <t>Opportunity Fund_Tier 1 IT S</t>
  </si>
  <si>
    <t>Lenovo NA Premium and Gaming</t>
  </si>
  <si>
    <t>Sales / Telesales</t>
  </si>
  <si>
    <t>Columbia - CUFPO</t>
  </si>
  <si>
    <t>Protective Life</t>
  </si>
  <si>
    <t>QR_PRA_altraPRA</t>
  </si>
  <si>
    <t>Expedia Sanctions</t>
  </si>
  <si>
    <t>Columbia – Radiology - FBO</t>
  </si>
  <si>
    <t>Mosaic Robility-IND</t>
  </si>
  <si>
    <t>Ingram Offshore QA_Ind</t>
  </si>
  <si>
    <t>Amazon ELS CTK</t>
  </si>
  <si>
    <t>Snapchat CoMo IND</t>
  </si>
  <si>
    <t>IndiGo DOC</t>
  </si>
  <si>
    <t>Compliance - Ethics</t>
  </si>
  <si>
    <t>Risk Management</t>
  </si>
  <si>
    <t>Porter Airlines 1</t>
  </si>
  <si>
    <t>Compliance - Risk Management</t>
  </si>
  <si>
    <t>LSC F and A</t>
  </si>
  <si>
    <t>Compu Bill Inc</t>
  </si>
  <si>
    <t>DHL PHN DCC</t>
  </si>
  <si>
    <t>Amazon DLS</t>
  </si>
  <si>
    <t>Connexin - Credentialing</t>
  </si>
  <si>
    <t>Avaya CMD</t>
  </si>
  <si>
    <t>Connexin Software - FBO</t>
  </si>
  <si>
    <t>Driver Safety Email_Ind</t>
  </si>
  <si>
    <t>Lyft Bug Validation_Ind</t>
  </si>
  <si>
    <t>Hilton Hindi LOB</t>
  </si>
  <si>
    <t>CBK</t>
  </si>
  <si>
    <t>Micron RMA ImplandSupp-IndiaJC</t>
  </si>
  <si>
    <t>Vice Chairman Office</t>
  </si>
  <si>
    <t>Process Improvement</t>
  </si>
  <si>
    <t>Royal Brunei Cargo Audit</t>
  </si>
  <si>
    <t>Q2 Holdings Inc</t>
  </si>
  <si>
    <t>Corporate - Deal Governance</t>
  </si>
  <si>
    <t>Account Management</t>
  </si>
  <si>
    <t>Qatar I2P</t>
  </si>
  <si>
    <t>Corporate Accounting</t>
  </si>
  <si>
    <t>American1stFinancial WAH IND</t>
  </si>
  <si>
    <t>CPO Office</t>
  </si>
  <si>
    <t>HR Generalists</t>
  </si>
  <si>
    <t>Saks-data engineering POD-Ind</t>
  </si>
  <si>
    <t>CTO Office</t>
  </si>
  <si>
    <t>Bridgecrest FAO</t>
  </si>
  <si>
    <t>DHG Audit</t>
  </si>
  <si>
    <t>GTI</t>
  </si>
  <si>
    <t>Cricut WFMaaS</t>
  </si>
  <si>
    <t>Netflix Hyd</t>
  </si>
  <si>
    <t>QLC</t>
  </si>
  <si>
    <t>Expedia -AirOps ADM Pilot</t>
  </si>
  <si>
    <t>Customer Experience - Quality</t>
  </si>
  <si>
    <t>Ally Power BI</t>
  </si>
  <si>
    <t>FMEA</t>
  </si>
  <si>
    <t>Beyond Risk Insurance</t>
  </si>
  <si>
    <t>EgyptAir - BIDT Audit</t>
  </si>
  <si>
    <t>QR GST Support</t>
  </si>
  <si>
    <t>DTV Tech Chat Chennai</t>
  </si>
  <si>
    <t>IOA SBU Support US and India</t>
  </si>
  <si>
    <t>Clarien Bank-Backoff and Fin</t>
  </si>
  <si>
    <t>Shutterfly CS-Ind</t>
  </si>
  <si>
    <t>Customer Experience - SD</t>
  </si>
  <si>
    <t>AGA</t>
  </si>
  <si>
    <t>Saks Contact center Ind</t>
  </si>
  <si>
    <t>ANA</t>
  </si>
  <si>
    <t>Amazon EERO WFM Support</t>
  </si>
  <si>
    <t>Aetna Insurance</t>
  </si>
  <si>
    <t>Envysion Video Audit</t>
  </si>
  <si>
    <t>Avaya FAO</t>
  </si>
  <si>
    <t>Du Customer Care_Malad</t>
  </si>
  <si>
    <t>Avaya RMA</t>
  </si>
  <si>
    <t>Interactions - India</t>
  </si>
  <si>
    <t>Customer Relations</t>
  </si>
  <si>
    <t>India DHL UK AR</t>
  </si>
  <si>
    <t>CVS EPDB-Cred Backlog Offshore</t>
  </si>
  <si>
    <t>AFG Back Off and Pol Migration</t>
  </si>
  <si>
    <t>CVS EPDB-PDM Backlog Offshore</t>
  </si>
  <si>
    <t>Air Niugini India</t>
  </si>
  <si>
    <t>CVS Health (Aetna) EPDB - PDM</t>
  </si>
  <si>
    <t>SUFS-Zendesk and Help Tree</t>
  </si>
  <si>
    <t>RPA</t>
  </si>
  <si>
    <t>T-Mobile Messaging - Chennai</t>
  </si>
  <si>
    <t>SLS</t>
  </si>
  <si>
    <t>DES-1_ Facilities</t>
  </si>
  <si>
    <t>Saks Data and Appn Dvlpmt JC</t>
  </si>
  <si>
    <t>Deskside Support</t>
  </si>
  <si>
    <t>LSC NFB JC</t>
  </si>
  <si>
    <t>LSC Growth FnA JC</t>
  </si>
  <si>
    <t>American Credit Acceptance BO</t>
  </si>
  <si>
    <t>Digital assurance cloudtestr</t>
  </si>
  <si>
    <t>LIDP Insurance India JC</t>
  </si>
  <si>
    <t>Digital assurance others</t>
  </si>
  <si>
    <t>Carvana Back-office Support</t>
  </si>
  <si>
    <t>Digital Reengineering Services</t>
  </si>
  <si>
    <t>Bridgecrest Legal n Compliance</t>
  </si>
  <si>
    <t>GPC GL Allocation Process</t>
  </si>
  <si>
    <t>Wayfair_Supplier Experience</t>
  </si>
  <si>
    <t>FORVIS Sales Marketing Support</t>
  </si>
  <si>
    <t>Westfield Insurance</t>
  </si>
  <si>
    <t>Digital transformation Automat</t>
  </si>
  <si>
    <t>SUFS WFM Forecasting Services</t>
  </si>
  <si>
    <t>P9005</t>
  </si>
  <si>
    <t>Digital transformation Digital</t>
  </si>
  <si>
    <t>Argo US – F&amp;A</t>
  </si>
  <si>
    <t>P9100</t>
  </si>
  <si>
    <t>Direct JC - F and A bench</t>
  </si>
  <si>
    <t>Argo US - Insurance</t>
  </si>
  <si>
    <t>P9101</t>
  </si>
  <si>
    <t>Elevance - Cred Offshore</t>
  </si>
  <si>
    <t>McAfee Smartleap TS</t>
  </si>
  <si>
    <t>P9906</t>
  </si>
  <si>
    <t>Argo UK Actuaries</t>
  </si>
  <si>
    <t>P9907</t>
  </si>
  <si>
    <t>Wex_CustomerCare</t>
  </si>
  <si>
    <t>P9908</t>
  </si>
  <si>
    <t>Expedia Settlement</t>
  </si>
  <si>
    <t>Spotify DES Cust Cost JC</t>
  </si>
  <si>
    <t>Elevance - DOO Platform</t>
  </si>
  <si>
    <t>Everest_CreditControl_Europe</t>
  </si>
  <si>
    <t>Elevance - Phase 2 Discovery</t>
  </si>
  <si>
    <t>Harland Clarke FAO</t>
  </si>
  <si>
    <t>Elevance RPA_BOT Dev and Maint</t>
  </si>
  <si>
    <t>Arch Re - BO/TP/Underwriting S</t>
  </si>
  <si>
    <t>AGD</t>
  </si>
  <si>
    <t>Employee Communications</t>
  </si>
  <si>
    <t>Internal Communications</t>
  </si>
  <si>
    <t>Ally Financial</t>
  </si>
  <si>
    <t>Enterprise application mainten</t>
  </si>
  <si>
    <t>AT&amp;T U-verse Chat - Chennai</t>
  </si>
  <si>
    <t>ESG Ariba</t>
  </si>
  <si>
    <t>AT&amp;T U-verse Voice - Airoli</t>
  </si>
  <si>
    <t>ESG CORP APPS</t>
  </si>
  <si>
    <t>AT&amp;T UCSDC - Airoli</t>
  </si>
  <si>
    <t>AT&amp;T UFO Chat &amp; Voice - Airoli</t>
  </si>
  <si>
    <t>SAS - Customer Service</t>
  </si>
  <si>
    <t>CH AGT</t>
  </si>
  <si>
    <t>ESG Finance</t>
  </si>
  <si>
    <t>Project Management</t>
  </si>
  <si>
    <t>GEHC-IT Product Support</t>
  </si>
  <si>
    <t>Grady - Anesthesia</t>
  </si>
  <si>
    <t>Humana Inc_CL</t>
  </si>
  <si>
    <t>RST</t>
  </si>
  <si>
    <t>Executive Recruitment</t>
  </si>
  <si>
    <t>Talent Acquisition</t>
  </si>
  <si>
    <t>Humana Inc_DCAV</t>
  </si>
  <si>
    <t>REC</t>
  </si>
  <si>
    <t>Humana Inc_Recredentialing</t>
  </si>
  <si>
    <t>Mt.Sinai Sch of Nursing-AR</t>
  </si>
  <si>
    <t>Facility &amp; Property Mgmnt - GM</t>
  </si>
  <si>
    <t>Facilities</t>
  </si>
  <si>
    <t>MultiPlan</t>
  </si>
  <si>
    <t>Northwell Commercial AR</t>
  </si>
  <si>
    <t>FACILITY &amp; PROPERTY MGMT - SGA</t>
  </si>
  <si>
    <t>Northwell Missing Check Proj</t>
  </si>
  <si>
    <t>Northwell_Coding Services</t>
  </si>
  <si>
    <t>The Govt. of Bermuda - TPA</t>
  </si>
  <si>
    <t>Finance Controls - MDM</t>
  </si>
  <si>
    <t>Mercy Health - PH AR</t>
  </si>
  <si>
    <t>Mercy Health - Trans. Servs</t>
  </si>
  <si>
    <t>Mercy Health - Credit Balance</t>
  </si>
  <si>
    <t>FP &amp; A</t>
  </si>
  <si>
    <t>Palomar - Coding</t>
  </si>
  <si>
    <t>Recondo - Maintenance</t>
  </si>
  <si>
    <t>GE HC APS Development</t>
  </si>
  <si>
    <t>GDU2-Delivery-Leadership</t>
  </si>
  <si>
    <t>GE HC - FY22 Opportunities</t>
  </si>
  <si>
    <t>Jefferson University-ED Coding</t>
  </si>
  <si>
    <t>GE HC - IND Delivery</t>
  </si>
  <si>
    <t>Healthfirst - E&amp;B Offshore</t>
  </si>
  <si>
    <t>HealthFirst - Claims_Onshore</t>
  </si>
  <si>
    <t>TEC II</t>
  </si>
  <si>
    <t>University of Illinois-Coding</t>
  </si>
  <si>
    <t>Temple University - Coding</t>
  </si>
  <si>
    <t>ADV</t>
  </si>
  <si>
    <t>Nyack In-Patient - Coding</t>
  </si>
  <si>
    <t>Northwell - RPA</t>
  </si>
  <si>
    <t>Philips - CT V&amp;V and Simulator</t>
  </si>
  <si>
    <t>TRN</t>
  </si>
  <si>
    <t>PHR</t>
  </si>
  <si>
    <t>NYC Health - Coding</t>
  </si>
  <si>
    <t>Geo Business Finance</t>
  </si>
  <si>
    <t>NYC Health - PH AR</t>
  </si>
  <si>
    <t>Mercy Health - PP AR</t>
  </si>
  <si>
    <t>Virence</t>
  </si>
  <si>
    <t>GFSS-Attendance _ Payroll Supp</t>
  </si>
  <si>
    <t>Payroll</t>
  </si>
  <si>
    <t>Healthfirst - Claims Audit</t>
  </si>
  <si>
    <t>HRD</t>
  </si>
  <si>
    <t>Healthfirst OSS Support</t>
  </si>
  <si>
    <t>Global Business Controller's</t>
  </si>
  <si>
    <t>Healthfirst DME Re-Auth</t>
  </si>
  <si>
    <t>Northwell – PDM Tools</t>
  </si>
  <si>
    <t>Global Finance Shared Services</t>
  </si>
  <si>
    <t>Jauhar - RCM Services</t>
  </si>
  <si>
    <t>VVC Holding Corp - Coding</t>
  </si>
  <si>
    <t>Philips - IAP Consolidation</t>
  </si>
  <si>
    <t>Accounts Receivable</t>
  </si>
  <si>
    <t>Maimonides - Coding</t>
  </si>
  <si>
    <t>Global Initiatives</t>
  </si>
  <si>
    <t>Northwell RCM - PAP</t>
  </si>
  <si>
    <t>GBS</t>
  </si>
  <si>
    <t>Hazel Health - RCM FBO (New)</t>
  </si>
  <si>
    <t>Grady Health - EPIC RCM</t>
  </si>
  <si>
    <t>Health Partners - Credentialin</t>
  </si>
  <si>
    <t>Global Office</t>
  </si>
  <si>
    <t>Global Procurement</t>
  </si>
  <si>
    <t>Procurement</t>
  </si>
  <si>
    <t>NextGen Healthcare</t>
  </si>
  <si>
    <t>Mercy Health - RCM Legacy AR</t>
  </si>
  <si>
    <t>PQM</t>
  </si>
  <si>
    <t>Guam - ED and EM OP Coding</t>
  </si>
  <si>
    <t>NCSBN  Offshore (ORBS)</t>
  </si>
  <si>
    <t>Mitchell Genex - PDM</t>
  </si>
  <si>
    <t>Global TCO</t>
  </si>
  <si>
    <t>Steris Development Staffing</t>
  </si>
  <si>
    <t>STE</t>
  </si>
  <si>
    <t>40EREG</t>
  </si>
  <si>
    <t>GE HC-FY23 Growth Opportunity</t>
  </si>
  <si>
    <t>Philips-FY23 Growth Opportunit</t>
  </si>
  <si>
    <t>Northwell - Credentialing</t>
  </si>
  <si>
    <t>Steris IMS Development Project</t>
  </si>
  <si>
    <t>Steris Summit Development</t>
  </si>
  <si>
    <t>HDE – Coding</t>
  </si>
  <si>
    <t>Northwell - RCM Dental</t>
  </si>
  <si>
    <t>HDE – Hospital</t>
  </si>
  <si>
    <t>HDE – Payer BLM</t>
  </si>
  <si>
    <t>Steris SIC Development</t>
  </si>
  <si>
    <t>HDE – RCMS</t>
  </si>
  <si>
    <t>BAS</t>
  </si>
  <si>
    <t>Healthfirst - UAS Processing</t>
  </si>
  <si>
    <t>NCSBN - Nursys.Org Tech Migrat</t>
  </si>
  <si>
    <t>Hinge Health</t>
  </si>
  <si>
    <t>Northwell RCM - SurgiCare</t>
  </si>
  <si>
    <t>Healthfirst-PEGA OSS Auth</t>
  </si>
  <si>
    <t>Philips-FY24 G. Opportunities</t>
  </si>
  <si>
    <t>GE HC-FY24 Growth Opportunity</t>
  </si>
  <si>
    <t>NextGen - Support</t>
  </si>
  <si>
    <t>Northwell RCM – Gastro</t>
  </si>
  <si>
    <t>ModMed - RCM FBO</t>
  </si>
  <si>
    <t>Mt. Sinai Elmhurst - Coding</t>
  </si>
  <si>
    <t>Northwell RCM-Neurology Legacy</t>
  </si>
  <si>
    <t>Steris - Quick Quote App</t>
  </si>
  <si>
    <t>GE HC - Interfusion</t>
  </si>
  <si>
    <t>HIT BD Investment</t>
  </si>
  <si>
    <t>Steris - Captive BOT</t>
  </si>
  <si>
    <t>Horizontal Business Finance</t>
  </si>
  <si>
    <t>Arch MI-Contract UW and Review</t>
  </si>
  <si>
    <t>HR Business Partners</t>
  </si>
  <si>
    <t>NexBank Mortgage</t>
  </si>
  <si>
    <t>OneTrust Fulfillment Services</t>
  </si>
  <si>
    <t>APMC Mortgage Component Svcs</t>
  </si>
  <si>
    <t>HR Campus Initiatives</t>
  </si>
  <si>
    <t>NexBank TPO</t>
  </si>
  <si>
    <t>Embrace SQRS</t>
  </si>
  <si>
    <t>Flagstar PFA Delegated</t>
  </si>
  <si>
    <t>HR Comp &amp; Benefits</t>
  </si>
  <si>
    <t>Forward Lending</t>
  </si>
  <si>
    <t>Mission_TPR Shared Service</t>
  </si>
  <si>
    <t>HR Employee Engagement</t>
  </si>
  <si>
    <t>AHL UW Index</t>
  </si>
  <si>
    <t>HR Operations</t>
  </si>
  <si>
    <t>Xperience Title Search Analyst</t>
  </si>
  <si>
    <t>Sage residential -SAIF -India</t>
  </si>
  <si>
    <t>CHL QC Loan Boarding Offshore</t>
  </si>
  <si>
    <t>Foundation-Non_QM Undrwt</t>
  </si>
  <si>
    <t>ENACT MI</t>
  </si>
  <si>
    <t>HR Shared Services Global</t>
  </si>
  <si>
    <t>HR Operations &amp; Shared Services</t>
  </si>
  <si>
    <t>Hiscox Inbound Support</t>
  </si>
  <si>
    <t>Hartford CAT Modeling Support</t>
  </si>
  <si>
    <t>Ally Analytics reporting US</t>
  </si>
  <si>
    <t>HR Technology &amp; Analytics</t>
  </si>
  <si>
    <t>Meta SBG NA Accelerate</t>
  </si>
  <si>
    <t>Human Resources Local</t>
  </si>
  <si>
    <t>SmartLeap Translation Tool-DR</t>
  </si>
  <si>
    <t>Protective CXAT Expansion</t>
  </si>
  <si>
    <t>LAC RCM</t>
  </si>
  <si>
    <t>NYC Health - SP</t>
  </si>
  <si>
    <t>UPS EMEA CX FNA - Egypt</t>
  </si>
  <si>
    <t>Spotify PHL Eng Email Support</t>
  </si>
  <si>
    <t>1st Party Collections 5 Day Bu</t>
  </si>
  <si>
    <t>Back Office Support</t>
  </si>
  <si>
    <t>GoDaddy SMB High Value Sales</t>
  </si>
  <si>
    <t>Wex Customer Care</t>
  </si>
  <si>
    <t>Unum Contact Center</t>
  </si>
  <si>
    <t>Lincoln Absence Mgt Servicing</t>
  </si>
  <si>
    <t>CreditShop 1stParty Collection</t>
  </si>
  <si>
    <t>Airbnb CS COL</t>
  </si>
  <si>
    <t>TRAINR</t>
  </si>
  <si>
    <t>IDC Business Finance</t>
  </si>
  <si>
    <t>Aramco-GSBS for ADC</t>
  </si>
  <si>
    <t>Aramco Smart City Brain</t>
  </si>
  <si>
    <t>Middle East FDS</t>
  </si>
  <si>
    <t>Industry Marketing</t>
  </si>
  <si>
    <t>Oman FDS</t>
  </si>
  <si>
    <t>Oman PRA</t>
  </si>
  <si>
    <t>Infosec</t>
  </si>
  <si>
    <t>Qatar CRA</t>
  </si>
  <si>
    <t>Qatar Pax Audit</t>
  </si>
  <si>
    <t>SAS FDS</t>
  </si>
  <si>
    <t>Investment Banking Research</t>
  </si>
  <si>
    <t>Research_Projects</t>
  </si>
  <si>
    <t>Infra cloud transformation</t>
  </si>
  <si>
    <t>FD_Srilanka</t>
  </si>
  <si>
    <t>Internal Audit</t>
  </si>
  <si>
    <t>Travel_WY_BIDT</t>
  </si>
  <si>
    <t>YES_BANK_CASA</t>
  </si>
  <si>
    <t>Schlumberger_JMS</t>
  </si>
  <si>
    <t>Copa_PRA</t>
  </si>
  <si>
    <t>IT Build-out</t>
  </si>
  <si>
    <t>Bank_Axis_AssetOps</t>
  </si>
  <si>
    <t>DHL_KYC_INT</t>
  </si>
  <si>
    <t>IT Service Excellence</t>
  </si>
  <si>
    <t>Widroe Airlines</t>
  </si>
  <si>
    <t>Credit Research</t>
  </si>
  <si>
    <t>Equity Research</t>
  </si>
  <si>
    <t>FORTINET-2207-2407-EBS-CloudTe</t>
  </si>
  <si>
    <t>2021_CAE_Managed_Cloudtestr</t>
  </si>
  <si>
    <t>IT Services Cloud - Investment</t>
  </si>
  <si>
    <t>GSi</t>
  </si>
  <si>
    <t>2021_McLane_Managed_Cloudtestr</t>
  </si>
  <si>
    <t>SOXComplianceExtendedTeam</t>
  </si>
  <si>
    <t>2303-2312-IC-SOX-ComplianceTea</t>
  </si>
  <si>
    <t>IT-BRM</t>
  </si>
  <si>
    <t>AJG_FB_Support-Maintenance</t>
  </si>
  <si>
    <t>Almajdouie-2303-2603-QEC - Bla</t>
  </si>
  <si>
    <t>ASTEC-2208-2508-QE-OracleSaaS</t>
  </si>
  <si>
    <t>IT-BU Overhead</t>
  </si>
  <si>
    <t>BHM-2111-2411-Cloudtestr-QEC</t>
  </si>
  <si>
    <t>Blackstone-OracleCloudInfrastr</t>
  </si>
  <si>
    <t>Cloudtestr-DPW</t>
  </si>
  <si>
    <t>CW-2204-2303-SOA-APP-Support</t>
  </si>
  <si>
    <t>DAI-2304-2312-IT-HelpDesk-Nara</t>
  </si>
  <si>
    <t>DAI-EAS-OracleEBS-MirMubashirA</t>
  </si>
  <si>
    <t>DAI-HRMS-Vamsi</t>
  </si>
  <si>
    <t>DAI-ITInfraDesk</t>
  </si>
  <si>
    <t>DAI-O365-Venkat</t>
  </si>
  <si>
    <t>DAI-OracleAppsTechnical</t>
  </si>
  <si>
    <t>Legal/ secretarial</t>
  </si>
  <si>
    <t>Legal</t>
  </si>
  <si>
    <t>Deckers-EBSEnhancement</t>
  </si>
  <si>
    <t>Deckers-SOAInfraSupport</t>
  </si>
  <si>
    <t>Glatfelter-ABAP-TOD</t>
  </si>
  <si>
    <t>Hollander-EBSSupport</t>
  </si>
  <si>
    <t>Logistics &amp;Transportation - GM</t>
  </si>
  <si>
    <t>HTP-2205-2412-ITOps-CIMS</t>
  </si>
  <si>
    <t>LOGISTICS &amp;TRANSPORTATION -SGA</t>
  </si>
  <si>
    <t>HTP-2207-2412-DBandLinxUnix-CI</t>
  </si>
  <si>
    <t>IEEE-2110-2410-Cloudtestr</t>
  </si>
  <si>
    <t>IFFCO-2208-2507-QE-SAP</t>
  </si>
  <si>
    <t>AGB</t>
  </si>
  <si>
    <t>INT-2211-2212-QEC-QA-Regressio</t>
  </si>
  <si>
    <t>AGC</t>
  </si>
  <si>
    <t>Intralox-2301-2306-Testing-Sup</t>
  </si>
  <si>
    <t>Invesco-2212-2512-RPA-Penny-Bo</t>
  </si>
  <si>
    <t>K12-2101-2112-Ankit-Dev</t>
  </si>
  <si>
    <t>K12-2207-2306-SOW164</t>
  </si>
  <si>
    <t>K12-BIA-RameshBandaru</t>
  </si>
  <si>
    <t>K12-BIA-RamMohanRaoKucharkul</t>
  </si>
  <si>
    <t>K12-BIA-RaviSadanand</t>
  </si>
  <si>
    <t>K12-BIA-VijayPaspuleti</t>
  </si>
  <si>
    <t>K12-BIA-ViswanathApparao</t>
  </si>
  <si>
    <t>Loudoun-Cloudtestr</t>
  </si>
  <si>
    <t>Matco-2304-2603-DevopsImplemen</t>
  </si>
  <si>
    <t>McLane-2209-2211-APAutomation</t>
  </si>
  <si>
    <t>Meritor-2305-2404-Costplus-Ram</t>
  </si>
  <si>
    <t>Meritor-CloudInfraManagedServi</t>
  </si>
  <si>
    <t>Orix-2204-2503-Cloudtestr-QEC</t>
  </si>
  <si>
    <t>Middle East Solution Support</t>
  </si>
  <si>
    <t>QUDNT-2206-2506-Cloudtestr-QEC</t>
  </si>
  <si>
    <t>SNC-2210-2310-KofaxImplementat</t>
  </si>
  <si>
    <t>SNC-2305-2805-OracleEBSOneERPS</t>
  </si>
  <si>
    <t>L2</t>
  </si>
  <si>
    <t>STRIPE-2212-2512-QEC-Oracle-Cl</t>
  </si>
  <si>
    <t>TFW-2112-2201-CloudPrototypeDe</t>
  </si>
  <si>
    <t>TFW-2201-2206-CloudMigrBlanket</t>
  </si>
  <si>
    <t>TFW-2201-2212-DevelopmentBlank</t>
  </si>
  <si>
    <t>TFW-2205-2212-TracpayDev-SA</t>
  </si>
  <si>
    <t>TFW-2206-2306-Sr JavaDevinterg</t>
  </si>
  <si>
    <t>SUPP</t>
  </si>
  <si>
    <t>TFW-2208-2302-Seniortestanalys</t>
  </si>
  <si>
    <t>TFW-2209-2302-QE-UbuntuMTMulti</t>
  </si>
  <si>
    <t>TFW-2210-2509-IC-IncidentManag</t>
  </si>
  <si>
    <t>TFW-2210-2509-ITCmpt-Net Unix</t>
  </si>
  <si>
    <t>TFW-2211-2304-QE-Testing-STMul</t>
  </si>
  <si>
    <t>TFW-2211-2310-QE-AppAgile</t>
  </si>
  <si>
    <t>TFW-2212-2511-QE-PDG-Testing</t>
  </si>
  <si>
    <t>TFW-2301-2303-QE-ST-Handset-Pr</t>
  </si>
  <si>
    <t>TFW-2301-2306-QE-Fire-Ice-3</t>
  </si>
  <si>
    <t>TFW-2301-2312-Addndm1-IT-Dvlpm</t>
  </si>
  <si>
    <t>TFW-2301-2312-QEA-AgentR-U-QA</t>
  </si>
  <si>
    <t>TFW-2301-2312-QE-GDP</t>
  </si>
  <si>
    <t>TFW-2301-2312-QE-GDP-Automatio</t>
  </si>
  <si>
    <t>Networking</t>
  </si>
  <si>
    <t>Network Administration</t>
  </si>
  <si>
    <t>TFW-2301-2312-QE-Loyalty-Rewar</t>
  </si>
  <si>
    <t>TFW-2302-2311-Addndm-PDG-SP-DV</t>
  </si>
  <si>
    <t>TFW-2303-2307-Pega-Enhancement</t>
  </si>
  <si>
    <t>TFW-2303-2405-SR-TestEngnr-Sai</t>
  </si>
  <si>
    <t>TFW-2304-2312-QE-PerformanceEn</t>
  </si>
  <si>
    <t>TFW-2305-2312-DNP-Phase4</t>
  </si>
  <si>
    <t>TFW-2305-2312-Jr-TestEngnr-San</t>
  </si>
  <si>
    <t>TFW-2306-2312-DevSecOps-InfoSe</t>
  </si>
  <si>
    <t>Tracfone_DataMonetization</t>
  </si>
  <si>
    <t>Tracfone-AccountingAutomation</t>
  </si>
  <si>
    <t>Tracfone-BlanketSOW-2</t>
  </si>
  <si>
    <t>Tracfone-QAIncognitos</t>
  </si>
  <si>
    <t>Tracfone-ServiceTransfer</t>
  </si>
  <si>
    <t>Trueblue-2302-2408-CloudTestr-</t>
  </si>
  <si>
    <t>TrueBlue-CloudTestr-HCM-ERP-EP</t>
  </si>
  <si>
    <t>DAI-2208-2212-IT_DeveloperLead</t>
  </si>
  <si>
    <t>PikeEnterprise-Cloudtestr-HCM-</t>
  </si>
  <si>
    <t>UPES-UPES_101</t>
  </si>
  <si>
    <t>Tracfone-Sailpoint</t>
  </si>
  <si>
    <t>ASTEC-2301-2302-Product-Routin</t>
  </si>
  <si>
    <t>Intelsat-2301-2512-Oracle-Clou</t>
  </si>
  <si>
    <t>TFW-2201-2212-BackofficeEnhanc</t>
  </si>
  <si>
    <t>TFW-2206-2212-HomeInternet-QE</t>
  </si>
  <si>
    <t>TFW-2206-2212-TracfoneWireless</t>
  </si>
  <si>
    <t>TFW-2210-2509-Front-WAF-API-Ga</t>
  </si>
  <si>
    <t>TFW-2210-2509-IC-Devops</t>
  </si>
  <si>
    <t>TFW-2210-2509-IC-Tools</t>
  </si>
  <si>
    <t>TFW-2210-2509-IandC-ApplIntegr</t>
  </si>
  <si>
    <t>TFW-2210-2509-IandC-DatabaseSe</t>
  </si>
  <si>
    <t>TFW-2210-2509-IandC-MiddleTier</t>
  </si>
  <si>
    <t>TFW-2210-2509-IC-Dataengineer-</t>
  </si>
  <si>
    <t>TFW-2210-2509-Kubernetes-SRE-E</t>
  </si>
  <si>
    <t>TFW-2301-2302-ADM-CCPA-Develop</t>
  </si>
  <si>
    <t>TFW-2301-2302-QE-CCPA</t>
  </si>
  <si>
    <t>TFW-2301-2302-QE-Customer-Prot</t>
  </si>
  <si>
    <t>TFW-2301-2312-Customer-Develop</t>
  </si>
  <si>
    <t>TFW-2301-2312-Customer-Dvlpmt-</t>
  </si>
  <si>
    <t>TFW-2301-2312-PerformanceEngrM</t>
  </si>
  <si>
    <t>TFW-2301-2312-QE-PEGA-Dvlpt-Te</t>
  </si>
  <si>
    <t>TFW-2306-2312-SP-ServicePlans</t>
  </si>
  <si>
    <t>TracFone-BAU</t>
  </si>
  <si>
    <t>Tracfone-PDGandServicePlans</t>
  </si>
  <si>
    <t>TracFone-QE1ManagedServices</t>
  </si>
  <si>
    <t>TracFone-QE2ManagedServices</t>
  </si>
  <si>
    <t>Org Capability Development</t>
  </si>
  <si>
    <t>WFS-2212-2304-EBS-WFS-Support</t>
  </si>
  <si>
    <t>Meritor-GlobalPlant AWS Suppor</t>
  </si>
  <si>
    <t>TFW-2212-2311-QE-PDG-Automatio</t>
  </si>
  <si>
    <t>K12-2309-2408-DataEngineer-Jas</t>
  </si>
  <si>
    <t>TFW-2307-2312-QE-Payment-Akshi</t>
  </si>
  <si>
    <t>TFW-2307-2312-ValueData-Suppor</t>
  </si>
  <si>
    <t>TFW-2304-2312-Addndm-BI-DataEn</t>
  </si>
  <si>
    <t>EquityResedential-2308-2312-Or</t>
  </si>
  <si>
    <t>TFW-2308-2312-QE-ShiftLift-MS</t>
  </si>
  <si>
    <t>TFW-2309-2312-QE-GDP-Umbrella</t>
  </si>
  <si>
    <t>TFW-2309-2312-QE-Churn-Mgmnt</t>
  </si>
  <si>
    <t>TFW-2308-2401-Service-plan-Opt</t>
  </si>
  <si>
    <t>TFW-2309-2312-TAS-Logging</t>
  </si>
  <si>
    <t>NRUCFC-SUNERAPARTNERSHIPEAM-CX</t>
  </si>
  <si>
    <t>STI-Enviri-Harsco-2307-2308-EB</t>
  </si>
  <si>
    <t>STI-K12-2307-2406-WordPressDev</t>
  </si>
  <si>
    <t>Platform Application&amp;Automate</t>
  </si>
  <si>
    <t>SDS-RAC-2310-2609-OnPrem-DCMig</t>
  </si>
  <si>
    <t>STI-Darling-2308-2512-OracleCl</t>
  </si>
  <si>
    <t>SDS-Astec-2309-2401-OTBI-Repor</t>
  </si>
  <si>
    <t>RSS</t>
  </si>
  <si>
    <t>SDS-WTW-2309-2402-OracleOTBI</t>
  </si>
  <si>
    <t>STI-TFW-2310-2403-RevenueSOXIT</t>
  </si>
  <si>
    <t>STI-NRUCFC-Blanket-DIA</t>
  </si>
  <si>
    <t>STI-NRUCFC-Blanket-DAM</t>
  </si>
  <si>
    <t>Platform NextGen</t>
  </si>
  <si>
    <t>BTG</t>
  </si>
  <si>
    <t>STI-TFW-2311-2402-BAUBacklog</t>
  </si>
  <si>
    <t>SDS-SRP-2310-2402-OnpremMigOCI</t>
  </si>
  <si>
    <t>SDS-Deckers-2311-2402-EBSTech</t>
  </si>
  <si>
    <t>SDS-NRUCFC-2312-2405-Tester-R</t>
  </si>
  <si>
    <t>SDS-2401-2412-SP-New-Addition</t>
  </si>
  <si>
    <t>SDS-TFW-2402-2403-RevAlloction</t>
  </si>
  <si>
    <t>SDS-TFW-2401-2403-GDP24</t>
  </si>
  <si>
    <t>Platform Others</t>
  </si>
  <si>
    <t>SDS-TFW-2401-2403-Omega</t>
  </si>
  <si>
    <t>SDS-TFW-2402-2403-SecTstngQE</t>
  </si>
  <si>
    <t>PMO</t>
  </si>
  <si>
    <t>SDS-TFW-2401-2403-AppSecPrev</t>
  </si>
  <si>
    <t>SDS-TFW-2402-2403-QETaxEngine</t>
  </si>
  <si>
    <t>SDS-TFW-2401-2403-QEServicePln</t>
  </si>
  <si>
    <t>SDS-TFW-2401-2403-GatewayQE</t>
  </si>
  <si>
    <t>PP - Operational Mgmt (Coding)</t>
  </si>
  <si>
    <t>SDS-Stride-2303-2406-WordMigr</t>
  </si>
  <si>
    <t>McAfee Common</t>
  </si>
  <si>
    <t>Amazon.Com Common</t>
  </si>
  <si>
    <t>PP - Operational Mgmt (RCMS)</t>
  </si>
  <si>
    <t>Sutherland Sentinel</t>
  </si>
  <si>
    <t>PP- Support Training RCMS</t>
  </si>
  <si>
    <t>CLS</t>
  </si>
  <si>
    <t>LEVELUP</t>
  </si>
  <si>
    <t>Sutherland Extract</t>
  </si>
  <si>
    <t>Sutherland Helptree</t>
  </si>
  <si>
    <t>Sutherland Prodigy</t>
  </si>
  <si>
    <t>TRA</t>
  </si>
  <si>
    <t>Sutherland Perform_QA_AI</t>
  </si>
  <si>
    <t>Sutherland Robility</t>
  </si>
  <si>
    <t>Conversational AI</t>
  </si>
  <si>
    <t>Workforce Planning</t>
  </si>
  <si>
    <t>PP-Coding_Bench</t>
  </si>
  <si>
    <t>Smartleap</t>
  </si>
  <si>
    <t>Translation Product</t>
  </si>
  <si>
    <t>AI Center of Excellence</t>
  </si>
  <si>
    <t>RTA</t>
  </si>
  <si>
    <t>Sutherland Connect</t>
  </si>
  <si>
    <t>PP-RCMS_Bench - NFB/Logo</t>
  </si>
  <si>
    <t>Conversational IVR</t>
  </si>
  <si>
    <t>WFM</t>
  </si>
  <si>
    <t>Travel Suite</t>
  </si>
  <si>
    <t>Other internal products</t>
  </si>
  <si>
    <t>PP-Support Training Coding</t>
  </si>
  <si>
    <t>QA and testing</t>
  </si>
  <si>
    <t>Prohance chargeback - OE</t>
  </si>
  <si>
    <t>WFM - Resource Planning</t>
  </si>
  <si>
    <t>Project 80</t>
  </si>
  <si>
    <t>WFM- WFM/Scheduling</t>
  </si>
  <si>
    <t>WFM - RTA/ CCOD</t>
  </si>
  <si>
    <t>WFM - Capacity Planning</t>
  </si>
  <si>
    <t>PY - Operational Mgmt (Payer)</t>
  </si>
  <si>
    <t>WFM - Program WFM Leads</t>
  </si>
  <si>
    <t>WFM Leads and &amp; Account Leads</t>
  </si>
  <si>
    <t>Analytics</t>
  </si>
  <si>
    <t>SQMS - PH Quality</t>
  </si>
  <si>
    <t>SQMS - PP Quality</t>
  </si>
  <si>
    <t>PY-Others Support _Bench</t>
  </si>
  <si>
    <t>SQMS - PY Quality BLM</t>
  </si>
  <si>
    <t>SQMS - PY Quality CLM</t>
  </si>
  <si>
    <t>PY-Support Training</t>
  </si>
  <si>
    <t>SQMS – Quality (SHS)</t>
  </si>
  <si>
    <t>Recruiting - Sourcing Team</t>
  </si>
  <si>
    <t>Customer Experience - Program</t>
  </si>
  <si>
    <t>Recruitment - CLM</t>
  </si>
  <si>
    <t>Analytics Common JC_93610</t>
  </si>
  <si>
    <t>TSM</t>
  </si>
  <si>
    <t>Analytics Common JC_93665</t>
  </si>
  <si>
    <t>Analytics Common_93666_93777</t>
  </si>
  <si>
    <t>Analytics Common_93660_93664</t>
  </si>
  <si>
    <t>Bankops Common</t>
  </si>
  <si>
    <t>Research Support</t>
  </si>
  <si>
    <t>DTANLY</t>
  </si>
  <si>
    <t>Recruitment - GLA</t>
  </si>
  <si>
    <t>Travel Common</t>
  </si>
  <si>
    <t>Mortgage (E2E)</t>
  </si>
  <si>
    <t>Recruitment – Leadership</t>
  </si>
  <si>
    <t>Recruitment - Program SS</t>
  </si>
  <si>
    <t>Reporting - GSI</t>
  </si>
  <si>
    <t>Requirements Team</t>
  </si>
  <si>
    <t>Advance Hiring DES1</t>
  </si>
  <si>
    <t>Security Engineering</t>
  </si>
  <si>
    <t>Help Desk</t>
  </si>
  <si>
    <t>Security Management - GM</t>
  </si>
  <si>
    <t>FSM</t>
  </si>
  <si>
    <t>Server</t>
  </si>
  <si>
    <t>Tracfone wireless Inc</t>
  </si>
  <si>
    <t>Service  Excellence</t>
  </si>
  <si>
    <t>Enterprise Compliance Manageme</t>
  </si>
  <si>
    <t>SXL</t>
  </si>
  <si>
    <t>Cost &amp; Efficiency</t>
  </si>
  <si>
    <t>Service Delivery - Healthcare</t>
  </si>
  <si>
    <t>Reporting</t>
  </si>
  <si>
    <t>SGS Digital Recruitment</t>
  </si>
  <si>
    <t>Environment Social Governance</t>
  </si>
  <si>
    <t>Service Delivery</t>
  </si>
  <si>
    <t>SHARED SERVICES - TRAVEL</t>
  </si>
  <si>
    <t>Organizational Excellence</t>
  </si>
  <si>
    <t>SD Insurance</t>
  </si>
  <si>
    <t>SHD</t>
  </si>
  <si>
    <t>SHS-Organizational  Excellence</t>
  </si>
  <si>
    <t>SHS Solutioning - TnT</t>
  </si>
  <si>
    <t>Pricing</t>
  </si>
  <si>
    <t>Travel Vertical</t>
  </si>
  <si>
    <t>Banking SD</t>
  </si>
  <si>
    <t>FTP - SD</t>
  </si>
  <si>
    <t>Solutioning - Bid Proposal</t>
  </si>
  <si>
    <t>Solutioning - BPT - FTP</t>
  </si>
  <si>
    <t>Reporting SD</t>
  </si>
  <si>
    <t>ITS-SG&amp;A</t>
  </si>
  <si>
    <t>Telecom SD Global</t>
  </si>
  <si>
    <t>Solutioning - CET</t>
  </si>
  <si>
    <t>Sutherland Cloud Services</t>
  </si>
  <si>
    <t>Solutioning - Pricing</t>
  </si>
  <si>
    <t>Enterprise Service Delivery SG</t>
  </si>
  <si>
    <t>Solutioning - TnT</t>
  </si>
  <si>
    <t>Solutioning Common</t>
  </si>
  <si>
    <t>Research_Investment</t>
  </si>
  <si>
    <t>Mktg Corporate</t>
  </si>
  <si>
    <t>Mktg-Demand Generation</t>
  </si>
  <si>
    <t>Lead Generation Team</t>
  </si>
  <si>
    <t>BD Content Sales JC</t>
  </si>
  <si>
    <t>Retail</t>
  </si>
  <si>
    <t>Banking</t>
  </si>
  <si>
    <t>Travel Sales</t>
  </si>
  <si>
    <t>BFSI_Sales_Investment</t>
  </si>
  <si>
    <t>IPA_Solution_Investment</t>
  </si>
  <si>
    <t>FMAAS_Pre-sales&amp;Sol</t>
  </si>
  <si>
    <t>Business &amp; Financial Research</t>
  </si>
  <si>
    <t>ANALYTICS VERTICAL</t>
  </si>
  <si>
    <t>BD Travel</t>
  </si>
  <si>
    <t>Platform Product Managers</t>
  </si>
  <si>
    <t>Sales Enablement</t>
  </si>
  <si>
    <t>Taxation Global</t>
  </si>
  <si>
    <t>Solutions Insights</t>
  </si>
  <si>
    <t>Solutions Travel</t>
  </si>
  <si>
    <t>Solutions - Banking &amp; Finance</t>
  </si>
  <si>
    <t>Solutions – CME</t>
  </si>
  <si>
    <t>Telephony</t>
  </si>
  <si>
    <t>Solutions - Enterprise</t>
  </si>
  <si>
    <t>Solutions - Insurance</t>
  </si>
  <si>
    <t>Solutions - Mortgage</t>
  </si>
  <si>
    <t>Solutions – Technology</t>
  </si>
  <si>
    <t>Solutions - IA</t>
  </si>
  <si>
    <t>Banking &amp; Finance</t>
  </si>
  <si>
    <t>Sub Family 05</t>
  </si>
  <si>
    <t>DES - COE</t>
  </si>
  <si>
    <t>Threat, Vulnerablity &amp; Inciden</t>
  </si>
  <si>
    <t>Training - COL</t>
  </si>
  <si>
    <t>Technology Service Desk</t>
  </si>
  <si>
    <t>Endpoint Security &amp; Transforma</t>
  </si>
  <si>
    <t>Training - Corporate</t>
  </si>
  <si>
    <t>Talent Management</t>
  </si>
  <si>
    <t>ESG HCM</t>
  </si>
  <si>
    <t>ESG IROZ</t>
  </si>
  <si>
    <t>ESG SQMS</t>
  </si>
  <si>
    <t>ESG Smartrecruiter</t>
  </si>
  <si>
    <t>ESG EPM Apps</t>
  </si>
  <si>
    <t>Treasury</t>
  </si>
  <si>
    <t>Unified Communication</t>
  </si>
  <si>
    <t>Audits, Assurance and Awarenes</t>
  </si>
  <si>
    <t>Risk and Compliance(SGS)</t>
  </si>
  <si>
    <t>BCP/DR</t>
  </si>
  <si>
    <t>Vertical Business Finance</t>
  </si>
  <si>
    <t>Global Data Privacy</t>
  </si>
  <si>
    <t>Risk and Compliance(SHS)</t>
  </si>
  <si>
    <t>CloudSource RIM</t>
  </si>
  <si>
    <t>PCI I &amp; II Projects</t>
  </si>
  <si>
    <t xml:space="preserve">Endpoint Security &amp; Transforma
</t>
  </si>
  <si>
    <t>ESG BI-EPM Apps</t>
  </si>
  <si>
    <t>Workforce Analytics</t>
  </si>
  <si>
    <t>Reporting Shared Services</t>
  </si>
  <si>
    <t>HR Global Employee Relations</t>
  </si>
  <si>
    <t>Employee Experience</t>
  </si>
  <si>
    <t>Training - Enterprise</t>
  </si>
  <si>
    <t>FTP - Training</t>
  </si>
  <si>
    <t>Global Training</t>
  </si>
  <si>
    <t>PAT</t>
  </si>
  <si>
    <t>SMSI-A</t>
  </si>
  <si>
    <t>SMSI-B</t>
  </si>
  <si>
    <t>SMSI-C</t>
  </si>
  <si>
    <t>SMSI-D</t>
  </si>
  <si>
    <t>SMSI-E</t>
  </si>
  <si>
    <t>Collections</t>
  </si>
  <si>
    <t>CNS</t>
  </si>
  <si>
    <t>Scheduling</t>
  </si>
  <si>
    <t>MKG</t>
  </si>
  <si>
    <t>Sourcing &amp; Procurement</t>
  </si>
  <si>
    <t>Solution Definition &amp; Architecture</t>
  </si>
  <si>
    <t>Version - 13</t>
  </si>
  <si>
    <t>SGS &amp; SMSI</t>
  </si>
  <si>
    <t>ProjectID</t>
  </si>
  <si>
    <t>Role Category</t>
  </si>
  <si>
    <t>RoleCategory</t>
  </si>
  <si>
    <t>Freher/Tenured</t>
  </si>
  <si>
    <t>SubFamily</t>
  </si>
  <si>
    <t>Min</t>
  </si>
  <si>
    <t>Max</t>
  </si>
  <si>
    <t>Sub Family 15</t>
  </si>
  <si>
    <t>Cochin</t>
  </si>
  <si>
    <t>Perf Incentive</t>
  </si>
  <si>
    <t>`Culligan - Growth add FTEs.</t>
  </si>
  <si>
    <t>Version - 15</t>
  </si>
  <si>
    <t>2021_Sarepta_Managed_Cloudtest</t>
  </si>
  <si>
    <t>Westfield F and A Operations.</t>
  </si>
  <si>
    <t>Clarien  Infrastructure</t>
  </si>
  <si>
    <t>Robinson India BOL Pilot</t>
  </si>
  <si>
    <t>Digital River D and T</t>
  </si>
  <si>
    <t>AdidasCloudInfra</t>
  </si>
  <si>
    <t>Argo Surety Claims Admin</t>
  </si>
  <si>
    <t>Avaya - German FnA Support</t>
  </si>
  <si>
    <t>Clarien  SF Digital Lending</t>
  </si>
  <si>
    <t>LSC GBS  Robility</t>
  </si>
  <si>
    <t>AT T-AP Vendor Data Cleansing</t>
  </si>
  <si>
    <t>AEG Fuels IT Strategy Roadmap.</t>
  </si>
  <si>
    <t>DirecTV Short Term Proj Ind</t>
  </si>
  <si>
    <t>Bridgecrest_Growth</t>
  </si>
  <si>
    <t>TUS Airways_BIDT</t>
  </si>
  <si>
    <t>Fujitsu Smartleap.</t>
  </si>
  <si>
    <t>Amazon Support Common</t>
  </si>
  <si>
    <t>Healthfirst  EnB Onshore</t>
  </si>
  <si>
    <t>Anthology_L1L2AdmSup_Exp</t>
  </si>
  <si>
    <t>Anthology_SFDC_L1L2_Support</t>
  </si>
  <si>
    <t>Steris  SharePoint Customized</t>
  </si>
  <si>
    <t>Aramco GSBS Phase 2</t>
  </si>
  <si>
    <t>Steris  Captive BOT</t>
  </si>
  <si>
    <t>Title Shard Servs_Growth_IND</t>
  </si>
  <si>
    <t>Astec Automate Mundane</t>
  </si>
  <si>
    <t>ASTEC23052605AutomateOracl</t>
  </si>
  <si>
    <t>Manual-VikrantPratap-448130</t>
  </si>
  <si>
    <t>AZN21112611CloudinfraMS</t>
  </si>
  <si>
    <t>BCBSMCloudTestERPHCM</t>
  </si>
  <si>
    <t>CanonCloudTestrEBS</t>
  </si>
  <si>
    <t>ChipotleCloudInfraServices</t>
  </si>
  <si>
    <t>ChipotleDBCSDBAandLinuxAdmini</t>
  </si>
  <si>
    <t>ChipotleTempStaffingDatabaseA</t>
  </si>
  <si>
    <t>FORTINET-CloudTestrHCM</t>
  </si>
  <si>
    <t>HTP23012402QECAutomatedTe</t>
  </si>
  <si>
    <t>Invesco22102512QECOracleCl</t>
  </si>
  <si>
    <t>ITRONPDHSCMPDCloud</t>
  </si>
  <si>
    <t>SNC22012412EBSEnhancements</t>
  </si>
  <si>
    <t>SNCUpgradeandMigration</t>
  </si>
  <si>
    <t>SouthwestGasCloudtestr</t>
  </si>
  <si>
    <t>Vertex22082307WorkdayAppT</t>
  </si>
  <si>
    <t>VITASOracleHCMCloud</t>
  </si>
  <si>
    <t>WM22042409InfraManagedservi</t>
  </si>
  <si>
    <t>boAteSeal</t>
  </si>
  <si>
    <t>FCAIT22092301RPAPegaProjec</t>
  </si>
  <si>
    <t>SDSMclane23112502TstngServ</t>
  </si>
  <si>
    <t>SDSGovtDC23122412ATaasImp</t>
  </si>
  <si>
    <t>SDSTFW24012403FireIce</t>
  </si>
  <si>
    <t>SDSRTI24012701QAOracleERP</t>
  </si>
  <si>
    <t>SDSCrompton24012412DTIDigi</t>
  </si>
  <si>
    <t>SDSEmory24032702Automated</t>
  </si>
  <si>
    <t>SDS24012403ADMUTE</t>
  </si>
  <si>
    <t>SDSASTEC24032406EnhacManRD</t>
  </si>
  <si>
    <t>Stride_Avatar_expnSupp May2024</t>
  </si>
  <si>
    <t>TAS initiative with 6 ADF</t>
  </si>
  <si>
    <t>Mclane_Data Archival</t>
  </si>
  <si>
    <t>McLane  Equinix DC Migration</t>
  </si>
  <si>
    <t>Herff Jones</t>
  </si>
  <si>
    <t>SQMS - PP Quality Coding</t>
  </si>
  <si>
    <t>Chief Delivery Officer</t>
  </si>
  <si>
    <t>GDU4DeliveryLeadership</t>
  </si>
  <si>
    <t>Middle East</t>
  </si>
  <si>
    <t>DES1 Recruitment US Support</t>
  </si>
  <si>
    <t>Level 1 - 4</t>
  </si>
  <si>
    <t>Level 5 - 7</t>
  </si>
  <si>
    <t>Level &amp; Design</t>
  </si>
  <si>
    <t>Project Code</t>
  </si>
  <si>
    <t>Project Name</t>
  </si>
  <si>
    <t>Fresher / Tenured</t>
  </si>
  <si>
    <t>Fresher</t>
  </si>
  <si>
    <t>Enter the CTC (pa)</t>
  </si>
  <si>
    <t>FIXED PAY</t>
  </si>
  <si>
    <t>Amount PA</t>
  </si>
  <si>
    <t>Amount PM</t>
  </si>
  <si>
    <t>Calculation Logic</t>
  </si>
  <si>
    <t>Basic Salary</t>
  </si>
  <si>
    <t>35% of Gross</t>
  </si>
  <si>
    <t>35% of CTC - PBI</t>
  </si>
  <si>
    <t>House Rent Allowance</t>
  </si>
  <si>
    <t>50% of Basic</t>
  </si>
  <si>
    <t>Choice Pay</t>
  </si>
  <si>
    <t>Balancing Figure in CTC</t>
  </si>
  <si>
    <t>Statutory Bonus as per Act</t>
  </si>
  <si>
    <t>Special Allowance</t>
  </si>
  <si>
    <t>Balancing figure of Gross</t>
  </si>
  <si>
    <t>Performance Based Incentive</t>
  </si>
  <si>
    <t>Gross Salary (A)</t>
  </si>
  <si>
    <t>PERFORMANCE BASED INCENTIVE (PBI) (B)</t>
  </si>
  <si>
    <t xml:space="preserve">STATUTORY BENEFITS (C) </t>
  </si>
  <si>
    <t>PF + Gratuity</t>
  </si>
  <si>
    <t>Employer's Contribution to PF</t>
  </si>
  <si>
    <t>IF (Gross-HRA)&gt;180000, 21600, (Gross-HRA)*12%</t>
  </si>
  <si>
    <t>Flat 21600,  AVP = Basic* 12%</t>
  </si>
  <si>
    <t>Gratuity</t>
  </si>
  <si>
    <t>As per Gratuity Act (15 Days Basic)</t>
  </si>
  <si>
    <t>CTC (A+B+C)</t>
  </si>
  <si>
    <t>Cost to the Company</t>
  </si>
  <si>
    <t>ESI (Employee)</t>
  </si>
  <si>
    <t>0.75% on Gross less Bonus</t>
  </si>
  <si>
    <t>*Net Salary (Gross-PF-ESI)</t>
  </si>
  <si>
    <t>Gross - PF - ESI</t>
  </si>
  <si>
    <t>*Potential Earning (Net Salary + PBI)</t>
  </si>
  <si>
    <t>Gross - PF - ESI + PBI</t>
  </si>
  <si>
    <t>Basic</t>
  </si>
  <si>
    <t>HRA</t>
  </si>
  <si>
    <t>Spcl Allwnc</t>
  </si>
  <si>
    <t>PI</t>
  </si>
  <si>
    <t>Gross</t>
  </si>
  <si>
    <t>PF</t>
  </si>
  <si>
    <t>ESI</t>
  </si>
  <si>
    <t>Net Salary</t>
  </si>
  <si>
    <t>Net + PI</t>
  </si>
  <si>
    <t>Name</t>
  </si>
  <si>
    <t>Designation</t>
  </si>
  <si>
    <t>CTC</t>
  </si>
  <si>
    <t>Net</t>
  </si>
  <si>
    <t>Pot</t>
  </si>
  <si>
    <t>Loc</t>
  </si>
  <si>
    <t>Doj</t>
  </si>
  <si>
    <t xml:space="preserve">&lt;html&gt;&lt;head&gt;
&lt;meta http-equiv="Content-Type" content="text/html; charset=utf-8"&gt;&lt;meta name="Generator" content="Microsoft Word 15 (filtered medium)"&gt;&lt;style&gt;
&lt;!--
@font-face
{font-family:Wingdings}
@font-face
{font-family:"Cambria Math"}
@font-face
{font-family:Calibri}
p.MsoNormal, li.MsoNormal, div.MsoNormal
{margin:0in;
font-size:12.0pt;
font-family:"Times New Roman",serif}
.MsoChpDefault
{font-size:10.0pt}
@page WordSection1
{margin:1.0in 1.0in 1.0in 1.0in}
div.WordSection1
{}
ol
{margin-bottom:0in}
ul
{margin-bottom:0in}
--&gt;
&lt;/style&gt;&lt;/head&gt;&lt;body lang="EN-US" link="#0563C1" vlink="#954F72" style="word-wrap:break-word"&gt;&lt;div class="WordSection1"&gt;&lt;div&gt;&lt;div align="center"&gt;&lt;table class="MsoNormalTable" border="0" cellspacing="0" cellpadding="0" style="border-collapse:collapse"&gt;&lt;tbody&gt;&lt;tr style="height:46.25pt"&gt;&lt;td width="731" style="width:548.6pt; border:solid windowtext 1.0pt; border-bottom:none; background:#70C27A; padding:0in 5.4pt 0in 5.4pt; height:46.25pt"&gt;&lt;p class="MsoNormal" align="center" style="text-align:center; line-height:105%"&gt;&lt;b&gt;&lt;span style="font-size:18.0pt; line-height:105%; font-family:&amp;quot;Arial&amp;quot;,sans-serif; color:white"&gt;Welcome to Sutherland Family&lt;/span&gt;&lt;/b&gt;&lt;span style="font-size:11.0pt; line-height:105%; font-family:&amp;quot;Calibri&amp;quot;,sans-serif"&gt;&lt;/span&gt;&lt;/p&gt;&lt;/td&gt;&lt;/tr&gt;&lt;tr style="height:22.0pt"&gt;&lt;td width="731" valign="top" style="width:548.6pt; border-top:none; border-left:solid windowtext 1.0pt; border-bottom:none; border-right:solid windowtext 1.0pt; background:#26235D; padding:0in 5.4pt 0in 5.4pt; height:22.0pt"&gt;&lt;p class="MsoNormal" align="center" style="text-align:center; line-height:105%"&gt;&lt;span style="font-size:11.0pt; line-height:105%; font-family:&amp;quot;Calibri&amp;quot;,sans-serif; color:white"&gt;This is not an Offer Letter&lt;/span&gt;&lt;/p&gt;&lt;/td&gt;&lt;/tr&gt;&lt;tr style="height:58.0pt"&gt;&lt;td width="731" valign="top" style="width:548.6pt; border-top:none; border-left:solid windowtext 1.0pt; border-bottom:none; border-right:solid windowtext 1.0pt; padding:0in 5.4pt 0in 5.4pt; height:58.0pt"&gt;&lt;p class="MsoNormal" style="line-height:105%"&gt;&lt;b&gt;&lt;span style="font-size:11.0pt; line-height:105%; font-family:&amp;quot;Calibri&amp;quot;,sans-serif"&gt;Dear </t>
  </si>
  <si>
    <t>,&lt;/span&gt;&lt;/b&gt;&lt;/p&gt;&lt;p class="MsoNormal" style="line-height:105%"&gt;&lt;b&gt;&lt;span style="font-size:11.0pt; line-height:105%; font-family:&amp;quot;Calibri&amp;quot;,sans-serif"&gt;&amp;nbsp;&lt;/span&gt;&lt;/b&gt;&lt;/p&gt;&lt;p class="MsoNormal" style="line-height:105%"&gt;&lt;b&gt;&lt;i&gt;&lt;span style="font-size:11.0pt; line-height:105%; font-family:&amp;quot;Calibri&amp;quot;,sans-serif"&gt;We thank you for the interest shown in joining the Sutherland family.&lt;/span&gt;&lt;/i&gt;&lt;/b&gt;&lt;/p&gt;&lt;p class="MsoNormal" style="line-height:105%"&gt;&lt;b&gt;&lt;span style="font-size:11.0pt; line-height:105%; font-family:&amp;quot;Calibri&amp;quot;,sans-serif"&gt;&amp;nbsp;&lt;/span&gt;&lt;/b&gt;&lt;/p&gt;&lt;p class="MsoNormal" style="line-height:105%"&gt;&lt;b&gt;&lt;span style="font-size:11.0pt; line-height:105%; font-family:&amp;quot;Calibri&amp;quot;,sans-serif"&gt;With reference to the Telephonic Interview you had with us, we are pleased to inform that you have been shortlisted for the post of “</t>
  </si>
  <si>
    <t>”.&amp;nbsp; Your employment with us will only be confirmed after the Document verification.&lt;/span&gt;&lt;/b&gt;&lt;/p&gt;&lt;p class="MsoNormal" style="line-height:105%"&gt;&lt;b&gt;&lt;span style="font-size:11.0pt; line-height:105%; font-family:&amp;quot;Calibri&amp;quot;,sans-serif"&gt;&amp;nbsp;&lt;/span&gt;&lt;/b&gt;&lt;/p&gt;&lt;p class="MsoNormal" style="line-height:105%"&gt;&lt;b&gt;&lt;i&gt;&lt;span style="font-size:11.0pt; line-height:105%; font-family:&amp;quot;Calibri&amp;quot;,sans-serif"&gt;Please find below the proposed compensation details for your reference:&lt;/span&gt;&lt;/i&gt;&lt;/b&gt;&lt;/p&gt;&lt;p class="MsoNormal" style="line-height:105%"&gt;&lt;span style="font-family:&amp;quot;Calibri&amp;quot;,sans-serif"&gt;&amp;nbsp;&lt;/span&gt;&lt;span style="font-size:11.0pt; line-height:105%; font-family:&amp;quot;Calibri&amp;quot;,sans-serif"&gt;&lt;/span&gt;&lt;/p&gt;&lt;/td&gt;&lt;/tr&gt;&lt;tr style="height:149.4pt"&gt;&lt;td width="731" valign="top" style="width:548.6pt; border-top:none; border-left:solid windowtext 1.0pt; border-bottom:none; border-right:solid windowtext 1.0pt; padding:0in 5.4pt 0in 5.4pt; height:149.4pt"&gt;&lt;div align="center"&gt;&lt;table class="MsoNormalTable" border="0" cellspacing="0" cellpadding="0" style="border-collapse:collapse"&gt;&lt;tbody&gt;&lt;tr style="height:22.5pt"&gt;&lt;td width="517" colspan="2" style="width:388.1pt; border:solid windowtext 1.0pt; border-bottom:solid white 1.0pt; padding:0in 5.4pt 0in 5.4pt; height:22.5pt"&gt;&lt;p class="MsoNormal" align="center" style="text-align:center; line-height:105%"&gt;&lt;b&gt;&lt;span style="font-size:11.0pt; line-height:105%; font-family:&amp;quot;Calibri&amp;quot;,sans-serif"&gt;CONDITIONAL OFFER&lt;/span&gt;&lt;/b&gt;&lt;/p&gt;&lt;/td&gt;&lt;/tr&gt;&lt;tr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color:white"&gt;Cost To Company (CTC) PER ANNUM&lt;/span&gt;&lt;/b&gt;&lt;/p&gt;&lt;/td&gt;&lt;td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</t>
  </si>
  <si>
    <t>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color:white"&gt;Net pay before Taxes (Without Incentives) – Per Month&lt;/span&gt;&lt;/b&gt;&lt;/p&gt;&lt;/td&gt;&lt;td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</t>
  </si>
  <si>
    <t>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color:white"&gt;Potential earnings before taxes with incentives 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</t>
  </si>
  <si>
    <t>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color:white"&gt;Work location&lt;/span&gt;&lt;/b&gt;&lt;/p&gt;&lt;/td&gt;&lt;td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</t>
  </si>
  <si>
    <t>&lt;/span&gt;&lt;/b&gt;&lt;/p&gt;&lt;/td&gt;&lt;/tr&gt;&lt;tr style="height:22.5pt"&gt;&lt;td style="border:solid windowtext 1.0pt; border-top:none;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color:white"&gt;Date of Joining&lt;/span&gt;&lt;/b&gt;&lt;/p&gt;&lt;/td&gt;&lt;td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</t>
  </si>
  <si>
    <t>DOJ</t>
  </si>
  <si>
    <t>Location</t>
  </si>
  <si>
    <t>Chennai</t>
  </si>
  <si>
    <t>Mumbai</t>
  </si>
  <si>
    <t>Bhopal</t>
  </si>
  <si>
    <t>Bangalore</t>
  </si>
  <si>
    <t>Hyderabad</t>
  </si>
  <si>
    <t>Associate</t>
  </si>
  <si>
    <t>Email</t>
  </si>
  <si>
    <t>&lt;/span&gt;&lt;/b&gt;&lt;/p&gt;&lt;/td&gt;&lt;/tr&gt;&lt;/tbody&gt;&lt;/table&gt;&lt;/div&gt;&lt;/td&gt;&lt;/tr&gt;&lt;tr style="height:22.2pt"&gt;&lt;td width="731" valign="top" style="width:548.6pt; border-top:none; border-left:solid windowtext 1.0pt; border-bottom:none; border-right:solid windowtext 1.0pt; background:#DE1B54; padding:0in 5.4pt 0in 5.4pt; height:22.2pt"&gt;&lt;p class="MsoNormal" align="center" style="text-align:center; line-height:105%"&gt;&lt;b&gt;&lt;u&gt;&lt;span style="font-size:14.0pt; line-height:105%; font-family:&amp;quot;Calibri&amp;quot;,sans-serif; color:white"&gt;Please keep the following scanned copies ready with you&lt;/span&gt;&lt;/u&gt;&lt;/b&gt;&lt;span style="font-size:11.0pt; line-height:105%; font-family:&amp;quot;Calibri&amp;quot;,sans-serif"&gt;&lt;/span&gt;&lt;/p&gt;&lt;/td&gt;&lt;/tr&gt;&lt;tr style="height:21.05pt"&gt;&lt;td width="731" valign="top" style="width:548.6pt; border-top:none; border-left:solid windowtext 1.0pt; border-bottom:none; border-right:solid windowtext 1.0pt; padding:0in 5.4pt 0in 5.4pt; height:21.05pt"&gt;&lt;ol start="1" type="1" style="margin-top:0in"&gt;&lt;li class="MsoNormal" style="line-height:105%"&gt;&lt;b&gt;&lt;span style="font-size:11.0pt; line-height:105%; font-family:&amp;quot;Calibri&amp;quot;,sans-serif"&gt;10th &amp;amp; 12th Certificates&lt;/span&gt;&lt;/b&gt;&lt;span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font-family:&amp;quot;Calibri&amp;quot;,sans-serif"&gt;Passport size photographs&lt;/span&gt;&lt;/b&gt;&lt;span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font-family:&amp;quot;Calibri&amp;quot;,sans-serif"&gt;Pan card 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font-family:&amp;quot;Calibri&amp;quot;,sans-serif"&gt;E-Aadhaar&lt;/span&gt;&lt;/b&gt;&lt;span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font-family:&amp;quot;Calibri&amp;quot;,sans-serif"&gt;Offer Letter, Relieving Letter, Experience Certificate, Pay slips from the previous organization. (ignore if you are a Fresher)&lt;/span&gt;&lt;/b&gt;&lt;span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font-family:&amp;quot;Calibri&amp;quot;,sans-serif"&gt;UAN Number, PF pass book and ESIC number (If you have tried joining any company before please refer in PF portal)&lt;/span&gt;&lt;/b&gt;&lt;/li&gt;&lt;li class="MsoNormal" style="line-height:105%"&gt;&lt;b&gt;&lt;span style="font-size:11.0pt; line-height:105%; font-family:&amp;quot;Calibri&amp;quot;,sans-serif"&gt;If you are a HDFC, ICICI or Axis bank account holder then ensure that a cancelled cheque leaf is ready (if not, then we will open a new account).&lt;/span&gt;&lt;/b&gt;&lt;/li&gt;&lt;/ol&gt;&lt;p class="MsoNormal" style="margin-left:.5in; line-height:105%"&gt;&lt;span style="font-size:11.0pt; line-height:105%; font-family:&amp;quot;Calibri&amp;quot;,sans-serif"&gt;&amp;nbsp;&lt;/span&gt;&lt;/p&gt;&lt;/td&gt;&lt;/tr&gt;&lt;tr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color:white"&gt;Working Days &amp;amp; Shift:&lt;/span&gt;&lt;/b&gt;&lt;span style="font-size:11.0pt; line-height:105%; font-family:&amp;quot;Calibri&amp;quot;,sans-serif"&gt;&lt;/span&gt;&lt;/p&gt;&lt;/td&gt;&lt;/tr&gt;&lt;tr style="height:.45in"&gt;&lt;td width="731" valign="top" style="width:548.6pt; border-top:none; border-left:solid windowtext 1.0pt; border-bottom:none; border-right:solid windowtext 1.0pt; padding:0in 5.4pt 0in 5.4pt; height:.45in"&gt;&lt;ul type="disc" style="margin-top:0in"&gt;&lt;li class="MsoNormal" style="line-height:105%"&gt;&lt;b&gt;&lt;span style="font-size:11.0pt; line-height:105%; font-family:&amp;quot;Calibri&amp;quot;,sans-serif"&gt;Weekly-off will be during any day/s of the week&lt;/span&gt;&lt;/b&gt;&lt;/li&gt;&lt;li class="MsoNormal" style="line-height:105%"&gt;&lt;b&gt;&lt;span style="font-size:11.0pt; line-height:105%; font-family:&amp;quot;Calibri&amp;quot;,sans-serif"&gt;Shift will be during the night and at rotational timings (9 hours)&lt;/span&gt;&lt;/b&gt;&lt;span style="font-size:10.0pt; line-height:105%"&gt;&lt;/span&gt;&lt;/li&gt;&lt;/ul&gt;&lt;/td&gt;&lt;/tr&gt;&lt;tr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color:white"&gt;Transportation:&lt;/span&gt;&lt;/b&gt;&lt;span style="font-size:11.0pt; line-height:105%; font-family:&amp;quot;Calibri&amp;quot;,sans-serif"&gt;&lt;/span&gt;&lt;/p&gt;&lt;/td&gt;&lt;/tr&gt;&lt;tr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font-family:&amp;quot;Calibri&amp;quot;,sans-serif"&gt;Cab facility (for Work from Office) is available only for night shifts.&lt;/span&gt;&lt;/b&gt;&lt;/li&gt;&lt;li class="MsoNormal" style="line-height:105%"&gt;&lt;b&gt;&lt;span style="font-size:11.0pt; line-height:105%; font-family:&amp;quot;Calibri&amp;quot;,sans-serif"&gt;Door pick-up and drop-back is available within the stipulated transportation boundaries set by Sutherland (there can be changes to this as per existing transportation policies)&lt;/span&gt;&lt;/b&gt;&lt;/li&gt;&lt;/ul&gt;&lt;/td&gt;&lt;/tr&gt;&lt;tr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color:white"&gt;Salary:&lt;/span&gt;&lt;/b&gt;&lt;span style="font-size:11.0pt; line-height:105%; font-family:&amp;quot;Calibri&amp;quot;,sans-serif"&gt;&lt;/span&gt;&lt;/p&gt;&lt;/td&gt;&lt;/tr&gt;&lt;tr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font-family:&amp;quot;Calibri&amp;quot;,sans-serif"&gt;Salary would be paid on the last date of the month.&lt;/span&gt;&lt;/b&gt;&lt;/li&gt;&lt;li class="MsoNormal" style="line-height:105%"&gt;&lt;b&gt;&lt;span style="font-size:11.0pt; line-height:105%; font-family:&amp;quot;Calibri&amp;quot;,sans-serif"&gt;If your Gross Pay- Bonus is less than Rs 21000/- an amount equivalent to 1.75% of gross&amp;nbsp;&amp;nbsp; salary including bonus will be deducted towards ESI. Rs 20 would be deducted from the Net Salary towards employee welfare fund.&lt;/span&gt;&lt;/b&gt;&lt;/li&gt;&lt;/ul&gt;&lt;/td&gt;&lt;/tr&gt;&lt;tr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color:white"&gt;Training Details:&lt;/span&gt;&lt;/b&gt;&lt;/p&gt;&lt;/td&gt;&lt;/tr&gt;&lt;tr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font-family:&amp;quot;Calibri&amp;quot;,sans-serif"&gt;100% attendance during the training period is mandatory. Leave would not be provided during the training period.&lt;/span&gt;&lt;/b&gt;&lt;/li&gt;&lt;li class="MsoNormal" style="line-height:105%"&gt;&lt;b&gt;&lt;span style="font-size:11.0pt; line-height:105%; font-family:&amp;quot;Calibri&amp;quot;,sans-serif"&gt;Successful completion of Communication, Technical and product and process training is compulsory.&lt;/span&gt;&lt;/b&gt;&lt;/li&gt;&lt;li class="MsoNormal" style="line-height:105%"&gt;&lt;b&gt;&lt;span style="font-size:11.0pt; line-height:105%; font-family:&amp;quot;Calibri&amp;quot;,sans-serif"&gt;Training can be during the day or at night.&lt;/span&gt;&lt;/b&gt;&lt;/li&gt;&lt;li class="MsoNormal" style="line-height:105%"&gt;&lt;b&gt;&lt;span style="font-size:11.0pt; line-height:105%; font-family:&amp;quot;Calibri&amp;quot;,sans-serif"&gt;Cab facility (for work from Office) would be available for training during the night shift.&lt;/span&gt;&lt;/b&gt;&lt;/li&gt;&lt;li class="MsoNormal" style="line-height:105%"&gt;&lt;b&gt;&lt;span style="font-size:11.0pt; line-height:105%; font-family:&amp;quot;Calibri&amp;quot;,sans-serif"&gt;The training schedule (Time, Trainer, Venue) will be informed to you well ahead of the training date&lt;/span&gt;&lt;/b&gt;&lt;/li&gt;&lt;/ul&gt;&lt;/td&gt;&lt;/tr&gt;&lt;tr style="height:22.2pt"&gt;&lt;td width="731" valign="top" style="width:548.6pt; border-top:none; border-left:solid windowtext 1.0pt; border-bottom:none; border-right:solid windowtext 1.0pt; background:#DE1B54; padding:0in 5.4pt 0in 5.4pt; height:22.2pt"&gt;&lt;p class="MsoNormal" style="line-height:105%"&gt;&lt;b&gt;&lt;span style="font-size:14.0pt; line-height:105%; font-family:&amp;quot;Calibri&amp;quot;,sans-serif; color:white"&gt;Please Note:&lt;/span&gt;&lt;/b&gt;&lt;/p&gt;&lt;/td&gt;&lt;/tr&gt;&lt;tr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font-family:&amp;quot;Calibri&amp;quot;,sans-serif"&gt;If you are having an existing ESI No &amp;amp; PF Account Number/ Universal Account Number, then please ensure that you are mentioning the same in the joining booklet. &lt;/span&gt;&lt;/b&gt;&lt;/li&gt;&lt;li class="MsoNormal" style="line-height:105%"&gt;&lt;b&gt;&lt;span style="font-size:11.0pt; line-height:105%; font-family:&amp;quot;Calibri&amp;quot;,sans-serif"&gt;If the candidate is not mentioning the existing ESI no, then Sutherland will create a new ESI no. and due to duplication of ESI Nos the ESI benefits will be denied to the employee.&lt;/span&gt;&lt;/b&gt;&lt;/li&gt;&lt;li class="MsoNormal" style="line-height:105%"&gt;&lt;b&gt;&lt;span style="font-size:11.0pt; line-height:105%; font-family:&amp;quot;Calibri&amp;quot;,sans-serif"&gt;The same case is applicable for PF also. IF the candidate is already having existing UAN No, the same should be mentioned.&lt;/span&gt;&lt;/b&gt;&lt;/li&gt;&lt;/ul&gt;&lt;p class="MsoNormal" style="margin-left:.5in; line-height:105%"&gt;&lt;b&gt;&lt;span style="font-size:11.0pt; line-height:105%; font-family:&amp;quot;Calibri&amp;quot;,sans-serif"&gt;&amp;nbsp;&lt;/span&gt;&lt;/b&gt;&lt;/p&gt;&lt;div align="center"&gt;&lt;table class="MsoNormalTable" border="0" cellspacing="0" cellpadding="0" style="border-collapse:collapse"&gt;&lt;tbody&gt;&lt;tr&gt;&lt;td width="618" valign="top" style="width:463.4pt; border:solid windowtext 1.0pt; padding:0in 5.4pt 0in 5.4pt"&gt;&lt;p class="MsoNormal"&gt;&lt;b&gt;&lt;i&gt;&lt;span style="font-size:14.0pt; font-family:&amp;quot;Calibri&amp;quot;,sans-serif; color:#DE1B54"&gt;Please acknowledge this email as acceptance of the offer, so that we can do the necessary arrangements for your smooth onboarding.&lt;/span&gt;&lt;/i&gt;&lt;/b&gt;&lt;/p&gt;&lt;p class="MsoNormal"&gt;&lt;b&gt;&lt;i&gt;&lt;span style="font-size:14.0pt; font-family:&amp;quot;Calibri&amp;quot;,sans-serif; color:#DE1B54"&gt;Disclaimer: Please note that this email and its contents are solely for informational purpose. This letter or its contents cannot be construed to be an offer letter.&lt;/span&gt;&lt;/i&gt;&lt;/b&gt;&lt;b&gt;&lt;i&gt;&lt;span style="font-size:11.0pt; font-family:&amp;quot;Calibri&amp;quot;,sans-serif"&gt;&lt;/span&gt;&lt;/i&gt;&lt;/b&gt;&lt;/p&gt;&lt;/td&gt;&lt;/tr&gt;&lt;/tbody&gt;&lt;/table&gt;&lt;/div&gt;&lt;p class="MsoNormal" style="margin-left:.5in; line-height:105%"&gt;&lt;b&gt;&lt;span style="font-size:11.0pt; line-height:105%; font-family:&amp;quot;Calibri&amp;quot;,sans-serif"&gt;&lt;/span&gt;&lt;/b&gt;&lt;/p&gt;&lt;/td&gt;&lt;/tr&gt;&lt;tr style="height:12.15pt"&gt;&lt;td width="731" valign="top" style="width:548.6pt; border-top:none; border-left:solid windowtext 1.0pt; border-bottom:none; border-right:solid windowtext 1.0pt; padding:0in 5.4pt 0in 5.4pt; height:12.15pt"&gt;&lt;p class="MsoNormal" style="line-height:105%"&gt;&lt;b&gt;&lt;span style="font-size:14.0pt; line-height:105%; font-family:&amp;quot;Calibri&amp;quot;,sans-serif; color:white"&gt;&amp;nbsp;&lt;/span&gt;&lt;/b&gt;&lt;/p&gt;&lt;/td&gt;&lt;/tr&gt;&lt;tr style="height:32.35pt"&gt;&lt;td width="731" valign="top" style="width:548.6pt; border:solid windowtext 1.0pt; border-top:none; background:#70C27A; padding:0in 5.4pt 0in 5.4pt; height:32.35pt"&gt;&lt;p class="MsoNormal" style="line-height:105%"&gt;&lt;b&gt;&lt;span style="font-family:&amp;quot;Calibri&amp;quot;,sans-serif; color:white"&gt;Thanks &amp;amp; Regards,&lt;/span&gt;&lt;/b&gt;&lt;span style="font-size:11.0pt; line-height:105%; font-family:&amp;quot;Calibri&amp;quot;,sans-serif"&gt;&lt;/span&gt;&lt;/p&gt;&lt;p class="MsoNormal" style="line-height:105%"&gt;&lt;b&gt;&lt;span style="font-family:&amp;quot;Calibri&amp;quot;,sans-serif; color:white"&gt;SUTHERLAND RECRUITMENT TEAM&lt;/span&gt;&lt;/b&gt;&lt;span style="font-size:11.0pt; line-height:105%; font-family:&amp;quot;Calibri&amp;quot;,sans-serif"&gt;&lt;/span&gt;&lt;/p&gt;&lt;/td&gt;&lt;/tr&gt;&lt;/tbody&gt;&lt;/table&gt;&lt;/div&gt;&lt;p class="MsoNormal"&gt;&lt;span style="font-size:11.0pt; font-family:&amp;quot;Calibri&amp;quot;,sans-serif"&gt;&amp;nbsp;&lt;/span&gt;&lt;/p&gt;&lt;/div&gt;&lt;/div&gt;&lt;/body&gt;&lt;/html&gt;</t>
  </si>
  <si>
    <t>Rohith.rajendran@sutherlandglobal.com</t>
  </si>
  <si>
    <t>Sandhya</t>
  </si>
  <si>
    <t>Sandhya@sutherlandglobal.com</t>
  </si>
  <si>
    <t>Byjus</t>
  </si>
  <si>
    <t xml:space="preserve">CTC Required to meet the take home </t>
  </si>
  <si>
    <t>Recommended CTC</t>
  </si>
  <si>
    <t>Hike % From Max Band</t>
  </si>
  <si>
    <t>Hike % from Current CTC</t>
  </si>
  <si>
    <t>Rahul</t>
  </si>
  <si>
    <t>Rahul@sutherlandglobal.com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</si>
</sst>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_(* #,##0_);_(* \(#,##0\);_(* &quot;-&quot;??_);_(@_)"/>
    <numFmt numFmtId="166" formatCode="[$-409]d\-mmm\-yy;@"/>
    <numFmt numFmtId="167" formatCode="_(* #,##0.0_);_(* \(#,##0.0\);_(* &quot;-&quot;??_);_(@_)"/>
    <numFmt numFmtId="168" formatCode="0.000"/>
    <numFmt numFmtId="169" formatCode="0.0%"/>
    <numFmt numFmtId="170" formatCode="0.0000%"/>
    <numFmt numFmtId="171" formatCode="0.00000%"/>
  </numFmts>
  <fonts count="3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10"/>
      <color indexed="8"/>
      <name val="MS Sans Serif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FF0000"/>
      <name val="Arial"/>
      <family val="2"/>
    </font>
    <font>
      <b/>
      <sz val="8"/>
      <color rgb="FFFFFFFF"/>
      <name val="Arial"/>
      <family val="2"/>
    </font>
    <font>
      <sz val="8"/>
      <color rgb="FF0070C0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0"/>
      <name val="Arial Unicode MS"/>
      <family val="2"/>
    </font>
    <font>
      <sz val="10"/>
      <color indexed="8"/>
      <name val="MS Sans Serif"/>
      <charset val="134"/>
    </font>
    <font>
      <sz val="8"/>
      <color theme="1"/>
      <name val="Times New Roman"/>
      <family val="1"/>
    </font>
    <font>
      <sz val="8"/>
      <color rgb="FF000000"/>
      <name val="Segoe UI"/>
      <family val="2"/>
    </font>
    <font>
      <sz val="11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u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41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theme="7" tint="0.59999389629810485"/>
        <bgColor indexed="26"/>
      </patternFill>
    </fill>
    <fill>
      <patternFill patternType="solid">
        <fgColor theme="0"/>
        <bgColor indexed="26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6" fillId="0" borderId="0"/>
    <xf numFmtId="0" fontId="9" fillId="0" borderId="0"/>
    <xf numFmtId="0" fontId="6" fillId="0" borderId="0"/>
    <xf numFmtId="0" fontId="1" fillId="0" borderId="0"/>
    <xf numFmtId="0" fontId="17" fillId="0" borderId="0"/>
    <xf numFmtId="0" fontId="18" fillId="0" borderId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</cellStyleXfs>
  <cellXfs count="242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 wrapText="1"/>
    </xf>
    <xf numFmtId="0" fontId="7" fillId="5" borderId="3" xfId="3" applyFont="1" applyFill="1" applyBorder="1" applyAlignment="1">
      <alignment vertical="center" wrapText="1"/>
    </xf>
    <xf numFmtId="0" fontId="7" fillId="5" borderId="3" xfId="3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10" fillId="6" borderId="3" xfId="0" applyFont="1" applyFill="1" applyBorder="1"/>
    <xf numFmtId="0" fontId="5" fillId="0" borderId="3" xfId="0" applyFont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left"/>
    </xf>
    <xf numFmtId="0" fontId="11" fillId="8" borderId="3" xfId="0" applyFont="1" applyFill="1" applyBorder="1"/>
    <xf numFmtId="9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 vertical="center"/>
    </xf>
    <xf numFmtId="165" fontId="11" fillId="0" borderId="3" xfId="1" applyNumberFormat="1" applyFont="1" applyBorder="1" applyAlignment="1">
      <alignment horizontal="right" vertical="center"/>
    </xf>
    <xf numFmtId="165" fontId="5" fillId="0" borderId="3" xfId="1" applyNumberFormat="1" applyFont="1" applyBorder="1" applyAlignment="1">
      <alignment horizontal="center"/>
    </xf>
    <xf numFmtId="165" fontId="5" fillId="0" borderId="0" xfId="0" applyNumberFormat="1" applyFont="1"/>
    <xf numFmtId="0" fontId="12" fillId="9" borderId="0" xfId="0" applyFont="1" applyFill="1" applyAlignment="1">
      <alignment horizontal="center"/>
    </xf>
    <xf numFmtId="0" fontId="11" fillId="9" borderId="3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 wrapText="1"/>
    </xf>
    <xf numFmtId="0" fontId="13" fillId="11" borderId="3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center"/>
    </xf>
    <xf numFmtId="9" fontId="14" fillId="12" borderId="3" xfId="0" applyNumberFormat="1" applyFont="1" applyFill="1" applyBorder="1" applyAlignment="1">
      <alignment horizontal="center" vertical="center"/>
    </xf>
    <xf numFmtId="0" fontId="15" fillId="0" borderId="0" xfId="0" applyFont="1"/>
    <xf numFmtId="0" fontId="10" fillId="8" borderId="3" xfId="0" applyFont="1" applyFill="1" applyBorder="1" applyAlignment="1">
      <alignment horizontal="center"/>
    </xf>
    <xf numFmtId="0" fontId="16" fillId="0" borderId="3" xfId="3" applyFont="1" applyBorder="1" applyAlignment="1">
      <alignment vertical="center"/>
    </xf>
    <xf numFmtId="0" fontId="16" fillId="0" borderId="3" xfId="4" applyFont="1" applyBorder="1" applyAlignment="1">
      <alignment horizontal="center" vertical="top"/>
    </xf>
    <xf numFmtId="0" fontId="16" fillId="0" borderId="3" xfId="0" applyFont="1" applyBorder="1" applyAlignment="1">
      <alignment vertical="top"/>
    </xf>
    <xf numFmtId="166" fontId="16" fillId="0" borderId="3" xfId="3" applyNumberFormat="1" applyFont="1" applyBorder="1" applyAlignment="1">
      <alignment vertical="center"/>
    </xf>
    <xf numFmtId="0" fontId="16" fillId="0" borderId="3" xfId="3" applyFont="1" applyBorder="1" applyAlignment="1">
      <alignment horizontal="center" vertical="center"/>
    </xf>
    <xf numFmtId="0" fontId="16" fillId="0" borderId="3" xfId="4" applyFont="1" applyBorder="1" applyAlignment="1">
      <alignment vertical="top"/>
    </xf>
    <xf numFmtId="0" fontId="16" fillId="0" borderId="3" xfId="0" applyFont="1" applyBorder="1" applyAlignment="1">
      <alignment horizontal="center" vertical="top"/>
    </xf>
    <xf numFmtId="166" fontId="16" fillId="0" borderId="3" xfId="3" applyNumberFormat="1" applyFont="1" applyBorder="1" applyAlignment="1">
      <alignment horizontal="left" vertical="center"/>
    </xf>
    <xf numFmtId="0" fontId="16" fillId="0" borderId="3" xfId="5" applyFont="1" applyBorder="1" applyAlignment="1">
      <alignment horizontal="center"/>
    </xf>
    <xf numFmtId="0" fontId="16" fillId="0" borderId="3" xfId="6" applyFont="1" applyBorder="1"/>
    <xf numFmtId="0" fontId="16" fillId="0" borderId="3" xfId="5" applyFont="1" applyBorder="1"/>
    <xf numFmtId="0" fontId="16" fillId="0" borderId="3" xfId="6" applyFont="1" applyBorder="1" applyAlignment="1">
      <alignment horizontal="center"/>
    </xf>
    <xf numFmtId="0" fontId="7" fillId="5" borderId="3" xfId="7" applyFont="1" applyFill="1" applyBorder="1" applyAlignment="1">
      <alignment horizontal="center" vertical="center" wrapText="1"/>
    </xf>
    <xf numFmtId="166" fontId="16" fillId="0" borderId="3" xfId="7" applyNumberFormat="1" applyFont="1" applyBorder="1" applyAlignment="1">
      <alignment vertical="center"/>
    </xf>
    <xf numFmtId="0" fontId="16" fillId="0" borderId="3" xfId="7" applyFont="1" applyBorder="1" applyAlignment="1">
      <alignment horizontal="center" vertical="center"/>
    </xf>
    <xf numFmtId="0" fontId="16" fillId="0" borderId="3" xfId="0" applyFont="1" applyBorder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15" borderId="0" xfId="0" applyFont="1" applyFill="1"/>
    <xf numFmtId="0" fontId="5" fillId="0" borderId="13" xfId="0" applyFont="1" applyBorder="1"/>
    <xf numFmtId="0" fontId="5" fillId="9" borderId="3" xfId="0" applyFont="1" applyFill="1" applyBorder="1" applyAlignment="1" applyProtection="1">
      <alignment horizontal="center"/>
      <protection locked="0"/>
    </xf>
    <xf numFmtId="1" fontId="5" fillId="0" borderId="0" xfId="0" applyNumberFormat="1" applyFont="1"/>
    <xf numFmtId="0" fontId="5" fillId="0" borderId="14" xfId="0" applyFont="1" applyBorder="1"/>
    <xf numFmtId="0" fontId="8" fillId="0" borderId="0" xfId="0" applyFont="1" applyAlignment="1">
      <alignment horizontal="left"/>
    </xf>
    <xf numFmtId="10" fontId="23" fillId="0" borderId="0" xfId="0" applyNumberFormat="1" applyFont="1"/>
    <xf numFmtId="165" fontId="12" fillId="9" borderId="3" xfId="1" applyNumberFormat="1" applyFont="1" applyFill="1" applyBorder="1" applyAlignment="1">
      <alignment horizontal="center" vertical="center"/>
    </xf>
    <xf numFmtId="0" fontId="8" fillId="0" borderId="0" xfId="0" applyFont="1"/>
    <xf numFmtId="1" fontId="12" fillId="17" borderId="0" xfId="0" applyNumberFormat="1" applyFont="1" applyFill="1" applyAlignment="1">
      <alignment vertical="center"/>
    </xf>
    <xf numFmtId="1" fontId="24" fillId="17" borderId="0" xfId="0" applyNumberFormat="1" applyFont="1" applyFill="1" applyAlignment="1">
      <alignment horizontal="center" vertical="center"/>
    </xf>
    <xf numFmtId="1" fontId="16" fillId="19" borderId="3" xfId="0" applyNumberFormat="1" applyFont="1" applyFill="1" applyBorder="1" applyAlignment="1">
      <alignment horizontal="center" vertical="center"/>
    </xf>
    <xf numFmtId="0" fontId="16" fillId="16" borderId="15" xfId="5" applyFont="1" applyFill="1" applyBorder="1" applyAlignment="1">
      <alignment horizontal="center" vertical="center" wrapText="1"/>
    </xf>
    <xf numFmtId="0" fontId="7" fillId="16" borderId="16" xfId="5" applyFont="1" applyFill="1" applyBorder="1" applyAlignment="1">
      <alignment horizontal="center" vertical="center" wrapText="1"/>
    </xf>
    <xf numFmtId="0" fontId="7" fillId="16" borderId="17" xfId="5" applyFont="1" applyFill="1" applyBorder="1" applyAlignment="1">
      <alignment horizontal="center" vertical="center" wrapText="1"/>
    </xf>
    <xf numFmtId="0" fontId="7" fillId="16" borderId="18" xfId="5" applyFont="1" applyFill="1" applyBorder="1" applyAlignment="1">
      <alignment horizontal="center" vertical="center" wrapText="1"/>
    </xf>
    <xf numFmtId="1" fontId="7" fillId="19" borderId="3" xfId="0" applyNumberFormat="1" applyFont="1" applyFill="1" applyBorder="1" applyAlignment="1">
      <alignment horizontal="center" vertical="center"/>
    </xf>
    <xf numFmtId="0" fontId="7" fillId="16" borderId="3" xfId="5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vertical="center" indent="1"/>
    </xf>
    <xf numFmtId="165" fontId="16" fillId="0" borderId="19" xfId="1" applyNumberFormat="1" applyFont="1" applyBorder="1" applyAlignment="1">
      <alignment horizontal="center" vertical="center"/>
    </xf>
    <xf numFmtId="165" fontId="16" fillId="18" borderId="20" xfId="1" applyNumberFormat="1" applyFont="1" applyFill="1" applyBorder="1" applyAlignment="1">
      <alignment horizontal="center" vertical="center"/>
    </xf>
    <xf numFmtId="165" fontId="16" fillId="0" borderId="21" xfId="1" applyNumberFormat="1" applyFont="1" applyBorder="1" applyAlignment="1">
      <alignment horizontal="center" vertical="center"/>
    </xf>
    <xf numFmtId="0" fontId="5" fillId="0" borderId="20" xfId="0" applyFont="1" applyBorder="1" applyAlignment="1">
      <alignment horizontal="center"/>
    </xf>
    <xf numFmtId="9" fontId="5" fillId="0" borderId="14" xfId="0" applyNumberFormat="1" applyFont="1" applyBorder="1"/>
    <xf numFmtId="0" fontId="16" fillId="0" borderId="22" xfId="0" applyFont="1" applyBorder="1" applyAlignment="1">
      <alignment horizontal="left" vertical="center" indent="1"/>
    </xf>
    <xf numFmtId="165" fontId="5" fillId="0" borderId="23" xfId="1" applyNumberFormat="1" applyFont="1" applyBorder="1" applyAlignment="1" applyProtection="1"/>
    <xf numFmtId="165" fontId="5" fillId="0" borderId="20" xfId="1" applyNumberFormat="1" applyFont="1" applyBorder="1" applyAlignment="1" applyProtection="1"/>
    <xf numFmtId="165" fontId="5" fillId="0" borderId="24" xfId="1" applyNumberFormat="1" applyFont="1" applyFill="1" applyBorder="1" applyAlignment="1" applyProtection="1"/>
    <xf numFmtId="0" fontId="16" fillId="0" borderId="23" xfId="0" applyFont="1" applyBorder="1" applyAlignment="1">
      <alignment horizontal="left" vertical="center" indent="1"/>
    </xf>
    <xf numFmtId="165" fontId="16" fillId="0" borderId="25" xfId="1" applyNumberFormat="1" applyFont="1" applyBorder="1" applyAlignment="1">
      <alignment horizontal="center" vertical="center"/>
    </xf>
    <xf numFmtId="165" fontId="16" fillId="0" borderId="26" xfId="1" applyNumberFormat="1" applyFont="1" applyBorder="1" applyAlignment="1">
      <alignment horizontal="center" vertical="center"/>
    </xf>
    <xf numFmtId="1" fontId="16" fillId="0" borderId="27" xfId="0" applyNumberFormat="1" applyFont="1" applyBorder="1" applyAlignment="1">
      <alignment horizontal="center" vertical="center"/>
    </xf>
    <xf numFmtId="0" fontId="5" fillId="0" borderId="20" xfId="0" applyFont="1" applyBorder="1" applyAlignment="1">
      <alignment horizontal="left" indent="1"/>
    </xf>
    <xf numFmtId="167" fontId="16" fillId="18" borderId="20" xfId="1" applyNumberFormat="1" applyFont="1" applyFill="1" applyBorder="1" applyAlignment="1">
      <alignment horizontal="center" vertical="center"/>
    </xf>
    <xf numFmtId="1" fontId="5" fillId="2" borderId="0" xfId="0" applyNumberFormat="1" applyFont="1" applyFill="1"/>
    <xf numFmtId="0" fontId="16" fillId="0" borderId="28" xfId="0" applyFont="1" applyBorder="1" applyAlignment="1">
      <alignment vertical="center"/>
    </xf>
    <xf numFmtId="165" fontId="16" fillId="0" borderId="29" xfId="1" applyNumberFormat="1" applyFont="1" applyBorder="1" applyAlignment="1">
      <alignment horizontal="center" vertical="center"/>
    </xf>
    <xf numFmtId="165" fontId="16" fillId="0" borderId="30" xfId="1" applyNumberFormat="1" applyFont="1" applyBorder="1" applyAlignment="1">
      <alignment horizontal="center" vertical="center"/>
    </xf>
    <xf numFmtId="1" fontId="16" fillId="0" borderId="31" xfId="0" applyNumberFormat="1" applyFont="1" applyBorder="1" applyAlignment="1">
      <alignment horizontal="center" vertical="center"/>
    </xf>
    <xf numFmtId="168" fontId="5" fillId="0" borderId="14" xfId="0" applyNumberFormat="1" applyFont="1" applyBorder="1"/>
    <xf numFmtId="165" fontId="5" fillId="18" borderId="23" xfId="1" applyNumberFormat="1" applyFont="1" applyFill="1" applyBorder="1" applyAlignment="1" applyProtection="1"/>
    <xf numFmtId="165" fontId="5" fillId="18" borderId="20" xfId="1" applyNumberFormat="1" applyFont="1" applyFill="1" applyBorder="1" applyAlignment="1" applyProtection="1"/>
    <xf numFmtId="169" fontId="5" fillId="0" borderId="20" xfId="0" applyNumberFormat="1" applyFont="1" applyBorder="1" applyAlignment="1">
      <alignment horizontal="center"/>
    </xf>
    <xf numFmtId="165" fontId="16" fillId="20" borderId="32" xfId="1" applyNumberFormat="1" applyFont="1" applyFill="1" applyBorder="1" applyAlignment="1">
      <alignment horizontal="center" vertical="center"/>
    </xf>
    <xf numFmtId="167" fontId="7" fillId="17" borderId="20" xfId="1" applyNumberFormat="1" applyFont="1" applyFill="1" applyBorder="1" applyAlignment="1">
      <alignment horizontal="center" vertical="center"/>
    </xf>
    <xf numFmtId="165" fontId="7" fillId="20" borderId="33" xfId="1" applyNumberFormat="1" applyFont="1" applyFill="1" applyBorder="1" applyAlignment="1">
      <alignment horizontal="center" vertical="center"/>
    </xf>
    <xf numFmtId="1" fontId="12" fillId="20" borderId="34" xfId="0" applyNumberFormat="1" applyFont="1" applyFill="1" applyBorder="1" applyAlignment="1">
      <alignment horizontal="center" vertical="center"/>
    </xf>
    <xf numFmtId="170" fontId="5" fillId="0" borderId="14" xfId="0" applyNumberFormat="1" applyFont="1" applyBorder="1"/>
    <xf numFmtId="1" fontId="5" fillId="0" borderId="13" xfId="0" applyNumberFormat="1" applyFont="1" applyBorder="1"/>
    <xf numFmtId="0" fontId="7" fillId="20" borderId="22" xfId="0" applyFont="1" applyFill="1" applyBorder="1" applyAlignment="1">
      <alignment horizontal="center" vertical="center"/>
    </xf>
    <xf numFmtId="165" fontId="7" fillId="20" borderId="19" xfId="1" applyNumberFormat="1" applyFont="1" applyFill="1" applyBorder="1" applyAlignment="1" applyProtection="1">
      <alignment vertical="center"/>
    </xf>
    <xf numFmtId="165" fontId="7" fillId="20" borderId="35" xfId="1" applyNumberFormat="1" applyFont="1" applyFill="1" applyBorder="1" applyAlignment="1" applyProtection="1">
      <alignment vertical="center"/>
    </xf>
    <xf numFmtId="1" fontId="7" fillId="20" borderId="36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/>
    </xf>
    <xf numFmtId="167" fontId="16" fillId="0" borderId="20" xfId="0" applyNumberFormat="1" applyFont="1" applyBorder="1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5" fillId="0" borderId="37" xfId="0" applyFont="1" applyBorder="1" applyAlignment="1">
      <alignment horizontal="left" indent="1"/>
    </xf>
    <xf numFmtId="165" fontId="5" fillId="0" borderId="38" xfId="1" applyNumberFormat="1" applyFont="1" applyBorder="1" applyAlignment="1" applyProtection="1"/>
    <xf numFmtId="165" fontId="5" fillId="0" borderId="24" xfId="1" applyNumberFormat="1" applyFont="1" applyBorder="1" applyAlignment="1" applyProtection="1"/>
    <xf numFmtId="1" fontId="16" fillId="19" borderId="16" xfId="0" applyNumberFormat="1" applyFont="1" applyFill="1" applyBorder="1" applyAlignment="1">
      <alignment horizontal="center" vertical="center"/>
    </xf>
    <xf numFmtId="165" fontId="25" fillId="0" borderId="4" xfId="1" applyNumberFormat="1" applyFont="1" applyFill="1" applyBorder="1" applyAlignment="1">
      <alignment horizontal="center" vertical="center"/>
    </xf>
    <xf numFmtId="165" fontId="7" fillId="18" borderId="20" xfId="1" applyNumberFormat="1" applyFont="1" applyFill="1" applyBorder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/>
    </xf>
    <xf numFmtId="1" fontId="15" fillId="0" borderId="6" xfId="0" applyNumberFormat="1" applyFont="1" applyBorder="1" applyAlignment="1">
      <alignment horizontal="center" vertical="center"/>
    </xf>
    <xf numFmtId="1" fontId="5" fillId="0" borderId="14" xfId="0" applyNumberFormat="1" applyFont="1" applyBorder="1"/>
    <xf numFmtId="0" fontId="5" fillId="0" borderId="39" xfId="0" applyFont="1" applyBorder="1" applyAlignment="1">
      <alignment horizontal="left" indent="1"/>
    </xf>
    <xf numFmtId="10" fontId="5" fillId="0" borderId="14" xfId="0" applyNumberFormat="1" applyFont="1" applyBorder="1"/>
    <xf numFmtId="0" fontId="5" fillId="0" borderId="16" xfId="0" applyFont="1" applyBorder="1" applyAlignment="1">
      <alignment horizontal="left" indent="1"/>
    </xf>
    <xf numFmtId="165" fontId="16" fillId="0" borderId="39" xfId="1" applyNumberFormat="1" applyFont="1" applyBorder="1" applyAlignment="1">
      <alignment horizontal="center" vertical="center"/>
    </xf>
    <xf numFmtId="165" fontId="16" fillId="0" borderId="0" xfId="1" applyNumberFormat="1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165" fontId="16" fillId="0" borderId="5" xfId="1" applyNumberFormat="1" applyFont="1" applyBorder="1" applyAlignment="1">
      <alignment horizontal="center" vertical="center"/>
    </xf>
    <xf numFmtId="165" fontId="7" fillId="0" borderId="5" xfId="1" applyNumberFormat="1" applyFont="1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0" fontId="5" fillId="0" borderId="28" xfId="0" applyFont="1" applyBorder="1" applyAlignment="1">
      <alignment horizontal="left" indent="1"/>
    </xf>
    <xf numFmtId="165" fontId="5" fillId="0" borderId="40" xfId="1" applyNumberFormat="1" applyFont="1" applyBorder="1" applyAlignment="1" applyProtection="1"/>
    <xf numFmtId="1" fontId="16" fillId="19" borderId="20" xfId="0" applyNumberFormat="1" applyFont="1" applyFill="1" applyBorder="1" applyAlignment="1">
      <alignment horizontal="center" vertical="center"/>
    </xf>
    <xf numFmtId="165" fontId="16" fillId="20" borderId="41" xfId="1" applyNumberFormat="1" applyFont="1" applyFill="1" applyBorder="1" applyAlignment="1" applyProtection="1">
      <alignment horizontal="center" vertical="center"/>
    </xf>
    <xf numFmtId="165" fontId="7" fillId="20" borderId="33" xfId="1" applyNumberFormat="1" applyFont="1" applyFill="1" applyBorder="1" applyAlignment="1" applyProtection="1">
      <alignment vertical="center"/>
    </xf>
    <xf numFmtId="1" fontId="7" fillId="20" borderId="42" xfId="0" applyNumberFormat="1" applyFont="1" applyFill="1" applyBorder="1" applyAlignment="1">
      <alignment horizontal="center" vertical="center"/>
    </xf>
    <xf numFmtId="1" fontId="7" fillId="19" borderId="7" xfId="0" applyNumberFormat="1" applyFont="1" applyFill="1" applyBorder="1" applyAlignment="1">
      <alignment horizontal="center" vertical="center"/>
    </xf>
    <xf numFmtId="165" fontId="7" fillId="20" borderId="43" xfId="1" applyNumberFormat="1" applyFont="1" applyFill="1" applyBorder="1" applyAlignment="1" applyProtection="1">
      <alignment vertical="center"/>
    </xf>
    <xf numFmtId="165" fontId="7" fillId="20" borderId="44" xfId="1" applyNumberFormat="1" applyFont="1" applyFill="1" applyBorder="1" applyAlignment="1" applyProtection="1">
      <alignment vertical="center"/>
    </xf>
    <xf numFmtId="1" fontId="7" fillId="20" borderId="45" xfId="0" applyNumberFormat="1" applyFont="1" applyFill="1" applyBorder="1" applyAlignment="1">
      <alignment horizontal="center" vertical="center"/>
    </xf>
    <xf numFmtId="1" fontId="16" fillId="0" borderId="46" xfId="0" applyNumberFormat="1" applyFont="1" applyBorder="1" applyAlignment="1">
      <alignment horizontal="center" vertical="center"/>
    </xf>
    <xf numFmtId="165" fontId="5" fillId="0" borderId="23" xfId="1" applyNumberFormat="1" applyFont="1" applyBorder="1" applyAlignment="1" applyProtection="1">
      <alignment vertical="center"/>
    </xf>
    <xf numFmtId="165" fontId="5" fillId="0" borderId="20" xfId="1" applyNumberFormat="1" applyFont="1" applyBorder="1" applyAlignment="1" applyProtection="1">
      <alignment vertical="center"/>
    </xf>
    <xf numFmtId="165" fontId="5" fillId="0" borderId="24" xfId="1" applyNumberFormat="1" applyFont="1" applyBorder="1" applyAlignment="1" applyProtection="1">
      <alignment vertical="center"/>
    </xf>
    <xf numFmtId="0" fontId="5" fillId="0" borderId="20" xfId="0" applyFont="1" applyBorder="1" applyAlignment="1">
      <alignment horizontal="center" vertical="center"/>
    </xf>
    <xf numFmtId="165" fontId="5" fillId="0" borderId="47" xfId="1" applyNumberFormat="1" applyFont="1" applyBorder="1" applyAlignment="1" applyProtection="1"/>
    <xf numFmtId="0" fontId="16" fillId="0" borderId="48" xfId="0" applyFont="1" applyBorder="1" applyAlignment="1">
      <alignment vertical="center"/>
    </xf>
    <xf numFmtId="164" fontId="16" fillId="0" borderId="49" xfId="1" applyFont="1" applyBorder="1" applyAlignment="1">
      <alignment horizontal="center" vertical="center"/>
    </xf>
    <xf numFmtId="165" fontId="16" fillId="0" borderId="50" xfId="1" applyNumberFormat="1" applyFont="1" applyBorder="1" applyAlignment="1">
      <alignment horizontal="center" vertical="center"/>
    </xf>
    <xf numFmtId="1" fontId="16" fillId="0" borderId="51" xfId="0" applyNumberFormat="1" applyFont="1" applyBorder="1" applyAlignment="1">
      <alignment horizontal="center" vertical="center"/>
    </xf>
    <xf numFmtId="0" fontId="5" fillId="0" borderId="22" xfId="0" applyFont="1" applyBorder="1"/>
    <xf numFmtId="0" fontId="5" fillId="0" borderId="52" xfId="0" applyFont="1" applyBorder="1"/>
    <xf numFmtId="0" fontId="5" fillId="0" borderId="20" xfId="0" applyFont="1" applyBorder="1"/>
    <xf numFmtId="0" fontId="5" fillId="0" borderId="53" xfId="0" applyFont="1" applyBorder="1" applyAlignment="1">
      <alignment horizontal="center"/>
    </xf>
    <xf numFmtId="165" fontId="16" fillId="19" borderId="54" xfId="1" applyNumberFormat="1" applyFont="1" applyFill="1" applyBorder="1" applyAlignment="1" applyProtection="1">
      <alignment horizontal="center" vertical="center"/>
    </xf>
    <xf numFmtId="165" fontId="7" fillId="19" borderId="55" xfId="1" applyNumberFormat="1" applyFont="1" applyFill="1" applyBorder="1" applyAlignment="1" applyProtection="1">
      <alignment horizontal="center" vertical="center"/>
    </xf>
    <xf numFmtId="1" fontId="7" fillId="19" borderId="56" xfId="0" applyNumberFormat="1" applyFont="1" applyFill="1" applyBorder="1" applyAlignment="1">
      <alignment horizontal="center" vertical="center"/>
    </xf>
    <xf numFmtId="165" fontId="7" fillId="19" borderId="57" xfId="1" applyNumberFormat="1" applyFont="1" applyFill="1" applyBorder="1" applyAlignment="1" applyProtection="1">
      <alignment horizontal="center" vertical="center"/>
    </xf>
    <xf numFmtId="165" fontId="16" fillId="18" borderId="56" xfId="1" applyNumberFormat="1" applyFont="1" applyFill="1" applyBorder="1" applyAlignment="1">
      <alignment horizontal="center" vertical="center"/>
    </xf>
    <xf numFmtId="165" fontId="7" fillId="19" borderId="58" xfId="1" applyNumberFormat="1" applyFont="1" applyFill="1" applyBorder="1" applyAlignment="1" applyProtection="1">
      <alignment horizontal="center" vertical="center"/>
    </xf>
    <xf numFmtId="165" fontId="7" fillId="19" borderId="59" xfId="1" applyNumberFormat="1" applyFont="1" applyFill="1" applyBorder="1" applyAlignment="1" applyProtection="1">
      <alignment horizontal="center" vertical="center"/>
    </xf>
    <xf numFmtId="0" fontId="16" fillId="21" borderId="25" xfId="0" applyFont="1" applyFill="1" applyBorder="1" applyAlignment="1">
      <alignment horizontal="left" vertical="center" indent="1"/>
    </xf>
    <xf numFmtId="165" fontId="16" fillId="21" borderId="25" xfId="1" applyNumberFormat="1" applyFont="1" applyFill="1" applyBorder="1" applyAlignment="1">
      <alignment horizontal="center" vertical="center"/>
    </xf>
    <xf numFmtId="165" fontId="7" fillId="22" borderId="20" xfId="1" applyNumberFormat="1" applyFont="1" applyFill="1" applyBorder="1" applyAlignment="1">
      <alignment horizontal="center" vertical="center"/>
    </xf>
    <xf numFmtId="165" fontId="7" fillId="21" borderId="26" xfId="1" applyNumberFormat="1" applyFont="1" applyFill="1" applyBorder="1" applyAlignment="1">
      <alignment horizontal="center" vertical="center"/>
    </xf>
    <xf numFmtId="1" fontId="7" fillId="21" borderId="34" xfId="0" applyNumberFormat="1" applyFont="1" applyFill="1" applyBorder="1" applyAlignment="1">
      <alignment horizontal="center" vertical="center"/>
    </xf>
    <xf numFmtId="0" fontId="16" fillId="0" borderId="60" xfId="0" applyFont="1" applyBorder="1" applyAlignment="1">
      <alignment vertical="center"/>
    </xf>
    <xf numFmtId="165" fontId="16" fillId="0" borderId="57" xfId="1" applyNumberFormat="1" applyFont="1" applyFill="1" applyBorder="1" applyAlignment="1">
      <alignment horizontal="center" vertical="center"/>
    </xf>
    <xf numFmtId="165" fontId="16" fillId="0" borderId="20" xfId="1" applyNumberFormat="1" applyFont="1" applyFill="1" applyBorder="1" applyAlignment="1">
      <alignment horizontal="center" vertical="center"/>
    </xf>
    <xf numFmtId="1" fontId="16" fillId="0" borderId="59" xfId="0" applyNumberFormat="1" applyFont="1" applyBorder="1" applyAlignment="1">
      <alignment horizontal="center" vertical="center"/>
    </xf>
    <xf numFmtId="0" fontId="16" fillId="20" borderId="61" xfId="0" applyFont="1" applyFill="1" applyBorder="1" applyAlignment="1">
      <alignment horizontal="left" vertical="center" indent="1"/>
    </xf>
    <xf numFmtId="165" fontId="16" fillId="20" borderId="61" xfId="1" applyNumberFormat="1" applyFont="1" applyFill="1" applyBorder="1" applyAlignment="1">
      <alignment horizontal="center" vertical="center"/>
    </xf>
    <xf numFmtId="165" fontId="7" fillId="17" borderId="20" xfId="1" applyNumberFormat="1" applyFont="1" applyFill="1" applyBorder="1" applyAlignment="1">
      <alignment horizontal="center" vertical="center"/>
    </xf>
    <xf numFmtId="165" fontId="7" fillId="20" borderId="44" xfId="1" applyNumberFormat="1" applyFont="1" applyFill="1" applyBorder="1" applyAlignment="1">
      <alignment horizontal="center" vertical="center"/>
    </xf>
    <xf numFmtId="1" fontId="7" fillId="20" borderId="62" xfId="0" applyNumberFormat="1" applyFont="1" applyFill="1" applyBorder="1" applyAlignment="1">
      <alignment horizontal="center" vertical="center"/>
    </xf>
    <xf numFmtId="0" fontId="16" fillId="20" borderId="63" xfId="0" applyFont="1" applyFill="1" applyBorder="1" applyAlignment="1">
      <alignment horizontal="left" vertical="center" indent="1"/>
    </xf>
    <xf numFmtId="165" fontId="16" fillId="20" borderId="63" xfId="1" applyNumberFormat="1" applyFont="1" applyFill="1" applyBorder="1" applyAlignment="1">
      <alignment horizontal="center" vertical="center"/>
    </xf>
    <xf numFmtId="165" fontId="7" fillId="17" borderId="64" xfId="1" applyNumberFormat="1" applyFont="1" applyFill="1" applyBorder="1" applyAlignment="1">
      <alignment horizontal="center" vertical="center"/>
    </xf>
    <xf numFmtId="165" fontId="7" fillId="20" borderId="65" xfId="1" applyNumberFormat="1" applyFont="1" applyFill="1" applyBorder="1" applyAlignment="1">
      <alignment horizontal="center" vertical="center"/>
    </xf>
    <xf numFmtId="1" fontId="7" fillId="20" borderId="66" xfId="0" applyNumberFormat="1" applyFont="1" applyFill="1" applyBorder="1" applyAlignment="1">
      <alignment horizontal="center" vertical="center"/>
    </xf>
    <xf numFmtId="0" fontId="5" fillId="0" borderId="67" xfId="0" applyFont="1" applyBorder="1"/>
    <xf numFmtId="0" fontId="16" fillId="0" borderId="68" xfId="0" applyFont="1" applyBorder="1" applyAlignment="1">
      <alignment vertical="center"/>
    </xf>
    <xf numFmtId="1" fontId="16" fillId="0" borderId="68" xfId="0" applyNumberFormat="1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5" fillId="0" borderId="9" xfId="0" applyFont="1" applyBorder="1"/>
    <xf numFmtId="0" fontId="5" fillId="0" borderId="68" xfId="0" applyFont="1" applyBorder="1"/>
    <xf numFmtId="0" fontId="16" fillId="2" borderId="0" xfId="0" applyFont="1" applyFill="1" applyAlignment="1" applyProtection="1">
      <alignment vertical="center"/>
      <protection locked="0"/>
    </xf>
    <xf numFmtId="0" fontId="16" fillId="2" borderId="0" xfId="0" applyFont="1" applyFill="1" applyAlignment="1" applyProtection="1">
      <alignment horizontal="center" vertical="center"/>
      <protection locked="0"/>
    </xf>
    <xf numFmtId="1" fontId="16" fillId="2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>
      <alignment horizontal="center"/>
    </xf>
    <xf numFmtId="165" fontId="5" fillId="2" borderId="0" xfId="0" applyNumberFormat="1" applyFont="1" applyFill="1"/>
    <xf numFmtId="0" fontId="5" fillId="9" borderId="56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vertical="center" wrapText="1"/>
    </xf>
    <xf numFmtId="0" fontId="25" fillId="18" borderId="0" xfId="0" applyFont="1" applyFill="1" applyAlignment="1">
      <alignment horizontal="left"/>
    </xf>
    <xf numFmtId="0" fontId="19" fillId="0" borderId="56" xfId="0" applyFont="1" applyBorder="1"/>
    <xf numFmtId="0" fontId="13" fillId="13" borderId="56" xfId="0" applyFont="1" applyFill="1" applyBorder="1"/>
    <xf numFmtId="0" fontId="10" fillId="3" borderId="56" xfId="0" applyFont="1" applyFill="1" applyBorder="1"/>
    <xf numFmtId="0" fontId="11" fillId="0" borderId="56" xfId="0" applyFont="1" applyBorder="1"/>
    <xf numFmtId="3" fontId="11" fillId="0" borderId="56" xfId="0" applyNumberFormat="1" applyFont="1" applyBorder="1"/>
    <xf numFmtId="0" fontId="0" fillId="0" borderId="56" xfId="0" applyBorder="1"/>
    <xf numFmtId="0" fontId="13" fillId="14" borderId="56" xfId="0" applyFont="1" applyFill="1" applyBorder="1"/>
    <xf numFmtId="0" fontId="28" fillId="0" borderId="0" xfId="0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0" fontId="21" fillId="0" borderId="0" xfId="0" applyFont="1"/>
    <xf numFmtId="0" fontId="0" fillId="0" borderId="0" xfId="0" applyAlignment="1">
      <alignment vertical="center"/>
    </xf>
    <xf numFmtId="0" fontId="30" fillId="0" borderId="0" xfId="0" applyFont="1" applyAlignment="1"/>
    <xf numFmtId="0" fontId="0" fillId="0" borderId="0" xfId="0" applyFont="1"/>
    <xf numFmtId="0" fontId="0" fillId="2" borderId="56" xfId="0" applyFill="1" applyBorder="1" applyAlignment="1">
      <alignment horizontal="left" vertical="center"/>
    </xf>
    <xf numFmtId="15" fontId="0" fillId="9" borderId="56" xfId="0" applyNumberFormat="1" applyFill="1" applyBorder="1" applyAlignment="1">
      <alignment horizontal="left" vertical="center"/>
    </xf>
    <xf numFmtId="0" fontId="0" fillId="9" borderId="56" xfId="0" applyFill="1" applyBorder="1" applyAlignment="1">
      <alignment horizontal="left" vertical="center"/>
    </xf>
    <xf numFmtId="9" fontId="0" fillId="0" borderId="0" xfId="8" applyFont="1"/>
    <xf numFmtId="0" fontId="0" fillId="0" borderId="0" xfId="0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52" xfId="0" applyBorder="1" applyAlignment="1">
      <alignment horizontal="center"/>
    </xf>
    <xf numFmtId="9" fontId="0" fillId="9" borderId="1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0" fontId="0" fillId="9" borderId="1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9" borderId="11" xfId="0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9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9" fillId="9" borderId="0" xfId="9" applyFill="1" applyAlignment="1">
      <alignment horizontal="center"/>
    </xf>
    <xf numFmtId="0" fontId="0" fillId="9" borderId="0" xfId="0" applyFill="1" applyAlignment="1">
      <alignment horizontal="center"/>
    </xf>
    <xf numFmtId="164" fontId="22" fillId="0" borderId="0" xfId="0" applyNumberFormat="1" applyFont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8" fillId="16" borderId="10" xfId="5" applyFont="1" applyFill="1" applyBorder="1" applyAlignment="1">
      <alignment horizontal="center"/>
    </xf>
    <xf numFmtId="0" fontId="8" fillId="16" borderId="12" xfId="5" applyFont="1" applyFill="1" applyBorder="1" applyAlignment="1">
      <alignment horizontal="center"/>
    </xf>
    <xf numFmtId="0" fontId="8" fillId="16" borderId="8" xfId="5" applyFont="1" applyFill="1" applyBorder="1" applyAlignment="1">
      <alignment horizontal="center"/>
    </xf>
    <xf numFmtId="1" fontId="12" fillId="17" borderId="0" xfId="0" applyNumberFormat="1" applyFont="1" applyFill="1" applyAlignment="1">
      <alignment horizontal="left" vertical="center"/>
    </xf>
    <xf numFmtId="0" fontId="8" fillId="0" borderId="0" xfId="0" applyFont="1" applyAlignment="1">
      <alignment horizontal="left"/>
    </xf>
    <xf numFmtId="0" fontId="7" fillId="0" borderId="3" xfId="2" applyFont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7" fillId="0" borderId="5" xfId="2" applyFont="1" applyBorder="1" applyAlignment="1">
      <alignment horizontal="center"/>
    </xf>
    <xf numFmtId="0" fontId="7" fillId="0" borderId="6" xfId="2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</cellXfs>
  <cellStyles count="10">
    <cellStyle name="Comma" xfId="1" builtinId="3"/>
    <cellStyle name="Hyperlink" xfId="9" builtinId="8"/>
    <cellStyle name="Nor}al" xfId="2"/>
    <cellStyle name="Normal" xfId="0" builtinId="0"/>
    <cellStyle name="Normal 2" xfId="5"/>
    <cellStyle name="Normal 2 2" xfId="4"/>
    <cellStyle name="Normal 2 7" xfId="6"/>
    <cellStyle name="Normal_CTC Format Lookup - 20060703" xfId="3"/>
    <cellStyle name="Normal_CTC Format Lookup - 20060703 2" xfId="7"/>
    <cellStyle name="Percent" xfId="8" builtinId="5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40</xdr:col>
          <xdr:colOff>241300</xdr:colOff>
          <xdr:row>23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</xdr:row>
          <xdr:rowOff>69850</xdr:rowOff>
        </xdr:from>
        <xdr:to>
          <xdr:col>18</xdr:col>
          <xdr:colOff>50800</xdr:colOff>
          <xdr:row>8</xdr:row>
          <xdr:rowOff>107950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Candidate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222250</xdr:colOff>
          <xdr:row>2</xdr:row>
          <xdr:rowOff>69850</xdr:rowOff>
        </xdr:from>
        <xdr:to>
          <xdr:col>40</xdr:col>
          <xdr:colOff>57150</xdr:colOff>
          <xdr:row>8</xdr:row>
          <xdr:rowOff>107950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Candidate Compensation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8</xdr:row>
          <xdr:rowOff>165100</xdr:rowOff>
        </xdr:from>
        <xdr:to>
          <xdr:col>40</xdr:col>
          <xdr:colOff>50800</xdr:colOff>
          <xdr:row>15</xdr:row>
          <xdr:rowOff>190500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Sutherland Comp Calculator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9</xdr:row>
          <xdr:rowOff>114300</xdr:rowOff>
        </xdr:from>
        <xdr:to>
          <xdr:col>23</xdr:col>
          <xdr:colOff>12700</xdr:colOff>
          <xdr:row>11</xdr:row>
          <xdr:rowOff>38100</xdr:rowOff>
        </xdr:to>
        <xdr:sp macro="" textlink="">
          <xdr:nvSpPr>
            <xdr:cNvPr id="1044" name="Group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Program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11</xdr:row>
          <xdr:rowOff>114300</xdr:rowOff>
        </xdr:from>
        <xdr:to>
          <xdr:col>23</xdr:col>
          <xdr:colOff>19050</xdr:colOff>
          <xdr:row>13</xdr:row>
          <xdr:rowOff>38100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Min Band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13</xdr:row>
          <xdr:rowOff>114300</xdr:rowOff>
        </xdr:from>
        <xdr:to>
          <xdr:col>23</xdr:col>
          <xdr:colOff>31750</xdr:colOff>
          <xdr:row>15</xdr:row>
          <xdr:rowOff>38100</xdr:rowOff>
        </xdr:to>
        <xdr:sp macro="" textlink="">
          <xdr:nvSpPr>
            <xdr:cNvPr id="1049" name="Group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Max Band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4</xdr:row>
          <xdr:rowOff>114300</xdr:rowOff>
        </xdr:from>
        <xdr:to>
          <xdr:col>39</xdr:col>
          <xdr:colOff>228600</xdr:colOff>
          <xdr:row>6</xdr:row>
          <xdr:rowOff>38100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CTC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16</xdr:row>
          <xdr:rowOff>38100</xdr:rowOff>
        </xdr:from>
        <xdr:to>
          <xdr:col>40</xdr:col>
          <xdr:colOff>50800</xdr:colOff>
          <xdr:row>23</xdr:row>
          <xdr:rowOff>19050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CTC Calculator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317500</xdr:colOff>
          <xdr:row>16</xdr:row>
          <xdr:rowOff>114300</xdr:rowOff>
        </xdr:from>
        <xdr:to>
          <xdr:col>5</xdr:col>
          <xdr:colOff>50800</xdr:colOff>
          <xdr:row>23</xdr:row>
          <xdr:rowOff>19050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16</xdr:row>
          <xdr:rowOff>114300</xdr:rowOff>
        </xdr:from>
        <xdr:to>
          <xdr:col>8</xdr:col>
          <xdr:colOff>69850</xdr:colOff>
          <xdr:row>23</xdr:row>
          <xdr:rowOff>19050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16</xdr:row>
          <xdr:rowOff>127000</xdr:rowOff>
        </xdr:from>
        <xdr:to>
          <xdr:col>13</xdr:col>
          <xdr:colOff>57150</xdr:colOff>
          <xdr:row>23</xdr:row>
          <xdr:rowOff>19050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260350</xdr:colOff>
          <xdr:row>16</xdr:row>
          <xdr:rowOff>127000</xdr:rowOff>
        </xdr:from>
        <xdr:to>
          <xdr:col>16</xdr:col>
          <xdr:colOff>57150</xdr:colOff>
          <xdr:row>23</xdr:row>
          <xdr:rowOff>19050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</a:t>
              </a:r>
            </a:p>
          </xdr:txBody>
        </xdr:sp>
        <xdr:clientData/>
      </xdr:twoCellAnchor>
    </mc:Choice>
    <mc:Fallback/>
  </mc:AlternateContent>
  <xdr:twoCellAnchor>
    <xdr:from>
      <xdr:col>34</xdr:col>
      <xdr:colOff>266700</xdr:colOff>
      <xdr:row>17</xdr:row>
      <xdr:rowOff>106972</xdr:rowOff>
    </xdr:from>
    <xdr:to>
      <xdr:col>39</xdr:col>
      <xdr:colOff>293808</xdr:colOff>
      <xdr:row>21</xdr:row>
      <xdr:rowOff>190499</xdr:rowOff>
    </xdr:to>
    <xdr:sp macro="[0]!CreateWordDocumen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62D88375-9B9F-8829-6A98-3CD49855FD96}"/>
            </a:ext>
          </a:extLst>
        </xdr:cNvPr>
        <xdr:cNvSpPr/>
      </xdr:nvSpPr>
      <xdr:spPr>
        <a:xfrm>
          <a:off x="12344400" y="3421672"/>
          <a:ext cx="1474908" cy="8455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Generate Conditional</a:t>
          </a:r>
          <a:r>
            <a:rPr lang="en-US" sz="1600" b="1" baseline="0"/>
            <a:t> Offer</a:t>
          </a:r>
          <a:endParaRPr lang="en-US" sz="1600" b="1"/>
        </a:p>
      </xdr:txBody>
    </xdr:sp>
    <xdr:clientData/>
  </xdr:twoCellAnchor>
  <xdr:twoCellAnchor>
    <xdr:from>
      <xdr:col>35</xdr:col>
      <xdr:colOff>43961</xdr:colOff>
      <xdr:row>11</xdr:row>
      <xdr:rowOff>38099</xdr:rowOff>
    </xdr:from>
    <xdr:to>
      <xdr:col>39</xdr:col>
      <xdr:colOff>257174</xdr:colOff>
      <xdr:row>15</xdr:row>
      <xdr:rowOff>70338</xdr:rowOff>
    </xdr:to>
    <xdr:sp macro="[0]!FindCT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EE3BA1AD-589D-4756-9451-155E23502F1D}"/>
            </a:ext>
          </a:extLst>
        </xdr:cNvPr>
        <xdr:cNvSpPr/>
      </xdr:nvSpPr>
      <xdr:spPr>
        <a:xfrm>
          <a:off x="12455769" y="2133599"/>
          <a:ext cx="1348886" cy="7942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Find CTC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mailto:Rahul@sutherlandglobal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AP23"/>
  <sheetViews>
    <sheetView showGridLines="0" topLeftCell="F1" zoomScale="130" zoomScaleNormal="130" workbookViewId="0">
      <selection activeCell="E2" sqref="E2:I2"/>
    </sheetView>
  </sheetViews>
  <sheetFormatPr defaultRowHeight="14"/>
  <cols>
    <col min="1" max="1" width="4.75" customWidth="1"/>
    <col min="2" max="2" width="5.83203125" customWidth="1"/>
    <col min="3" max="3" width="5.25" customWidth="1"/>
    <col min="4" max="4" width="5.1640625" customWidth="1"/>
    <col min="5" max="8" width="4.75" customWidth="1"/>
    <col min="9" max="9" width="6.1640625" customWidth="1"/>
    <col min="10" max="10" width="5.75" customWidth="1"/>
    <col min="11" max="11" width="5.25" customWidth="1"/>
    <col min="12" max="17" width="4.75" customWidth="1"/>
    <col min="18" max="18" width="11.83203125" customWidth="1"/>
    <col min="19" max="19" width="12.25" customWidth="1"/>
    <col min="20" max="20" width="4.75" customWidth="1"/>
    <col min="21" max="21" width="6.1640625" customWidth="1"/>
    <col min="22" max="22" width="5.75" customWidth="1"/>
    <col min="23" max="25" width="4.75" customWidth="1"/>
    <col min="26" max="26" width="3.1640625" customWidth="1"/>
    <col min="27" max="27" width="5.58203125" customWidth="1"/>
    <col min="28" max="28" width="4" customWidth="1"/>
    <col min="29" max="34" width="4.75" customWidth="1"/>
    <col min="35" max="35" width="5" customWidth="1"/>
    <col min="36" max="36" width="4.4140625" customWidth="1"/>
    <col min="37" max="37" width="3.1640625" customWidth="1"/>
    <col min="38" max="40" width="4.75" customWidth="1"/>
    <col min="41" max="41" width="8.25" customWidth="1"/>
    <col min="42" max="42" width="12.75" customWidth="1"/>
    <col min="43" max="69" width="4.75" customWidth="1"/>
  </cols>
  <sheetData>
    <row r="2" spans="2:42">
      <c r="B2" s="216" t="s">
        <v>0</v>
      </c>
      <c r="C2" s="216"/>
      <c r="D2" s="216"/>
      <c r="E2" s="224" t="s">
        <v>13</v>
      </c>
      <c r="F2" s="224"/>
      <c r="G2" s="224"/>
      <c r="H2" s="224"/>
      <c r="I2" s="224"/>
    </row>
    <row r="4" spans="2:42">
      <c r="B4" s="216" t="s">
        <v>67</v>
      </c>
      <c r="C4" s="216"/>
      <c r="D4" s="216"/>
      <c r="E4" s="217" t="s">
        <v>1183</v>
      </c>
      <c r="F4" s="217"/>
      <c r="G4" s="217"/>
      <c r="H4" s="217"/>
      <c r="I4" s="217"/>
      <c r="K4" s="219" t="s">
        <v>68</v>
      </c>
      <c r="L4" s="219"/>
      <c r="M4" s="219"/>
      <c r="N4" s="219"/>
      <c r="O4" s="219"/>
      <c r="P4" s="217">
        <v>18</v>
      </c>
      <c r="Q4" s="217"/>
      <c r="R4" s="217"/>
      <c r="U4" s="219" t="s">
        <v>81</v>
      </c>
      <c r="V4" s="219"/>
      <c r="W4" s="219"/>
      <c r="X4" s="226">
        <v>234</v>
      </c>
      <c r="Y4" s="226"/>
      <c r="Z4" s="226"/>
      <c r="AB4" s="219" t="s">
        <v>85</v>
      </c>
      <c r="AC4" s="219"/>
      <c r="AD4" s="219"/>
      <c r="AE4" s="219"/>
      <c r="AF4" s="219"/>
      <c r="AG4" s="219"/>
      <c r="AH4" s="217">
        <v>16000</v>
      </c>
      <c r="AI4" s="217"/>
      <c r="AJ4" s="217"/>
      <c r="AM4" s="185"/>
    </row>
    <row r="5" spans="2:42">
      <c r="O5" s="212" t="str">
        <f>INT($P$4/12)&amp;" years and "&amp;MOD($P$4,12)&amp;" Months"</f>
        <v>1 years and 6 Months</v>
      </c>
      <c r="P5" s="212"/>
      <c r="Q5" s="212"/>
      <c r="R5" s="212"/>
      <c r="S5" s="198"/>
      <c r="AL5" s="185"/>
      <c r="AM5" s="185"/>
    </row>
    <row r="6" spans="2:42">
      <c r="B6" s="216" t="s">
        <v>1173</v>
      </c>
      <c r="C6" s="216"/>
      <c r="D6" s="216"/>
      <c r="E6" s="223" t="s">
        <v>1184</v>
      </c>
      <c r="F6" s="224"/>
      <c r="G6" s="224"/>
      <c r="H6" s="224"/>
      <c r="I6" s="224"/>
      <c r="U6" s="219" t="s">
        <v>82</v>
      </c>
      <c r="V6" s="219"/>
      <c r="W6" s="219"/>
      <c r="X6" s="220">
        <v>234</v>
      </c>
      <c r="Y6" s="220"/>
      <c r="Z6" s="220"/>
      <c r="AB6" s="219" t="s">
        <v>83</v>
      </c>
      <c r="AC6" s="219"/>
      <c r="AD6" s="219"/>
      <c r="AE6" s="219"/>
      <c r="AF6" s="219"/>
      <c r="AG6" s="219"/>
      <c r="AH6" s="220">
        <v>250000</v>
      </c>
      <c r="AI6" s="220"/>
      <c r="AJ6" s="220"/>
      <c r="AL6" s="215">
        <f>IF(AH6="",AH8,AH6)</f>
        <v>250000</v>
      </c>
      <c r="AM6" s="215"/>
    </row>
    <row r="7" spans="2:42">
      <c r="K7" s="219" t="s">
        <v>69</v>
      </c>
      <c r="L7" s="219"/>
      <c r="M7" s="219"/>
      <c r="N7" s="219"/>
      <c r="O7" s="219"/>
      <c r="P7" s="217">
        <v>2</v>
      </c>
      <c r="Q7" s="217"/>
      <c r="R7" s="217"/>
      <c r="AL7" s="185"/>
      <c r="AM7" s="185"/>
    </row>
    <row r="8" spans="2:42">
      <c r="B8" s="216" t="s">
        <v>70</v>
      </c>
      <c r="C8" s="216"/>
      <c r="D8" s="216"/>
      <c r="E8" s="217" t="s">
        <v>74</v>
      </c>
      <c r="F8" s="217"/>
      <c r="G8" s="217"/>
      <c r="H8" s="217"/>
      <c r="I8" s="217"/>
      <c r="U8" s="219" t="s">
        <v>1036</v>
      </c>
      <c r="V8" s="219"/>
      <c r="W8" s="219"/>
      <c r="X8" s="220">
        <v>253342</v>
      </c>
      <c r="Y8" s="220"/>
      <c r="Z8" s="220"/>
      <c r="AB8" s="219" t="s">
        <v>84</v>
      </c>
      <c r="AC8" s="219"/>
      <c r="AD8" s="219"/>
      <c r="AE8" s="219"/>
      <c r="AF8" s="219"/>
      <c r="AG8" s="219"/>
      <c r="AH8" s="220">
        <v>180000</v>
      </c>
      <c r="AI8" s="220"/>
      <c r="AJ8" s="220"/>
      <c r="AL8" s="185"/>
      <c r="AM8" s="185"/>
      <c r="AO8" s="199"/>
    </row>
    <row r="10" spans="2:42">
      <c r="AP10">
        <f>ROUND(IF($AL$6-$AD$13&gt;243447,($AL$6-$AD$13-21600)*98.345154%,($AL$6-$AD$13)*89.61963%),0)</f>
        <v>201868</v>
      </c>
    </row>
    <row r="11" spans="2:42">
      <c r="B11" s="216" t="s">
        <v>86</v>
      </c>
      <c r="C11" s="216"/>
      <c r="D11" s="216"/>
      <c r="E11" s="217" t="s">
        <v>94</v>
      </c>
      <c r="F11" s="217"/>
      <c r="G11" s="217"/>
      <c r="H11" s="217"/>
      <c r="I11" s="217"/>
      <c r="K11" s="216" t="s">
        <v>91</v>
      </c>
      <c r="L11" s="216"/>
      <c r="M11" s="216"/>
      <c r="N11" s="217">
        <v>10000</v>
      </c>
      <c r="O11" s="217"/>
      <c r="P11" s="217"/>
      <c r="Q11" s="217"/>
      <c r="R11" s="217"/>
      <c r="T11" s="225" t="str">
        <f>_xlfn.XLOOKUP($N$11,Subfamily!$A:$A,Subfamily!B:B)</f>
        <v>Amazon NA</v>
      </c>
      <c r="U11" s="225"/>
      <c r="V11" s="225"/>
      <c r="W11" s="225"/>
      <c r="X11" s="225"/>
      <c r="Z11" s="221" t="s">
        <v>1030</v>
      </c>
      <c r="AA11" s="221"/>
      <c r="AB11" s="221"/>
      <c r="AC11" s="221"/>
      <c r="AD11" s="217" t="s">
        <v>1108</v>
      </c>
      <c r="AE11" s="217"/>
      <c r="AF11" s="217"/>
      <c r="AG11" s="217"/>
      <c r="AH11" s="217"/>
      <c r="AJ11" s="218">
        <f>ROUND(IF($AD$15-$AD$13&gt;243447,($AD$15-$AD$13-21600)*98.345154%,($AD$15-$AD$13)*89.61963%),0)</f>
        <v>214209</v>
      </c>
      <c r="AK11" s="218"/>
      <c r="AL11" s="218"/>
      <c r="AP11">
        <f>ROUND(AP10*35%,0)</f>
        <v>70654</v>
      </c>
    </row>
    <row r="12" spans="2:42">
      <c r="K12" s="218" t="str">
        <f>"Program name: "&amp; _xlfn.XLOOKUP($N$11,Subfamily!$A:$A,Subfamily!B:B)</f>
        <v>Program name: Amazon NA</v>
      </c>
      <c r="L12" s="218"/>
      <c r="M12" s="218"/>
      <c r="N12" s="218"/>
      <c r="O12" s="218"/>
      <c r="P12" s="218"/>
      <c r="Q12" s="218"/>
      <c r="R12" s="218"/>
      <c r="Z12" s="197"/>
      <c r="AA12" s="197"/>
      <c r="AB12" s="197"/>
      <c r="AC12" s="197"/>
      <c r="AD12" t="str">
        <f>IF(N14="DES",VLOOKUP(E13,'Source Tables - Open for Update'!$B$18:$C$30,2,0),IF(AND(E11="SHS",E13=4),VLOOKUP(N14,'Source Tables - Open for Update'!$F$3:$J$11,5,0),IF(AND(E11="SHS",E13=1),VLOOKUP(N14,'Source Tables - Open for Update'!$F$3:$J$11,2,0),IF(E11="SHS",VLOOKUP(N14,'Source Tables - Open for Update'!$F$3:$J$11,3,0),""))))</f>
        <v/>
      </c>
      <c r="AP12">
        <f>ROUND(AP11*50%,0)</f>
        <v>35327</v>
      </c>
    </row>
    <row r="13" spans="2:42">
      <c r="B13" s="216" t="s">
        <v>90</v>
      </c>
      <c r="C13" s="216"/>
      <c r="D13" s="216"/>
      <c r="E13" s="217">
        <v>1</v>
      </c>
      <c r="F13" s="217"/>
      <c r="G13" s="217"/>
      <c r="H13" s="217"/>
      <c r="I13" s="217"/>
      <c r="K13" s="216" t="s">
        <v>1028</v>
      </c>
      <c r="L13" s="216"/>
      <c r="M13" s="216"/>
      <c r="N13" s="217" t="s">
        <v>178</v>
      </c>
      <c r="O13" s="217"/>
      <c r="P13" s="217"/>
      <c r="Q13" s="217"/>
      <c r="R13" s="217"/>
      <c r="T13" s="222">
        <f>IF(AND(State="KL",OR(Level=1,Level=2)),INDEX(Maxband!$14:$18,MATCH(Level,Maxband!$A$14:$A$18),MATCH($N$15&amp;"Min",Maxband!$14:$14,0)),INDEX(Maxband!$1:$9,MATCH(Level,Maxband!$A$1:$A$9),MATCH($N$15&amp;"Min",Maxband!$1:$1,0)))</f>
        <v>140000</v>
      </c>
      <c r="U13" s="222"/>
      <c r="V13" s="222"/>
      <c r="W13" s="222"/>
      <c r="X13" s="222"/>
      <c r="Z13" s="221" t="s">
        <v>1145</v>
      </c>
      <c r="AA13" s="221"/>
      <c r="AB13" s="221"/>
      <c r="AC13" s="221"/>
      <c r="AD13" s="217">
        <f>IF(AND(Level=1,State="MP",Category="Production"),0,IF(AND(Level=1,State="MP",Category="Production Support"),0,IF(AND(Level=1,State="KL",Category="Production"),0,IF(AND(Level=1,State="KL",Category="Production Support"),0,IF(Category="DES",ROUND(AD15*AD12,0),IF(Entity="AGS",0,IF(AND(Entity="SHS",AD12&lt;100),ROUND(AD12*AD15,0),IF(Entity="SHS",AD12,IF(AND(Category="Research",Level=3),48000,IF(AND(Category="Research",Level=4),84000,IF(Category="Support",VLOOKUP(Level,'Source Tables - Open for Update'!$B$3:$D$8,2,0),IF(AND(State="MP",AD11="Fresher",Level=1,ProjectID=10888),9000,IF(AND(Level=1,AD11="Fresher"),24750,VLOOKUP(Level,'Source Tables - Open for Update'!$B$3:$D$8,3,0))))))))))))))</f>
        <v>24750</v>
      </c>
      <c r="AE13" s="217"/>
      <c r="AF13" s="217"/>
      <c r="AG13" s="217"/>
      <c r="AH13" s="217"/>
      <c r="AP13">
        <f>D20</f>
        <v>31500</v>
      </c>
    </row>
    <row r="14" spans="2:42">
      <c r="N14" s="206" t="str">
        <f>IF(G6&lt;&gt;"",G6,IFERROR(IF(E11="SHS",VLOOKUP($N$11,'Source Tables - Open for Update'!$AA$2:$AH$2000,5,0),VLOOKUP($N$11,'Source Tables - Open for Update'!$R$2:$Y$5000,5,0)),"Please check the Relevant Project  Code or Entity"))</f>
        <v>Production</v>
      </c>
      <c r="O14" s="207"/>
      <c r="P14" s="207"/>
      <c r="Q14" s="207"/>
      <c r="R14" s="207"/>
      <c r="Z14" s="197"/>
      <c r="AA14" s="197"/>
      <c r="AB14" s="197"/>
      <c r="AC14" s="197"/>
      <c r="AP14">
        <f>AP10-AP11-AP12-AP13</f>
        <v>64387</v>
      </c>
    </row>
    <row r="15" spans="2:42" ht="15" customHeight="1">
      <c r="B15" s="216" t="s">
        <v>88</v>
      </c>
      <c r="C15" s="216"/>
      <c r="D15" s="216"/>
      <c r="E15" s="217" t="s">
        <v>89</v>
      </c>
      <c r="F15" s="217"/>
      <c r="G15" s="217"/>
      <c r="H15" s="217"/>
      <c r="I15" s="217"/>
      <c r="K15" s="216" t="s">
        <v>1031</v>
      </c>
      <c r="L15" s="216"/>
      <c r="M15" s="216"/>
      <c r="N15" s="217" t="s">
        <v>128</v>
      </c>
      <c r="O15" s="217"/>
      <c r="P15" s="217"/>
      <c r="Q15" s="217"/>
      <c r="R15" s="217"/>
      <c r="T15" s="222">
        <f>IF(AND(State="KL",OR(Level=1,Level=2)),INDEX(Maxband!$14:$18,MATCH(Level,Maxband!$A$14:$A$18),MATCH($N$15&amp;"Max",Maxband!$14:$14,0)),INDEX(Maxband!$1:$9,MATCH(Level,Maxband!$A$1:$A$9),MATCH($N$15&amp;"Max",Maxband!$1:$1,0)))</f>
        <v>300000</v>
      </c>
      <c r="U15" s="222"/>
      <c r="V15" s="222"/>
      <c r="W15" s="222"/>
      <c r="X15" s="222"/>
      <c r="Z15" s="213" t="s">
        <v>1179</v>
      </c>
      <c r="AA15" s="213"/>
      <c r="AB15" s="213"/>
      <c r="AC15" s="213"/>
      <c r="AD15" s="217">
        <v>263770</v>
      </c>
      <c r="AE15" s="217"/>
      <c r="AF15" s="217"/>
      <c r="AG15" s="217"/>
      <c r="AH15" s="217"/>
      <c r="AI15" s="203">
        <f>(CTCRecom-ECTC)/ECTC</f>
        <v>5.5079999999999997E-2</v>
      </c>
      <c r="AJ15" s="219">
        <f>((AH4*12)-AD13)-L22</f>
        <v>-24145.432499999995</v>
      </c>
      <c r="AK15" s="219"/>
      <c r="AL15" s="219"/>
      <c r="AP15">
        <f>SUM(AP11:AP14)</f>
        <v>201868</v>
      </c>
    </row>
    <row r="16" spans="2:42" ht="17.25" customHeight="1">
      <c r="Z16" s="213"/>
      <c r="AA16" s="213"/>
      <c r="AB16" s="213"/>
      <c r="AC16" s="213"/>
      <c r="AP16">
        <f>IF((AP15-AP12)&gt;=180000,21600,ROUND((AP15-AP12)*12%,0))</f>
        <v>19985</v>
      </c>
    </row>
    <row r="17" spans="2:42" ht="18.75" customHeight="1">
      <c r="AP17">
        <f>IF((AP15-AP13)&gt;252000,0,AP15*0.75%)</f>
        <v>1514.01</v>
      </c>
    </row>
    <row r="18" spans="2:42" ht="15" customHeight="1">
      <c r="B18" t="s">
        <v>1142</v>
      </c>
      <c r="D18" s="227">
        <f>ROUND(AJ11*35%,0)</f>
        <v>74973</v>
      </c>
      <c r="E18" s="227"/>
      <c r="G18" s="227">
        <f>ROUND(D18/12,0)</f>
        <v>6248</v>
      </c>
      <c r="H18" s="227"/>
      <c r="J18" s="216" t="s">
        <v>1145</v>
      </c>
      <c r="K18" s="216"/>
      <c r="L18" s="228">
        <f>AD13</f>
        <v>24750</v>
      </c>
      <c r="M18" s="228"/>
      <c r="O18" s="228">
        <f>IF(N14="DES",ROUND(L18/12,0),IF(AND(AD11="Fresher",L18=9000),ROUND(L18/9,0),IF(AND(AD11="Fresher",L18=24750),ROUND(L18/9,0),ROUND(L18/12,0))))</f>
        <v>2750</v>
      </c>
      <c r="P18" s="228"/>
      <c r="R18" s="196">
        <f>L18+L19+L20+D22</f>
        <v>263770</v>
      </c>
      <c r="S18" s="196" t="b">
        <f>R18=AD15</f>
        <v>1</v>
      </c>
      <c r="U18" s="211" t="s">
        <v>1180</v>
      </c>
      <c r="V18" s="211"/>
      <c r="W18" s="211"/>
      <c r="X18" s="211"/>
      <c r="Y18" s="211"/>
      <c r="Z18" s="211"/>
      <c r="AA18" s="214">
        <v>310000</v>
      </c>
      <c r="AB18" s="214"/>
      <c r="AC18" s="214"/>
      <c r="AD18" s="214"/>
      <c r="AE18" s="214"/>
      <c r="AP18">
        <f>AP15-AP16-AP17</f>
        <v>180368.99</v>
      </c>
    </row>
    <row r="19" spans="2:42">
      <c r="B19" t="s">
        <v>1143</v>
      </c>
      <c r="D19" s="227">
        <f>ROUND($D$18*50%,0)</f>
        <v>37487</v>
      </c>
      <c r="E19" s="227"/>
      <c r="G19" s="227">
        <f>ROUND(D19/12,0)</f>
        <v>3124</v>
      </c>
      <c r="H19" s="227"/>
      <c r="J19" s="216" t="s">
        <v>1147</v>
      </c>
      <c r="K19" s="216"/>
      <c r="L19" s="227">
        <f>IF((D22-D19)&gt;=180000,21600,ROUND((D22-D19)*12%,0))</f>
        <v>21207</v>
      </c>
      <c r="M19" s="227"/>
      <c r="O19" s="227">
        <f>ROUND(L19/12,0)</f>
        <v>1767</v>
      </c>
      <c r="P19" s="227"/>
      <c r="R19" s="200" t="s">
        <v>1165</v>
      </c>
      <c r="S19" s="201">
        <v>45621</v>
      </c>
      <c r="W19" s="205"/>
      <c r="X19" s="205"/>
      <c r="Y19" s="205"/>
      <c r="Z19" s="205"/>
      <c r="AA19" s="197"/>
      <c r="AB19" s="197"/>
      <c r="AC19" s="197"/>
      <c r="AD19" s="197"/>
      <c r="AE19" s="197"/>
    </row>
    <row r="20" spans="2:42" ht="15" customHeight="1">
      <c r="B20" t="s">
        <v>108</v>
      </c>
      <c r="D20" s="227">
        <f>IF($E$15="KL",VLOOKUP($E$13,'Source Tables - Open for Update'!$M$8:$O$11,3,0),IF($E$15="KA",VLOOKUP($E$13,'Source Tables - Open for Update'!$M$12:$O$15,3,0),VLOOKUP($E$15,'Source Tables - Open for Update'!$L$4:$O$7,4,0)))</f>
        <v>31500</v>
      </c>
      <c r="E20" s="227"/>
      <c r="G20" s="227">
        <f>ROUND(D20/12,0)</f>
        <v>2625</v>
      </c>
      <c r="H20" s="227"/>
      <c r="J20" s="216" t="s">
        <v>1132</v>
      </c>
      <c r="K20" s="216"/>
      <c r="L20" s="227">
        <f>ROUND($D$18/12/26*15,0)</f>
        <v>3604</v>
      </c>
      <c r="M20" s="227"/>
      <c r="O20" s="227">
        <f>ROUND(L20/12,0)</f>
        <v>300</v>
      </c>
      <c r="P20" s="227"/>
      <c r="R20" s="200" t="s">
        <v>1152</v>
      </c>
      <c r="S20" s="202" t="s">
        <v>1172</v>
      </c>
      <c r="U20" s="210" t="s">
        <v>1182</v>
      </c>
      <c r="V20" s="210"/>
      <c r="W20" s="210"/>
      <c r="X20" s="210"/>
      <c r="Y20" s="210"/>
      <c r="Z20" s="210"/>
      <c r="AA20" s="209">
        <f>(AA18-ECTC)/ECTC</f>
        <v>0.24</v>
      </c>
      <c r="AB20" s="209"/>
      <c r="AC20" s="209"/>
      <c r="AD20" s="209"/>
      <c r="AE20" s="209"/>
    </row>
    <row r="21" spans="2:42">
      <c r="B21" t="s">
        <v>1144</v>
      </c>
      <c r="D21" s="227">
        <f>AJ11-D18-D19-D20</f>
        <v>70249</v>
      </c>
      <c r="E21" s="227"/>
      <c r="G21" s="227">
        <f>ROUND(D21/12,0)</f>
        <v>5854</v>
      </c>
      <c r="H21" s="227"/>
      <c r="J21" s="216" t="s">
        <v>1148</v>
      </c>
      <c r="K21" s="216"/>
      <c r="L21" s="227">
        <f>IF((D22-D20)&gt;252000,0,D22*0.75%)</f>
        <v>1606.5674999999999</v>
      </c>
      <c r="M21" s="227"/>
      <c r="O21" s="227">
        <f>ROUND(L21/12,0)</f>
        <v>134</v>
      </c>
      <c r="P21" s="227"/>
      <c r="R21" s="200" t="s">
        <v>1166</v>
      </c>
      <c r="S21" s="202" t="str">
        <f>_xlfn.XLOOKUP(State,Sheet2!$E$4:$E$10,Sheet2!$F$4:$F$10)</f>
        <v>Chennai</v>
      </c>
      <c r="W21" s="204"/>
      <c r="X21" s="204"/>
      <c r="Y21" s="204"/>
      <c r="Z21" s="204"/>
    </row>
    <row r="22" spans="2:42" ht="15" customHeight="1">
      <c r="B22" t="s">
        <v>1146</v>
      </c>
      <c r="D22" s="228">
        <f>SUM(D18:D21)</f>
        <v>214209</v>
      </c>
      <c r="E22" s="228"/>
      <c r="G22" s="228">
        <f>ROUND(D22/12,0)</f>
        <v>17851</v>
      </c>
      <c r="H22" s="228"/>
      <c r="J22" s="216" t="s">
        <v>1149</v>
      </c>
      <c r="K22" s="216"/>
      <c r="L22" s="228">
        <f>D22-L19-L21</f>
        <v>191395.4325</v>
      </c>
      <c r="M22" s="228"/>
      <c r="O22" s="228">
        <f>ROUND(L22/12,0)</f>
        <v>15950</v>
      </c>
      <c r="P22" s="228"/>
      <c r="U22" s="210" t="s">
        <v>1181</v>
      </c>
      <c r="V22" s="210"/>
      <c r="W22" s="210"/>
      <c r="X22" s="210"/>
      <c r="Y22" s="210"/>
      <c r="Z22" s="210"/>
      <c r="AA22" s="209">
        <f>(AA18-T15)/T15</f>
        <v>3.3333333333333333E-2</v>
      </c>
      <c r="AB22" s="209"/>
      <c r="AC22" s="209"/>
      <c r="AD22" s="209"/>
      <c r="AE22" s="209"/>
    </row>
    <row r="23" spans="2:42">
      <c r="J23" s="216" t="s">
        <v>1150</v>
      </c>
      <c r="K23" s="216"/>
      <c r="L23" s="228">
        <f>L22+L18</f>
        <v>216145.4325</v>
      </c>
      <c r="M23" s="228"/>
      <c r="O23" s="228">
        <f>ROUND(O22+O18,0)</f>
        <v>18700</v>
      </c>
      <c r="P23" s="228"/>
      <c r="AA23" s="208" t="str" cm="1">
        <f t="array" ref="AA23">_xlfn.IFS(AA22&gt;=0.2,"Comp Committee Approval",AA22&gt;0,"MaxBandApproval",AA22&lt;=0,"")</f>
        <v>MaxBandApproval</v>
      </c>
      <c r="AB23" s="208"/>
      <c r="AC23" s="208"/>
      <c r="AD23" s="208"/>
      <c r="AE23" s="208"/>
    </row>
  </sheetData>
  <mergeCells count="85">
    <mergeCell ref="O18:P18"/>
    <mergeCell ref="O19:P19"/>
    <mergeCell ref="O23:P23"/>
    <mergeCell ref="L21:M21"/>
    <mergeCell ref="L18:M18"/>
    <mergeCell ref="L19:M19"/>
    <mergeCell ref="L20:M20"/>
    <mergeCell ref="J22:K22"/>
    <mergeCell ref="J23:K23"/>
    <mergeCell ref="O20:P20"/>
    <mergeCell ref="O21:P21"/>
    <mergeCell ref="D22:E22"/>
    <mergeCell ref="G22:H22"/>
    <mergeCell ref="O22:P22"/>
    <mergeCell ref="L22:M22"/>
    <mergeCell ref="L23:M23"/>
    <mergeCell ref="J18:K18"/>
    <mergeCell ref="J19:K19"/>
    <mergeCell ref="J20:K20"/>
    <mergeCell ref="J21:K21"/>
    <mergeCell ref="D19:E19"/>
    <mergeCell ref="D20:E20"/>
    <mergeCell ref="D21:E21"/>
    <mergeCell ref="G18:H18"/>
    <mergeCell ref="G19:H19"/>
    <mergeCell ref="G20:H20"/>
    <mergeCell ref="G21:H21"/>
    <mergeCell ref="D18:E18"/>
    <mergeCell ref="AJ15:AL15"/>
    <mergeCell ref="E2:I2"/>
    <mergeCell ref="B2:D2"/>
    <mergeCell ref="B4:D4"/>
    <mergeCell ref="E4:I4"/>
    <mergeCell ref="T11:X11"/>
    <mergeCell ref="P4:R4"/>
    <mergeCell ref="P7:R7"/>
    <mergeCell ref="B11:D11"/>
    <mergeCell ref="E11:I11"/>
    <mergeCell ref="X4:Z4"/>
    <mergeCell ref="X6:Z6"/>
    <mergeCell ref="X8:Z8"/>
    <mergeCell ref="B6:D6"/>
    <mergeCell ref="E6:I6"/>
    <mergeCell ref="K4:O4"/>
    <mergeCell ref="K7:O7"/>
    <mergeCell ref="AB4:AG4"/>
    <mergeCell ref="AD15:AH15"/>
    <mergeCell ref="AH4:AJ4"/>
    <mergeCell ref="AB6:AG6"/>
    <mergeCell ref="AB8:AG8"/>
    <mergeCell ref="K15:M15"/>
    <mergeCell ref="N15:R15"/>
    <mergeCell ref="K13:M13"/>
    <mergeCell ref="N13:R13"/>
    <mergeCell ref="N11:R11"/>
    <mergeCell ref="AD11:AH11"/>
    <mergeCell ref="Z11:AC11"/>
    <mergeCell ref="Z13:AC13"/>
    <mergeCell ref="AD13:AH13"/>
    <mergeCell ref="T13:X13"/>
    <mergeCell ref="T15:X15"/>
    <mergeCell ref="U4:W4"/>
    <mergeCell ref="AJ11:AL11"/>
    <mergeCell ref="O5:R5"/>
    <mergeCell ref="Z15:AC16"/>
    <mergeCell ref="AA18:AE18"/>
    <mergeCell ref="AL6:AM6"/>
    <mergeCell ref="B13:D13"/>
    <mergeCell ref="E13:I13"/>
    <mergeCell ref="E15:I15"/>
    <mergeCell ref="B15:D15"/>
    <mergeCell ref="K11:M11"/>
    <mergeCell ref="K12:R12"/>
    <mergeCell ref="B8:D8"/>
    <mergeCell ref="E8:I8"/>
    <mergeCell ref="U6:W6"/>
    <mergeCell ref="U8:W8"/>
    <mergeCell ref="AH6:AJ6"/>
    <mergeCell ref="AH8:AJ8"/>
    <mergeCell ref="AA23:AE23"/>
    <mergeCell ref="AA20:AE20"/>
    <mergeCell ref="AA22:AE22"/>
    <mergeCell ref="U20:Z20"/>
    <mergeCell ref="U18:Z18"/>
    <mergeCell ref="U22:Z22"/>
  </mergeCells>
  <dataValidations count="7">
    <dataValidation type="list" allowBlank="1" showInputMessage="1" showErrorMessage="1" sqref="E2:I2">
      <formula1>Recruiter_Name</formula1>
    </dataValidation>
    <dataValidation type="list" allowBlank="1" showInputMessage="1" sqref="E8:I8">
      <formula1>Company_Name</formula1>
    </dataValidation>
    <dataValidation type="list" allowBlank="1" showInputMessage="1" sqref="E11:I11">
      <formula1>"SGS, AGS, SMSI, SHS"</formula1>
    </dataValidation>
    <dataValidation type="list" allowBlank="1" showInputMessage="1" sqref="E15:I15">
      <formula1>"TN,TS,MH,KL,MP,KA"</formula1>
    </dataValidation>
    <dataValidation type="list" allowBlank="1" showInputMessage="1" sqref="E13:I13">
      <formula1>"1,2,3,4"</formula1>
    </dataValidation>
    <dataValidation type="list" allowBlank="1" showInputMessage="1" sqref="AD11:AH11">
      <formula1>"Fresher,Tenured"</formula1>
    </dataValidation>
    <dataValidation allowBlank="1" showInputMessage="1" sqref="AD13:AH13 D18:D21 AD15:AH15 G18:G22 L18:L23 O18:O23 AA18:AE18 AA20:AE20 AA22:AE22"/>
  </dataValidations>
  <hyperlinks>
    <hyperlink ref="E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oleObjects>
        <mc:AlternateContent xmlns:mc="http://schemas.openxmlformats.org/markup-compatibility/2006">
          <mc:Choice Requires="x14">
            <oleObject shapeId="1026">
              <objectPr defaultSize="0" autoFill="0" autoPict="0">
                <anchor moveWithCells="1">
                  <from>
                    <xdr:col>0</xdr:col>
                    <xdr:colOff>95250</xdr:colOff>
                    <xdr:row>2</xdr:row>
                    <xdr:rowOff>69850</xdr:rowOff>
                  </from>
                  <to>
                    <xdr:col>18</xdr:col>
                    <xdr:colOff>50800</xdr:colOff>
                    <xdr:row>8</xdr:row>
                    <xdr:rowOff>107950</xdr:rowOff>
                  </to>
                </anchor>
              </objectPr>
            </oleObject>
          </mc:Choice>
        </mc:AlternateContent>
        <mc:AlternateContent xmlns:mc="http://schemas.openxmlformats.org/markup-compatibility/2006">
          <mc:Choice Requires="x14">
            <oleObject shapeId="1034">
              <objectPr defaultSize="0" autoFill="0" autoPict="0">
                <anchor moveWithCells="1">
                  <from>
                    <xdr:col>18</xdr:col>
                    <xdr:colOff>222250</xdr:colOff>
                    <xdr:row>2</xdr:row>
                    <xdr:rowOff>69850</xdr:rowOff>
                  </from>
                  <to>
                    <xdr:col>40</xdr:col>
                    <xdr:colOff>57150</xdr:colOff>
                    <xdr:row>8</xdr:row>
                    <xdr:rowOff>107950</xdr:rowOff>
                  </to>
                </anchor>
              </objectPr>
            </oleObject>
          </mc:Choice>
        </mc:AlternateContent>
        <mc:AlternateContent xmlns:mc="http://schemas.openxmlformats.org/markup-compatibility/2006">
          <mc:Choice Requires="x14">
            <oleObject shapeId="1053">
              <objectPr defaultSize="0" autoFill="0" autoPict="0">
                <anchor moveWithCells="1">
                  <from>
                    <xdr:col>0</xdr:col>
                    <xdr:colOff>127000</xdr:colOff>
                    <xdr:row>16</xdr:row>
                    <xdr:rowOff>38100</xdr:rowOff>
                  </from>
                  <to>
                    <xdr:col>40</xdr:col>
                    <xdr:colOff>50800</xdr:colOff>
                    <xdr:row>23</xdr:row>
                    <xdr:rowOff>19050</xdr:rowOff>
                  </to>
                </anchor>
              </objectPr>
            </oleObject>
          </mc:Choice>
        </mc:AlternateContent>
        <mc:AlternateContent xmlns:mc="http://schemas.openxmlformats.org/markup-compatibility/2006">
          <mc:Choice Requires="x14">
            <oleObject shapeId="1054">
              <objectPr defaultSize="0" autoFill="0" autoPict="0">
                <anchor moveWithCells="1">
                  <from>
                    <xdr:col>2</xdr:col>
                    <xdr:colOff>317500</xdr:colOff>
                    <xdr:row>16</xdr:row>
                    <xdr:rowOff>114300</xdr:rowOff>
                  </from>
                  <to>
                    <xdr:col>5</xdr:col>
                    <xdr:colOff>50800</xdr:colOff>
                    <xdr:row>23</xdr:row>
                    <xdr:rowOff>19050</xdr:rowOff>
                  </to>
                </anchor>
              </objectPr>
            </oleObject>
          </mc:Choice>
        </mc:AlternateContent>
        <mc:AlternateContent xmlns:mc="http://schemas.openxmlformats.org/markup-compatibility/2006">
          <mc:Choice Requires="x14">
            <oleObject shapeId="1059">
              <objectPr defaultSize="0" autoFill="0" autoPict="0">
                <anchor moveWithCells="1">
                  <from>
                    <xdr:col>13</xdr:col>
                    <xdr:colOff>260350</xdr:colOff>
                    <xdr:row>16</xdr:row>
                    <xdr:rowOff>127000</xdr:rowOff>
                  </from>
                  <to>
                    <xdr:col>16</xdr:col>
                    <xdr:colOff>57150</xdr:colOff>
                    <xdr:row>23</xdr:row>
                    <xdr:rowOff>19050</xdr:rowOff>
                  </to>
                </anchor>
              </objectPr>
            </oleObject>
          </mc:Choice>
        </mc:AlternateContent>
      </oleObjects>
    </mc:Choice>
  </mc:AlternateContent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Group Box 1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40</xdr:col>
                    <xdr:colOff>241300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Group Box 2">
              <controlPr defaultSize="0" autoFill="0" autoPict="0">
                <anchor moveWithCells="1">
                  <from>
                    <xdr:col>0</xdr:col>
                    <xdr:colOff>95250</xdr:colOff>
                    <xdr:row>2</xdr:row>
                    <xdr:rowOff>69850</xdr:rowOff>
                  </from>
                  <to>
                    <xdr:col>18</xdr:col>
                    <xdr:colOff>50800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Group Box 10">
              <controlPr defaultSize="0" autoFill="0" autoPict="0">
                <anchor moveWithCells="1">
                  <from>
                    <xdr:col>18</xdr:col>
                    <xdr:colOff>222250</xdr:colOff>
                    <xdr:row>2</xdr:row>
                    <xdr:rowOff>69850</xdr:rowOff>
                  </from>
                  <to>
                    <xdr:col>40</xdr:col>
                    <xdr:colOff>57150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Group Box 12">
              <controlPr defaultSize="0" autoFill="0" autoPict="0">
                <anchor moveWithCells="1">
                  <from>
                    <xdr:col>0</xdr:col>
                    <xdr:colOff>107950</xdr:colOff>
                    <xdr:row>8</xdr:row>
                    <xdr:rowOff>165100</xdr:rowOff>
                  </from>
                  <to>
                    <xdr:col>40</xdr:col>
                    <xdr:colOff>50800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Group Box 20">
              <controlPr defaultSize="0" autoFill="0" autoPict="0">
                <anchor moveWithCells="1">
                  <from>
                    <xdr:col>18</xdr:col>
                    <xdr:colOff>171450</xdr:colOff>
                    <xdr:row>9</xdr:row>
                    <xdr:rowOff>114300</xdr:rowOff>
                  </from>
                  <to>
                    <xdr:col>23</xdr:col>
                    <xdr:colOff>12700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Group Box 21">
              <controlPr defaultSize="0" autoFill="0" autoPict="0">
                <anchor moveWithCells="1">
                  <from>
                    <xdr:col>18</xdr:col>
                    <xdr:colOff>171450</xdr:colOff>
                    <xdr:row>11</xdr:row>
                    <xdr:rowOff>114300</xdr:rowOff>
                  </from>
                  <to>
                    <xdr:col>23</xdr:col>
                    <xdr:colOff>19050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Group Box 25">
              <controlPr defaultSize="0" autoFill="0" autoPict="0">
                <anchor moveWithCells="1">
                  <from>
                    <xdr:col>18</xdr:col>
                    <xdr:colOff>171450</xdr:colOff>
                    <xdr:row>13</xdr:row>
                    <xdr:rowOff>114300</xdr:rowOff>
                  </from>
                  <to>
                    <xdr:col>23</xdr:col>
                    <xdr:colOff>31750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Group Box 27">
              <controlPr defaultSize="0" autoFill="0" autoPict="0">
                <anchor moveWithCells="1">
                  <from>
                    <xdr:col>36</xdr:col>
                    <xdr:colOff>57150</xdr:colOff>
                    <xdr:row>4</xdr:row>
                    <xdr:rowOff>114300</xdr:rowOff>
                  </from>
                  <to>
                    <xdr:col>39</xdr:col>
                    <xdr:colOff>228600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Group Box 29">
              <controlPr defaultSize="0" autoFill="0" autoPict="0">
                <anchor moveWithCells="1">
                  <from>
                    <xdr:col>0</xdr:col>
                    <xdr:colOff>127000</xdr:colOff>
                    <xdr:row>16</xdr:row>
                    <xdr:rowOff>38100</xdr:rowOff>
                  </from>
                  <to>
                    <xdr:col>40</xdr:col>
                    <xdr:colOff>50800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Group Box 30">
              <controlPr defaultSize="0" autoFill="0" autoPict="0">
                <anchor moveWithCells="1">
                  <from>
                    <xdr:col>2</xdr:col>
                    <xdr:colOff>317500</xdr:colOff>
                    <xdr:row>16</xdr:row>
                    <xdr:rowOff>114300</xdr:rowOff>
                  </from>
                  <to>
                    <xdr:col>5</xdr:col>
                    <xdr:colOff>50800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5" name="Group Box 31">
              <controlPr defaultSize="0" autoFill="0" autoPict="0">
                <anchor moveWithCells="1">
                  <from>
                    <xdr:col>5</xdr:col>
                    <xdr:colOff>266700</xdr:colOff>
                    <xdr:row>16</xdr:row>
                    <xdr:rowOff>114300</xdr:rowOff>
                  </from>
                  <to>
                    <xdr:col>8</xdr:col>
                    <xdr:colOff>69850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6" name="Group Box 33">
              <controlPr defaultSize="0" autoFill="0" autoPict="0">
                <anchor moveWithCells="1">
                  <from>
                    <xdr:col>10</xdr:col>
                    <xdr:colOff>298450</xdr:colOff>
                    <xdr:row>16</xdr:row>
                    <xdr:rowOff>127000</xdr:rowOff>
                  </from>
                  <to>
                    <xdr:col>13</xdr:col>
                    <xdr:colOff>57150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Group Box 35">
              <controlPr defaultSize="0" autoFill="0" autoPict="0">
                <anchor moveWithCells="1">
                  <from>
                    <xdr:col>13</xdr:col>
                    <xdr:colOff>260350</xdr:colOff>
                    <xdr:row>16</xdr:row>
                    <xdr:rowOff>127000</xdr:rowOff>
                  </from>
                  <to>
                    <xdr:col>16</xdr:col>
                    <xdr:colOff>57150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Wrong Project ID" error="Project ID Entered not listed in the Subfamily file or The project ID is not part of the Entity You have selected">
          <x14:formula1>
            <xm:f>_xlfn.ANCHORARRAY(Sheet2!$C$2)</xm:f>
          </x14:formula1>
          <xm:sqref>N11:R11</xm:sqref>
        </x14:dataValidation>
        <x14:dataValidation type="list" allowBlank="1" showInputMessage="1" showErrorMessage="1" errorTitle="Wrong Project ID" error="Project ID Entered not listed in the Subfamily file or The project ID is not part of the Entity You have selected">
          <x14:formula1>
            <xm:f>_xlfn.ANCHORARRAY(Sheet2!$D$2)</xm:f>
          </x14:formula1>
          <xm:sqref>N13:R13</xm:sqref>
        </x14:dataValidation>
        <x14:dataValidation type="list" allowBlank="1" showInputMessage="1">
          <x14:formula1>
            <xm:f>_xlfn.XLOOKUP(N13,Subfamily!$F:$F,Subfamily!$G:$G)</xm:f>
          </x14:formula1>
          <xm:sqref>N15:R15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7"/>
  <sheetViews>
    <sheetView workbookViewId="0">
      <selection activeCell="A5" sqref="A5"/>
    </sheetView>
  </sheetViews>
  <sheetFormatPr defaultRowHeight="14"/>
  <cols>
    <col min="1" max="1" width="14.75" bestFit="1" customWidth="1"/>
    <col min="2" max="2" width="15.83203125" bestFit="1" customWidth="1"/>
    <col min="3" max="3" width="38.25" bestFit="1" customWidth="1"/>
    <col min="4" max="4" width="15.1640625" bestFit="1" customWidth="1"/>
    <col min="5" max="5" width="24.83203125" bestFit="1" customWidth="1"/>
    <col min="6" max="6" width="18.58203125" bestFit="1" customWidth="1"/>
    <col min="8" max="8" width="9.4140625" bestFit="1" customWidth="1"/>
    <col min="9" max="9" width="12.75" bestFit="1" customWidth="1"/>
    <col min="10" max="10" width="14.25" bestFit="1" customWidth="1"/>
    <col min="11" max="11" width="17.83203125" bestFit="1" customWidth="1"/>
    <col min="12" max="12" width="17.75" bestFit="1" customWidth="1"/>
  </cols>
  <sheetData>
    <row r="1" spans="1:39">
      <c r="A1" s="192" t="s">
        <v>0</v>
      </c>
      <c r="B1" s="192" t="s">
        <v>67</v>
      </c>
      <c r="C1" s="192" t="s">
        <v>1173</v>
      </c>
      <c r="D1" s="192" t="s">
        <v>70</v>
      </c>
      <c r="E1" s="192" t="s">
        <v>68</v>
      </c>
      <c r="F1" s="192" t="s">
        <v>69</v>
      </c>
      <c r="G1" s="192" t="s">
        <v>81</v>
      </c>
      <c r="H1" s="192" t="s">
        <v>82</v>
      </c>
      <c r="I1" s="192" t="s">
        <v>1036</v>
      </c>
      <c r="J1" s="192" t="s">
        <v>85</v>
      </c>
      <c r="K1" s="192" t="s">
        <v>83</v>
      </c>
      <c r="L1" s="192" t="s">
        <v>84</v>
      </c>
    </row>
    <row r="2" spans="1:39">
      <c r="A2" t="s">
        <v>1</v>
      </c>
      <c r="B2" t="s">
        <v>13</v>
      </c>
      <c r="C2" t="s">
        <v>1175</v>
      </c>
      <c r="D2" t="s">
        <v>80</v>
      </c>
      <c r="E2">
        <v>2</v>
      </c>
      <c r="F2">
        <v>2</v>
      </c>
      <c r="G2">
        <v>234</v>
      </c>
      <c r="H2">
        <v>234</v>
      </c>
      <c r="I2">
        <v>253342</v>
      </c>
      <c r="J2">
        <v>18000</v>
      </c>
      <c r="K2">
        <v>200000</v>
      </c>
      <c r="L2">
        <v>234234</v>
      </c>
    </row>
    <row r="3" spans="1:39">
      <c r="A3" t="s">
        <v>13</v>
      </c>
      <c r="B3" t="s">
        <v>1176</v>
      </c>
      <c r="C3" t="s">
        <v>1177</v>
      </c>
      <c r="D3" t="s">
        <v>1178</v>
      </c>
      <c r="E3">
        <v>18</v>
      </c>
      <c r="F3">
        <v>2</v>
      </c>
      <c r="G3">
        <v>234</v>
      </c>
      <c r="H3">
        <v>234</v>
      </c>
      <c r="I3">
        <v>253342</v>
      </c>
      <c r="J3">
        <v>17000</v>
      </c>
      <c r="K3">
        <v>250000</v>
      </c>
      <c r="L3">
        <v>180000</v>
      </c>
    </row>
    <row r="4" spans="1:39">
      <c r="A4" t="s">
        <v>13</v>
      </c>
      <c r="B4" t="s">
        <v>1183</v>
      </c>
      <c r="C4" t="s">
        <v>1184</v>
      </c>
      <c r="D4" t="s">
        <v>74</v>
      </c>
      <c r="E4">
        <v>18</v>
      </c>
      <c r="F4">
        <v>2</v>
      </c>
      <c r="G4">
        <v>234</v>
      </c>
      <c r="H4">
        <v>234</v>
      </c>
      <c r="I4">
        <v>253342</v>
      </c>
      <c r="J4">
        <v>16000</v>
      </c>
      <c r="K4">
        <v>250000</v>
      </c>
      <c r="L4">
        <v>180000</v>
      </c>
    </row>
    <row r="5" spans="1:39">
      <c r="AI5">
        <v>19000</v>
      </c>
    </row>
    <row r="7" spans="1:39">
      <c r="AI7">
        <v>2000000</v>
      </c>
      <c r="AM7">
        <v>2000000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0"/>
  <sheetViews>
    <sheetView tabSelected="1" topLeftCell="C1" zoomScale="130" zoomScaleNormal="130" workbookViewId="0">
      <selection activeCell="D4" sqref="D4"/>
    </sheetView>
  </sheetViews>
  <sheetFormatPr defaultRowHeight="14"/>
  <cols>
    <col min="1" max="1" width="32" bestFit="1" customWidth="1"/>
    <col min="2" max="2" width="19.58203125" customWidth="1"/>
    <col min="4" max="4" width="30.25" bestFit="1" customWidth="1"/>
    <col min="5" max="5" width="255.58203125" bestFit="1" customWidth="1"/>
  </cols>
  <sheetData>
    <row r="1" spans="1:13">
      <c r="A1" t="s">
        <v>0</v>
      </c>
      <c r="B1" t="s">
        <v>70</v>
      </c>
      <c r="C1" t="s">
        <v>1027</v>
      </c>
      <c r="D1" t="s">
        <v>1029</v>
      </c>
      <c r="F1" s="194" t="s">
        <v>1151</v>
      </c>
      <c r="G1" s="194" t="s">
        <v>1152</v>
      </c>
      <c r="H1" s="194" t="s">
        <v>1153</v>
      </c>
      <c r="I1" s="194" t="s">
        <v>1154</v>
      </c>
      <c r="J1" s="194" t="s">
        <v>1155</v>
      </c>
      <c r="K1" s="194" t="s">
        <v>1156</v>
      </c>
      <c r="L1" s="194" t="s">
        <v>1157</v>
      </c>
    </row>
    <row r="2" spans="1:13">
      <c r="A2" t="s">
        <v>1</v>
      </c>
      <c r="B2" s="1" t="s">
        <v>71</v>
      </c>
      <c r="C2" cm="1">
        <f t="array" ref="C2:C700">IF(Offering_Calculator!$E$11="SHS",_xlfn.UNIQUE(_xlfn._xlws.FILTER(Subfamily!$A:$A,Subfamily!$I:$I=Offering_Calculator!$E$11)),_xlfn.UNIQUE(_xlfn._xlws.FILTER(Subfamily!$A:$A,Subfamily!$I:$I="SGS &amp; SMSI")))</f>
        <v>10036</v>
      </c>
      <c r="D2" t="str" cm="1">
        <f t="array" ref="D2:D5">_xlfn.UNIQUE(_xlfn._xlws.FILTER(Subfamily!$F:$F,Subfamily!$A:$A=Offering_Calculator!$N$11))</f>
        <v>Customer Service Phone</v>
      </c>
      <c r="E2" t="str">
        <f>_xlfn.CONCAT($F$2,Offering_Calculator!$E$4,Sheet2!$F$2,Offering_Calculator!$N$13,Sheet2!$H$2,Offering_Calculator!$AD$15,Sheet2!$I$2,Offering_Calculator!$O$22,Sheet2!$J$2,Offering_Calculator!$O$23,Sheet2!$K$2,State,Sheet2!$L$2,TEXT(Offering_Calculator!$S$19,"DD-Mmm-YYYY"),M2)</f>
        <v>&lt;html&gt;&lt;head&gt;
&lt;meta http-equiv="Content-Type" content="text/html; charset=utf-8"&gt;&lt;meta name="Generator" content="Microsoft Word 15 (filtered medium)"&gt;&lt;style&gt;
&lt;!--
@font-face
{font-family:Wingdings}
@font-face
{font-family:"Cambria Math"}
@font-face
{font-family:Calibri}
p.MsoNormal, li.MsoNormal, div.MsoNormal
{margin:0in;
font-size:12.0pt;
font-family:"Times New Roman",serif}
.MsoChpDefault
{font-size:10.0pt}
@page WordSection1
{margin:1.0in 1.0in 1.0in 1.0in}
div.WordSection1
{}
ol
{margin-bottom:0in}
ul
{margin-bottom:0in}
--&gt;
&lt;/style&gt;&lt;/head&gt;&lt;body lang="EN-US" link="#0563C1" vlink="#954F72" style="word-wrap:break-word"&gt;&lt;div class="WordSection1"&gt;&lt;div&gt;&lt;div align="center"&gt;&lt;table class="MsoNormalTable" border="0" cellspacing="0" cellpadding="0" style="border-collapse:collapse"&gt;&lt;tbody&gt;&lt;tr style="height:46.25pt"&gt;&lt;td width="731" style="width:548.6pt; border:solid windowtext 1.0pt; border-bottom:none; background:#70C27A; padding:0in 5.4pt 0in 5.4pt; height:46.25pt"&gt;&lt;p class="MsoNormal" align="center" style="text-align:center; line-height:105%"&gt;&lt;b&gt;&lt;span style="font-size:18.0pt; line-height:105%; font-family:&amp;quot;Arial&amp;quot;,sans-serif; color:white"&gt;Welcome to Sutherland Family&lt;/span&gt;&lt;/b&gt;&lt;span style="font-size:11.0pt; line-height:105%; font-family:&amp;quot;Calibri&amp;quot;,sans-serif"&gt;&lt;/span&gt;&lt;/p&gt;&lt;/td&gt;&lt;/tr&gt;&lt;tr style="height:22.0pt"&gt;&lt;td width="731" valign="top" style="width:548.6pt; border-top:none; border-left:solid windowtext 1.0pt; border-bottom:none; border-right:solid windowtext 1.0pt; background:#26235D; padding:0in 5.4pt 0in 5.4pt; height:22.0pt"&gt;&lt;p class="MsoNormal" align="center" style="text-align:center; line-height:105%"&gt;&lt;span style="font-size:11.0pt; line-height:105%; font-family:&amp;quot;Calibri&amp;quot;,sans-serif; color:white"&gt;This is not an Offer Letter&lt;/span&gt;&lt;/p&gt;&lt;/td&gt;&lt;/tr&gt;&lt;tr style="height:58.0pt"&gt;&lt;td width="731" valign="top" style="width:548.6pt; border-top:none; border-left:solid windowtext 1.0pt; border-bottom:none; border-right:solid windowtext 1.0pt; padding:0in 5.4pt 0in 5.4pt; height:58.0pt"&gt;&lt;p class="MsoNormal" style="line-height:105%"&gt;&lt;b&gt;&lt;span style="font-size:11.0pt; line-height:105%; font-family:&amp;quot;Calibri&amp;quot;,sans-serif"&gt;Dear Rahul&lt;html&gt;&lt;head&gt;
&lt;meta http-equiv="Content-Type" content="text/html; charset=utf-8"&gt;&lt;meta name="Generator" content="Microsoft Word 15 (filtered medium)"&gt;&lt;style&gt;
&lt;!--
@font-face
{font-family:Wingdings}
@font-face
{font-family:"Cambria Math"}
@font-face
{font-family:Calibri}
p.MsoNormal, li.MsoNormal, div.MsoNormal
{margin:0in;
font-size:12.0pt;
font-family:"Times New Roman",serif}
.MsoChpDefault
{font-size:10.0pt}
@page WordSection1
{margin:1.0in 1.0in 1.0in 1.0in}
div.WordSection1
{}
ol
{margin-bottom:0in}
ul
{margin-bottom:0in}
--&gt;
&lt;/style&gt;&lt;/head&gt;&lt;body lang="EN-US" link="#0563C1" vlink="#954F72" style="word-wrap:break-word"&gt;&lt;div class="WordSection1"&gt;&lt;div&gt;&lt;div align="center"&gt;&lt;table class="MsoNormalTable" border="0" cellspacing="0" cellpadding="0" style="border-collapse:collapse"&gt;&lt;tbody&gt;&lt;tr style="height:46.25pt"&gt;&lt;td width="731" style="width:548.6pt; border:solid windowtext 1.0pt; border-bottom:none; background:#70C27A; padding:0in 5.4pt 0in 5.4pt; height:46.25pt"&gt;&lt;p class="MsoNormal" align="center" style="text-align:center; line-height:105%"&gt;&lt;b&gt;&lt;span style="font-size:18.0pt; line-height:105%; font-family:&amp;quot;Arial&amp;quot;,sans-serif; color:white"&gt;Welcome to Sutherland Family&lt;/span&gt;&lt;/b&gt;&lt;span style="font-size:11.0pt; line-height:105%; font-family:&amp;quot;Calibri&amp;quot;,sans-serif"&gt;&lt;/span&gt;&lt;/p&gt;&lt;/td&gt;&lt;/tr&gt;&lt;tr style="height:22.0pt"&gt;&lt;td width="731" valign="top" style="width:548.6pt; border-top:none; border-left:solid windowtext 1.0pt; border-bottom:none; border-right:solid windowtext 1.0pt; background:#26235D; padding:0in 5.4pt 0in 5.4pt; height:22.0pt"&gt;&lt;p class="MsoNormal" align="center" style="text-align:center; line-height:105%"&gt;&lt;span style="font-size:11.0pt; line-height:105%; font-family:&amp;quot;Calibri&amp;quot;,sans-serif; color:white"&gt;This is not an Offer Letter&lt;/span&gt;&lt;/p&gt;&lt;/td&gt;&lt;/tr&gt;&lt;tr style="height:58.0pt"&gt;&lt;td width="731" valign="top" style="width:548.6pt; border-top:none; border-left:solid windowtext 1.0pt; border-bottom:none; border-right:solid windowtext 1.0pt; padding:0in 5.4pt 0in 5.4pt; height:58.0pt"&gt;&lt;p class="MsoNormal" style="line-height:105%"&gt;&lt;b&gt;&lt;span style="font-size:11.0pt; line-height:105%; font-family:&amp;quot;Calibri&amp;quot;,sans-serif"&gt;Dear Customer Service Internet”.&amp;nbsp; Your employment with us will only be confirmed after the Document verification.&lt;/span&gt;&lt;/b&gt;&lt;/p&gt;&lt;p class="MsoNormal" style="line-height:105%"&gt;&lt;b&gt;&lt;span style="font-size:11.0pt; line-height:105%; font-family:&amp;quot;Calibri&amp;quot;,sans-serif"&gt;&amp;nbsp;&lt;/span&gt;&lt;/b&gt;&lt;/p&gt;&lt;p class="MsoNormal" style="line-height:105%"&gt;&lt;b&gt;&lt;i&gt;&lt;span style="font-size:11.0pt; line-height:105%; font-family:&amp;quot;Calibri&amp;quot;,sans-serif"&gt;Please find below the proposed compensation details for your reference:&lt;/span&gt;&lt;/i&gt;&lt;/b&gt;&lt;/p&gt;&lt;p class="MsoNormal" style="line-height:105%"&gt;&lt;span style="font-family:&amp;quot;Calibri&amp;quot;,sans-serif"&gt;&amp;nbsp;&lt;/span&gt;&lt;span style="font-size:11.0pt; line-height:105%; font-family:&amp;quot;Calibri&amp;quot;,sans-serif"&gt;&lt;/span&gt;&lt;/p&gt;&lt;/td&gt;&lt;/tr&gt;&lt;tr style="height:149.4pt"&gt;&lt;td width="731" valign="top" style="width:548.6pt; border-top:none; border-left:solid windowtext 1.0pt; border-bottom:none; border-right:solid windowtext 1.0pt; padding:0in 5.4pt 0in 5.4pt; height:149.4pt"&gt;&lt;div align="center"&gt;&lt;table class="MsoNormalTable" border="0" cellspacing="0" cellpadding="0" style="border-collapse:collapse"&gt;&lt;tbody&gt;&lt;tr style="height:22.5pt"&gt;&lt;td width="517" colspan="2" style="width:388.1pt; border:solid windowtext 1.0pt; border-bottom:solid white 1.0pt; padding:0in 5.4pt 0in 5.4pt; height:22.5pt"&gt;&lt;p class="MsoNormal" align="center" style="text-align:center; line-height:105%"&gt;&lt;b&gt;&lt;span style="font-size:11.0pt; line-height:105%; font-family:&amp;quot;Calibri&amp;quot;,sans-serif"&gt;CONDITIONAL OFFER&lt;/span&gt;&lt;/b&gt;&lt;/p&gt;&lt;/td&gt;&lt;/tr&gt;&lt;tr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color:white"&gt;Cost To Company (CTC) PER ANNUM&lt;/span&gt;&lt;/b&gt;&lt;/p&gt;&lt;/td&gt;&lt;td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color:black"&gt;263770&lt;/span&gt;&lt;/b&gt;&lt;/p&gt;&lt;/td&gt;&lt;/tr&gt;&lt;tr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color:white"&gt;Net pay before Taxes (Without Incentives) – Per Month&lt;/span&gt;&lt;/b&gt;&lt;/p&gt;&lt;/td&gt;&lt;td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color:black"&gt;15950&lt;/span&gt;&lt;/b&gt;&lt;/p&gt;&lt;/td&gt;&lt;/tr&gt;&lt;tr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color:white"&gt;Potential earnings before taxes with incentives 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color:black"&gt;18700&lt;/span&gt;&lt;/b&gt;&lt;/p&gt;&lt;/td&gt;&lt;/tr&gt;&lt;tr style="height:22.5pt"&gt;&lt;td style="border-top:none; border-left:solid windowtext 1.0pt; border-bottom:solid white 1.0pt; border-right:solid windowtext 1.0pt;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color:white"&gt;Work location&lt;/span&gt;&lt;/b&gt;&lt;/p&gt;&lt;/td&gt;&lt;td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color:black"&gt;TN&lt;/span&gt;&lt;/b&gt;&lt;/p&gt;&lt;/td&gt;&lt;/tr&gt;&lt;tr style="height:22.5pt"&gt;&lt;td style="border:solid windowtext 1.0pt; border-top:none; background:#26235D; padding:0in 5.4pt 0in 5.4pt; height:22.5pt"&gt;&lt;p class="MsoNormal" align="center" style="text-align:center; line-height:105%"&gt;&lt;b&gt;&lt;span style="font-size:11.0pt; line-height:105%; font-family:&amp;quot;Calibri&amp;quot;,sans-serif; color:white"&gt;Date of Joining&lt;/span&gt;&lt;/b&gt;&lt;/p&gt;&lt;/td&gt;&lt;td width="166" style="width:124.65pt; border-top:none; border-left:none; border-bottom:solid windowtext 1.0pt; border-right:solid windowtext 1.0pt; padding:0in 5.4pt 0in 5.4pt; height:22.5pt"&gt;&lt;p class="MsoNormal" align="center" style="text-align:center; line-height:105%"&gt;&lt;b&gt;&lt;span style="font-size:11.0pt; line-height:105%; font-family:&amp;quot;Calibri&amp;quot;,sans-serif; color:black"&gt;25-Nov-2024&lt;/span&gt;&lt;/b&gt;&lt;/p&gt;&lt;/td&gt;&lt;/tr&gt;&lt;/tbody&gt;&lt;/table&gt;&lt;/div&gt;&lt;/td&gt;&lt;/tr&gt;&lt;tr style="height:22.2pt"&gt;&lt;td width="731" valign="top" style="width:548.6pt; border-top:none; border-left:solid windowtext 1.0pt; border-bottom:none; border-right:solid windowtext 1.0pt; background:#DE1B54; padding:0in 5.4pt 0in 5.4pt; height:22.2pt"&gt;&lt;p class="MsoNormal" align="center" style="text-align:center; line-height:105%"&gt;&lt;b&gt;&lt;u&gt;&lt;span style="font-size:14.0pt; line-height:105%; font-family:&amp;quot;Calibri&amp;quot;,sans-serif; color:white"&gt;Please keep the following scanned copies ready with you&lt;/span&gt;&lt;/u&gt;&lt;/b&gt;&lt;span style="font-size:11.0pt; line-height:105%; font-family:&amp;quot;Calibri&amp;quot;,sans-serif"&gt;&lt;/span&gt;&lt;/p&gt;&lt;/td&gt;&lt;/tr&gt;&lt;tr style="height:21.05pt"&gt;&lt;td width="731" valign="top" style="width:548.6pt; border-top:none; border-left:solid windowtext 1.0pt; border-bottom:none; border-right:solid windowtext 1.0pt; padding:0in 5.4pt 0in 5.4pt; height:21.05pt"&gt;&lt;ol start="1" type="1" style="margin-top:0in"&gt;&lt;li class="MsoNormal" style="line-height:105%"&gt;&lt;b&gt;&lt;span style="font-size:11.0pt; line-height:105%; font-family:&amp;quot;Calibri&amp;quot;,sans-serif"&gt;10th &amp;amp; 12th Certificates&lt;/span&gt;&lt;/b&gt;&lt;span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font-family:&amp;quot;Calibri&amp;quot;,sans-serif"&gt;Passport size photographs&lt;/span&gt;&lt;/b&gt;&lt;span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font-family:&amp;quot;Calibri&amp;quot;,sans-serif"&gt;Pan card 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font-family:&amp;quot;Calibri&amp;quot;,sans-serif"&gt;E-Aadhaar&lt;/span&gt;&lt;/b&gt;&lt;span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font-family:&amp;quot;Calibri&amp;quot;,sans-serif"&gt;Offer Letter, Relieving Letter, Experience Certificate, Pay slips from the previous organization. (ignore if you are a Fresher)&lt;/span&gt;&lt;/b&gt;&lt;span style="font-size:10.0pt; line-height:105%; font-family:&amp;quot;Calibri&amp;quot;,sans-serif"&gt;&lt;/span&gt;&lt;/li&gt;&lt;li class="MsoNormal" style="line-height:105%"&gt;&lt;b&gt;&lt;span style="font-size:11.0pt; line-height:105%; font-family:&amp;quot;Calibri&amp;quot;,sans-serif"&gt;UAN Number, PF pass book and ESIC number (If you have tried joining any company before please refer in PF portal)&lt;/span&gt;&lt;/b&gt;&lt;/li&gt;&lt;li class="MsoNormal" style="line-height:105%"&gt;&lt;b&gt;&lt;span style="font-size:11.0pt; line-height:105%; font-family:&amp;quot;Calibri&amp;quot;,sans-serif"&gt;If you are a HDFC, ICICI or Axis bank account holder then ensure that a cancelled cheque leaf is ready (if not, then we will open a new account).&lt;/span&gt;&lt;/b&gt;&lt;/li&gt;&lt;/ol&gt;&lt;p class="MsoNormal" style="margin-left:.5in; line-height:105%"&gt;&lt;span style="font-size:11.0pt; line-height:105%; font-family:&amp;quot;Calibri&amp;quot;,sans-serif"&gt;&amp;nbsp;&lt;/span&gt;&lt;/p&gt;&lt;/td&gt;&lt;/tr&gt;&lt;tr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color:white"&gt;Working Days &amp;amp; Shift:&lt;/span&gt;&lt;/b&gt;&lt;span style="font-size:11.0pt; line-height:105%; font-family:&amp;quot;Calibri&amp;quot;,sans-serif"&gt;&lt;/span&gt;&lt;/p&gt;&lt;/td&gt;&lt;/tr&gt;&lt;tr style="height:.45in"&gt;&lt;td width="731" valign="top" style="width:548.6pt; border-top:none; border-left:solid windowtext 1.0pt; border-bottom:none; border-right:solid windowtext 1.0pt; padding:0in 5.4pt 0in 5.4pt; height:.45in"&gt;&lt;ul type="disc" style="margin-top:0in"&gt;&lt;li class="MsoNormal" style="line-height:105%"&gt;&lt;b&gt;&lt;span style="font-size:11.0pt; line-height:105%; font-family:&amp;quot;Calibri&amp;quot;,sans-serif"&gt;Weekly-off will be during any day/s of the week&lt;/span&gt;&lt;/b&gt;&lt;/li&gt;&lt;li class="MsoNormal" style="line-height:105%"&gt;&lt;b&gt;&lt;span style="font-size:11.0pt; line-height:105%; font-family:&amp;quot;Calibri&amp;quot;,sans-serif"&gt;Shift will be during the night and at rotational timings (9 hours)&lt;/span&gt;&lt;/b&gt;&lt;span style="font-size:10.0pt; line-height:105%"&gt;&lt;/span&gt;&lt;/li&gt;&lt;/ul&gt;&lt;/td&gt;&lt;/tr&gt;&lt;tr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color:white"&gt;Transportation:&lt;/span&gt;&lt;/b&gt;&lt;span style="font-size:11.0pt; line-height:105%; font-family:&amp;quot;Calibri&amp;quot;,sans-serif"&gt;&lt;/span&gt;&lt;/p&gt;&lt;/td&gt;&lt;/tr&gt;&lt;tr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font-family:&amp;quot;Calibri&amp;quot;,sans-serif"&gt;Cab facility (for Work from Office) is available only for night shifts.&lt;/span&gt;&lt;/b&gt;&lt;/li&gt;&lt;li class="MsoNormal" style="line-height:105%"&gt;&lt;b&gt;&lt;span style="font-size:11.0pt; line-height:105%; font-family:&amp;quot;Calibri&amp;quot;,sans-serif"&gt;Door pick-up and drop-back is available within the stipulated transportation boundaries set by Sutherland (there can be changes to this as per existing transportation policies)&lt;/span&gt;&lt;/b&gt;&lt;/li&gt;&lt;/ul&gt;&lt;/td&gt;&lt;/tr&gt;&lt;tr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color:white"&gt;Salary:&lt;/span&gt;&lt;/b&gt;&lt;span style="font-size:11.0pt; line-height:105%; font-family:&amp;quot;Calibri&amp;quot;,sans-serif"&gt;&lt;/span&gt;&lt;/p&gt;&lt;/td&gt;&lt;/tr&gt;&lt;tr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font-family:&amp;quot;Calibri&amp;quot;,sans-serif"&gt;Salary would be paid on the last date of the month.&lt;/span&gt;&lt;/b&gt;&lt;/li&gt;&lt;li class="MsoNormal" style="line-height:105%"&gt;&lt;b&gt;&lt;span style="font-size:11.0pt; line-height:105%; font-family:&amp;quot;Calibri&amp;quot;,sans-serif"&gt;If your Gross Pay- Bonus is less than Rs 21000/- an amount equivalent to 1.75% of gross&amp;nbsp;&amp;nbsp; salary including bonus will be deducted towards ESI. Rs 20 would be deducted from the Net Salary towards employee welfare fund.&lt;/span&gt;&lt;/b&gt;&lt;/li&gt;&lt;/ul&gt;&lt;/td&gt;&lt;/tr&gt;&lt;tr style="height:22.2pt"&gt;&lt;td width="731" valign="top" style="width:548.6pt; border-top:none; border-left:solid windowtext 1.0pt; border-bottom:none; border-right:solid windowtext 1.0pt; background:#70C27A; padding:0in 5.4pt 0in 5.4pt; height:22.2pt"&gt;&lt;p class="MsoNormal" style="line-height:105%"&gt;&lt;b&gt;&lt;span style="font-size:14.0pt; line-height:105%; font-family:&amp;quot;Calibri&amp;quot;,sans-serif; color:white"&gt;Training Details:&lt;/span&gt;&lt;/b&gt;&lt;/p&gt;&lt;/td&gt;&lt;/tr&gt;&lt;tr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font-family:&amp;quot;Calibri&amp;quot;,sans-serif"&gt;100% attendance during the training period is mandatory. Leave would not be provided during the training period.&lt;/span&gt;&lt;/b&gt;&lt;/li&gt;&lt;li class="MsoNormal" style="line-height:105%"&gt;&lt;b&gt;&lt;span style="font-size:11.0pt; line-height:105%; font-family:&amp;quot;Calibri&amp;quot;,sans-serif"&gt;Successful completion of Communication, Technical and product and process training is compulsory.&lt;/span&gt;&lt;/b&gt;&lt;/li&gt;&lt;li class="MsoNormal" style="line-height:105%"&gt;&lt;b&gt;&lt;span style="font-size:11.0pt; line-height:105%; font-family:&amp;quot;Calibri&amp;quot;,sans-serif"&gt;Training can be during the day or at night.&lt;/span&gt;&lt;/b&gt;&lt;/li&gt;&lt;li class="MsoNormal" style="line-height:105%"&gt;&lt;b&gt;&lt;span style="font-size:11.0pt; line-height:105%; font-family:&amp;quot;Calibri&amp;quot;,sans-serif"&gt;Cab facility (for work from Office) would be available for training during the night shift.&lt;/span&gt;&lt;/b&gt;&lt;/li&gt;&lt;li class="MsoNormal" style="line-height:105%"&gt;&lt;b&gt;&lt;span style="font-size:11.0pt; line-height:105%; font-family:&amp;quot;Calibri&amp;quot;,sans-serif"&gt;The training schedule (Time, Trainer, Venue) will be informed to you well ahead of the training date&lt;/span&gt;&lt;/b&gt;&lt;/li&gt;&lt;/ul&gt;&lt;/td&gt;&lt;/tr&gt;&lt;tr style="height:22.2pt"&gt;&lt;td width="731" valign="top" style="width:548.6pt; border-top:none; border-left:solid windowtext 1.0pt; border-bottom:none; border-right:solid windowtext 1.0pt; background:#DE1B54; padding:0in 5.4pt 0in 5.4pt; height:22.2pt"&gt;&lt;p class="MsoNormal" style="line-height:105%"&gt;&lt;b&gt;&lt;span style="font-size:14.0pt; line-height:105%; font-family:&amp;quot;Calibri&amp;quot;,sans-serif; color:white"&gt;Please Note:&lt;/span&gt;&lt;/b&gt;&lt;/p&gt;&lt;/td&gt;&lt;/tr&gt;&lt;tr style="height:22.2pt"&gt;&lt;td width="731" valign="top" style="width:548.6pt; border-top:none; border-left:solid windowtext 1.0pt; border-bottom:none; border-right:solid windowtext 1.0pt; padding:0in 5.4pt 0in 5.4pt; height:22.2pt"&gt;&lt;ul type="disc" style="margin-top:0in"&gt;&lt;li class="MsoNormal" style="line-height:105%"&gt;&lt;b&gt;&lt;span style="font-size:11.0pt; line-height:105%; font-family:&amp;quot;Calibri&amp;quot;,sans-serif"&gt;If you are having an existing ESI No &amp;amp; PF Account Number/ Universal Account Number, then please ensure that you are mentioning the same in the joining booklet. &lt;/span&gt;&lt;/b&gt;&lt;/li&gt;&lt;li class="MsoNormal" style="line-height:105%"&gt;&lt;b&gt;&lt;span style="font-size:11.0pt; line-height:105%; font-family:&amp;quot;Calibri&amp;quot;,sans-serif"&gt;If the candidate is not mentioning the existing ESI no, then Sutherland will create a new ESI no. and due to duplication of ESI Nos the ESI benefits will be denied to the employee.&lt;/span&gt;&lt;/b&gt;&lt;/li&gt;&lt;li class="MsoNormal" style="line-height:105%"&gt;&lt;b&gt;&lt;span style="font-size:11.0pt; line-height:105%; font-family:&amp;quot;Calibri&amp;quot;,sans-serif"&gt;The same case is applicable for PF also. IF the candidate is already having existing UAN No, the same should be mentioned.&lt;/span&gt;&lt;/b&gt;&lt;/li&gt;&lt;/ul&gt;&lt;p class="MsoNormal" style="margin-left:.5in; line-height:105%"&gt;&lt;b&gt;&lt;span style="font-size:11.0pt; line-height:105%; font-family:&amp;quot;Calibri&amp;quot;,sans-serif"&gt;&amp;nbsp;&lt;/span&gt;&lt;/b&gt;&lt;/p&gt;&lt;div align="center"&gt;&lt;table class="MsoNormalTable" border="0" cellspacing="0" cellpadding="0" style="border-collapse:collapse"&gt;&lt;tbody&gt;&lt;tr&gt;&lt;td width="618" valign="top" style="width:463.4pt; border:solid windowtext 1.0pt; padding:0in 5.4pt 0in 5.4pt"&gt;&lt;p class="MsoNormal"&gt;&lt;b&gt;&lt;i&gt;&lt;span style="font-size:14.0pt; font-family:&amp;quot;Calibri&amp;quot;,sans-serif; color:#DE1B54"&gt;Please acknowledge this email as acceptance of the offer, so that we can do the necessary arrangements for your smooth onboarding.&lt;/span&gt;&lt;/i&gt;&lt;/b&gt;&lt;/p&gt;&lt;p class="MsoNormal"&gt;&lt;b&gt;&lt;i&gt;&lt;span style="font-size:14.0pt; font-family:&amp;quot;Calibri&amp;quot;,sans-serif; color:#DE1B54"&gt;Disclaimer: Please note that this email and its contents are solely for informational purpose. This letter or its contents cannot be construed to be an offer letter.&lt;/span&gt;&lt;/i&gt;&lt;/b&gt;&lt;b&gt;&lt;i&gt;&lt;span style="font-size:11.0pt; font-family:&amp;quot;Calibri&amp;quot;,sans-serif"&gt;&lt;/span&gt;&lt;/i&gt;&lt;/b&gt;&lt;/p&gt;&lt;/td&gt;&lt;/tr&gt;&lt;/tbody&gt;&lt;/table&gt;&lt;/div&gt;&lt;p class="MsoNormal" style="margin-left:.5in; line-height:105%"&gt;&lt;b&gt;&lt;span style="font-size:11.0pt; line-height:105%; font-family:&amp;quot;Calibri&amp;quot;,sans-serif"&gt;&lt;/span&gt;&lt;/b&gt;&lt;/p&gt;&lt;/td&gt;&lt;/tr&gt;&lt;tr style="height:12.15pt"&gt;&lt;td width="731" valign="top" style="width:548.6pt; border-top:none; border-left:solid windowtext 1.0pt; border-bottom:none; border-right:solid windowtext 1.0pt; padding:0in 5.4pt 0in 5.4pt; height:12.15pt"&gt;&lt;p class="MsoNormal" style="line-height:105%"&gt;&lt;b&gt;&lt;span style="font-size:14.0pt; line-height:105%; font-family:&amp;quot;Calibri&amp;quot;,sans-serif; color:white"&gt;&amp;nbsp;&lt;/span&gt;&lt;/b&gt;&lt;/p&gt;&lt;/td&gt;&lt;/tr&gt;&lt;tr style="height:32.35pt"&gt;&lt;td width="731" valign="top" style="width:548.6pt; border:solid windowtext 1.0pt; border-top:none; background:#70C27A; padding:0in 5.4pt 0in 5.4pt; height:32.35pt"&gt;&lt;p class="MsoNormal" style="line-height:105%"&gt;&lt;b&gt;&lt;span style="font-family:&amp;quot;Calibri&amp;quot;,sans-serif; color:white"&gt;Thanks &amp;amp; Regards,&lt;/span&gt;&lt;/b&gt;&lt;span style="font-size:11.0pt; line-height:105%; font-family:&amp;quot;Calibri&amp;quot;,sans-serif"&gt;&lt;/span&gt;&lt;/p&gt;&lt;p class="MsoNormal" style="line-height:105%"&gt;&lt;b&gt;&lt;span style="font-family:&amp;quot;Calibri&amp;quot;,sans-serif; color:white"&gt;SUTHERLAND RECRUITMENT TEAM&lt;/span&gt;&lt;/b&gt;&lt;span style="font-size:11.0pt; line-height:105%; font-family:&amp;quot;Calibri&amp;quot;,sans-serif"&gt;&lt;/span&gt;&lt;/p&gt;&lt;/td&gt;&lt;/tr&gt;&lt;/tbody&gt;&lt;/table&gt;&lt;/div&gt;&lt;p class="MsoNormal"&gt;&lt;span style="font-size:11.0pt; font-family:&amp;quot;Calibri&amp;quot;,sans-serif"&gt;&amp;nbsp;&lt;/span&gt;&lt;/p&gt;&lt;/div&gt;&lt;/div&gt;&lt;/body&gt;&lt;/html&gt;</v>
      </c>
      <c r="F2" s="195" t="s">
        <v>1158</v>
      </c>
      <c r="G2" s="195" t="s">
        <v>1159</v>
      </c>
      <c r="H2" s="195" t="s">
        <v>1160</v>
      </c>
      <c r="I2" s="195" t="s">
        <v>1161</v>
      </c>
      <c r="J2" s="195" t="s">
        <v>1162</v>
      </c>
      <c r="K2" s="195" t="s">
        <v>1163</v>
      </c>
      <c r="L2" s="195" t="s">
        <v>1164</v>
      </c>
      <c r="M2" s="195" t="s">
        <v>1174</v>
      </c>
    </row>
    <row r="3" spans="1:13">
      <c r="A3" t="s">
        <v>33</v>
      </c>
      <c r="B3" t="s">
        <v>72</v>
      </c>
      <c r="C3">
        <v>25330</v>
      </c>
      <c r="D3" t="str">
        <v>Customer Service Internet</v>
      </c>
    </row>
    <row r="4" spans="1:13">
      <c r="A4" t="s">
        <v>2</v>
      </c>
      <c r="B4" t="s">
        <v>73</v>
      </c>
      <c r="C4">
        <v>51003</v>
      </c>
      <c r="D4" t="str">
        <v>Quality Assurance</v>
      </c>
      <c r="E4" t="s">
        <v>88</v>
      </c>
      <c r="F4" t="s">
        <v>1166</v>
      </c>
    </row>
    <row r="5" spans="1:13">
      <c r="A5" t="s">
        <v>3</v>
      </c>
      <c r="B5" t="s">
        <v>74</v>
      </c>
      <c r="C5">
        <v>51004</v>
      </c>
      <c r="D5" t="str">
        <v>Technical Training</v>
      </c>
      <c r="E5" t="s">
        <v>89</v>
      </c>
      <c r="F5" t="s">
        <v>1167</v>
      </c>
    </row>
    <row r="6" spans="1:13">
      <c r="A6" t="s">
        <v>4</v>
      </c>
      <c r="B6" t="s">
        <v>75</v>
      </c>
      <c r="C6">
        <v>51008</v>
      </c>
      <c r="E6" t="s">
        <v>143</v>
      </c>
      <c r="F6" t="s">
        <v>1035</v>
      </c>
    </row>
    <row r="7" spans="1:13">
      <c r="A7" t="s">
        <v>5</v>
      </c>
      <c r="B7" t="s">
        <v>76</v>
      </c>
      <c r="C7">
        <v>51047</v>
      </c>
      <c r="E7" t="s">
        <v>125</v>
      </c>
      <c r="F7" t="s">
        <v>1168</v>
      </c>
    </row>
    <row r="8" spans="1:13">
      <c r="A8" t="s">
        <v>6</v>
      </c>
      <c r="B8" t="s">
        <v>77</v>
      </c>
      <c r="C8">
        <v>96102</v>
      </c>
      <c r="E8" t="s">
        <v>132</v>
      </c>
      <c r="F8" t="s">
        <v>1169</v>
      </c>
    </row>
    <row r="9" spans="1:13">
      <c r="A9" t="s">
        <v>7</v>
      </c>
      <c r="B9" t="s">
        <v>78</v>
      </c>
      <c r="C9">
        <v>96122</v>
      </c>
      <c r="E9" t="s">
        <v>167</v>
      </c>
      <c r="F9" t="s">
        <v>1170</v>
      </c>
    </row>
    <row r="10" spans="1:13">
      <c r="A10" t="s">
        <v>8</v>
      </c>
      <c r="B10" t="s">
        <v>79</v>
      </c>
      <c r="C10">
        <v>10400</v>
      </c>
      <c r="E10" t="s">
        <v>137</v>
      </c>
      <c r="F10" t="s">
        <v>1171</v>
      </c>
    </row>
    <row r="11" spans="1:13">
      <c r="A11" t="s">
        <v>9</v>
      </c>
      <c r="C11">
        <v>12457</v>
      </c>
    </row>
    <row r="12" spans="1:13">
      <c r="A12" t="s">
        <v>10</v>
      </c>
      <c r="C12">
        <v>10773</v>
      </c>
    </row>
    <row r="13" spans="1:13">
      <c r="A13" t="s">
        <v>11</v>
      </c>
      <c r="C13">
        <v>40251</v>
      </c>
    </row>
    <row r="14" spans="1:13">
      <c r="A14" t="s">
        <v>12</v>
      </c>
      <c r="C14">
        <v>88146</v>
      </c>
      <c r="D14" s="1"/>
    </row>
    <row r="15" spans="1:13">
      <c r="A15" t="s">
        <v>13</v>
      </c>
      <c r="C15">
        <v>88250</v>
      </c>
    </row>
    <row r="16" spans="1:13">
      <c r="A16" t="s">
        <v>14</v>
      </c>
      <c r="C16">
        <v>12351</v>
      </c>
    </row>
    <row r="17" spans="1:3">
      <c r="A17" t="s">
        <v>15</v>
      </c>
      <c r="C17">
        <v>10876</v>
      </c>
    </row>
    <row r="18" spans="1:3">
      <c r="A18" t="s">
        <v>16</v>
      </c>
      <c r="C18">
        <v>10901</v>
      </c>
    </row>
    <row r="19" spans="1:3">
      <c r="A19" t="s">
        <v>17</v>
      </c>
      <c r="C19">
        <v>10732</v>
      </c>
    </row>
    <row r="20" spans="1:3">
      <c r="A20" t="s">
        <v>18</v>
      </c>
      <c r="C20">
        <v>18065</v>
      </c>
    </row>
    <row r="21" spans="1:3">
      <c r="A21" t="s">
        <v>19</v>
      </c>
      <c r="C21">
        <v>82016</v>
      </c>
    </row>
    <row r="22" spans="1:3">
      <c r="A22" t="s">
        <v>20</v>
      </c>
      <c r="C22">
        <v>10643</v>
      </c>
    </row>
    <row r="23" spans="1:3">
      <c r="A23" t="s">
        <v>21</v>
      </c>
      <c r="C23">
        <v>10902</v>
      </c>
    </row>
    <row r="24" spans="1:3">
      <c r="A24" t="s">
        <v>22</v>
      </c>
      <c r="C24">
        <v>10119</v>
      </c>
    </row>
    <row r="25" spans="1:3">
      <c r="A25" t="s">
        <v>23</v>
      </c>
      <c r="C25">
        <v>10016</v>
      </c>
    </row>
    <row r="26" spans="1:3">
      <c r="A26" t="s">
        <v>24</v>
      </c>
      <c r="C26">
        <v>10099</v>
      </c>
    </row>
    <row r="27" spans="1:3">
      <c r="A27" t="s">
        <v>25</v>
      </c>
      <c r="C27">
        <v>28086</v>
      </c>
    </row>
    <row r="28" spans="1:3">
      <c r="A28" t="s">
        <v>26</v>
      </c>
      <c r="C28">
        <v>10789</v>
      </c>
    </row>
    <row r="29" spans="1:3">
      <c r="A29" t="s">
        <v>27</v>
      </c>
      <c r="C29">
        <v>51055</v>
      </c>
    </row>
    <row r="30" spans="1:3">
      <c r="A30" t="s">
        <v>28</v>
      </c>
      <c r="C30">
        <v>51056</v>
      </c>
    </row>
    <row r="31" spans="1:3">
      <c r="A31" t="s">
        <v>29</v>
      </c>
      <c r="C31">
        <v>10693</v>
      </c>
    </row>
    <row r="32" spans="1:3">
      <c r="A32" t="s">
        <v>30</v>
      </c>
      <c r="C32">
        <v>12020</v>
      </c>
    </row>
    <row r="33" spans="1:3">
      <c r="A33" t="s">
        <v>31</v>
      </c>
      <c r="C33">
        <v>20611</v>
      </c>
    </row>
    <row r="34" spans="1:3">
      <c r="A34" t="s">
        <v>32</v>
      </c>
      <c r="C34">
        <v>10970</v>
      </c>
    </row>
    <row r="35" spans="1:3">
      <c r="A35" t="s">
        <v>34</v>
      </c>
      <c r="C35">
        <v>10838</v>
      </c>
    </row>
    <row r="36" spans="1:3">
      <c r="A36" t="s">
        <v>35</v>
      </c>
      <c r="C36">
        <v>12426</v>
      </c>
    </row>
    <row r="37" spans="1:3">
      <c r="A37" t="s">
        <v>36</v>
      </c>
      <c r="C37">
        <v>51058</v>
      </c>
    </row>
    <row r="38" spans="1:3">
      <c r="A38" t="s">
        <v>37</v>
      </c>
      <c r="C38">
        <v>10699</v>
      </c>
    </row>
    <row r="39" spans="1:3">
      <c r="A39" t="s">
        <v>38</v>
      </c>
      <c r="C39">
        <v>10810</v>
      </c>
    </row>
    <row r="40" spans="1:3">
      <c r="A40" t="s">
        <v>39</v>
      </c>
      <c r="C40">
        <v>10872</v>
      </c>
    </row>
    <row r="41" spans="1:3">
      <c r="A41" t="s">
        <v>40</v>
      </c>
      <c r="C41">
        <v>10783</v>
      </c>
    </row>
    <row r="42" spans="1:3">
      <c r="A42" t="s">
        <v>41</v>
      </c>
      <c r="C42">
        <v>10515</v>
      </c>
    </row>
    <row r="43" spans="1:3">
      <c r="A43" t="s">
        <v>42</v>
      </c>
      <c r="C43">
        <v>10009</v>
      </c>
    </row>
    <row r="44" spans="1:3">
      <c r="A44" t="s">
        <v>43</v>
      </c>
      <c r="C44">
        <v>10010</v>
      </c>
    </row>
    <row r="45" spans="1:3">
      <c r="A45" t="s">
        <v>44</v>
      </c>
      <c r="C45">
        <v>10730</v>
      </c>
    </row>
    <row r="46" spans="1:3">
      <c r="A46" t="s">
        <v>45</v>
      </c>
      <c r="C46">
        <v>10695</v>
      </c>
    </row>
    <row r="47" spans="1:3">
      <c r="A47" t="s">
        <v>46</v>
      </c>
      <c r="C47">
        <v>10000</v>
      </c>
    </row>
    <row r="48" spans="1:3">
      <c r="A48" t="s">
        <v>47</v>
      </c>
      <c r="C48">
        <v>10743</v>
      </c>
    </row>
    <row r="49" spans="1:3">
      <c r="A49" t="s">
        <v>48</v>
      </c>
      <c r="C49">
        <v>10723</v>
      </c>
    </row>
    <row r="50" spans="1:3">
      <c r="A50" t="s">
        <v>49</v>
      </c>
      <c r="C50">
        <v>10008</v>
      </c>
    </row>
    <row r="51" spans="1:3">
      <c r="A51" t="s">
        <v>50</v>
      </c>
      <c r="C51">
        <v>10033</v>
      </c>
    </row>
    <row r="52" spans="1:3">
      <c r="A52" t="s">
        <v>51</v>
      </c>
      <c r="C52">
        <v>10707</v>
      </c>
    </row>
    <row r="53" spans="1:3">
      <c r="A53" t="s">
        <v>52</v>
      </c>
      <c r="C53">
        <v>10006</v>
      </c>
    </row>
    <row r="54" spans="1:3">
      <c r="A54" t="s">
        <v>53</v>
      </c>
      <c r="C54">
        <v>80006</v>
      </c>
    </row>
    <row r="55" spans="1:3">
      <c r="A55" t="s">
        <v>54</v>
      </c>
      <c r="C55">
        <v>10914</v>
      </c>
    </row>
    <row r="56" spans="1:3">
      <c r="A56" t="s">
        <v>55</v>
      </c>
      <c r="C56">
        <v>10823</v>
      </c>
    </row>
    <row r="57" spans="1:3">
      <c r="A57" t="s">
        <v>56</v>
      </c>
      <c r="C57">
        <v>93675</v>
      </c>
    </row>
    <row r="58" spans="1:3">
      <c r="A58" t="s">
        <v>57</v>
      </c>
      <c r="C58">
        <v>87103</v>
      </c>
    </row>
    <row r="59" spans="1:3">
      <c r="A59" t="s">
        <v>58</v>
      </c>
      <c r="C59">
        <v>87104</v>
      </c>
    </row>
    <row r="60" spans="1:3">
      <c r="A60" t="s">
        <v>59</v>
      </c>
      <c r="C60">
        <v>87107</v>
      </c>
    </row>
    <row r="61" spans="1:3">
      <c r="A61" t="s">
        <v>60</v>
      </c>
      <c r="C61">
        <v>87105</v>
      </c>
    </row>
    <row r="62" spans="1:3">
      <c r="A62" t="s">
        <v>61</v>
      </c>
      <c r="C62">
        <v>93610</v>
      </c>
    </row>
    <row r="63" spans="1:3">
      <c r="A63" t="s">
        <v>62</v>
      </c>
      <c r="C63">
        <v>10711</v>
      </c>
    </row>
    <row r="64" spans="1:3">
      <c r="A64" t="s">
        <v>63</v>
      </c>
      <c r="C64">
        <v>18037</v>
      </c>
    </row>
    <row r="65" spans="1:3">
      <c r="A65" t="s">
        <v>64</v>
      </c>
      <c r="C65">
        <v>95302</v>
      </c>
    </row>
    <row r="66" spans="1:3">
      <c r="A66" t="s">
        <v>65</v>
      </c>
      <c r="C66">
        <v>95230</v>
      </c>
    </row>
    <row r="67" spans="1:3">
      <c r="A67" t="s">
        <v>66</v>
      </c>
      <c r="C67">
        <v>33002</v>
      </c>
    </row>
    <row r="68" spans="1:3">
      <c r="C68">
        <v>33011</v>
      </c>
    </row>
    <row r="69" spans="1:3">
      <c r="C69">
        <v>33003</v>
      </c>
    </row>
    <row r="70" spans="1:3">
      <c r="C70">
        <v>10744</v>
      </c>
    </row>
    <row r="71" spans="1:3">
      <c r="C71">
        <v>18016</v>
      </c>
    </row>
    <row r="72" spans="1:3">
      <c r="C72">
        <v>10957</v>
      </c>
    </row>
    <row r="73" spans="1:3">
      <c r="C73">
        <v>10949</v>
      </c>
    </row>
    <row r="74" spans="1:3">
      <c r="C74">
        <v>10494</v>
      </c>
    </row>
    <row r="75" spans="1:3">
      <c r="C75">
        <v>10664</v>
      </c>
    </row>
    <row r="76" spans="1:3">
      <c r="C76">
        <v>10937</v>
      </c>
    </row>
    <row r="77" spans="1:3">
      <c r="C77">
        <v>10929</v>
      </c>
    </row>
    <row r="78" spans="1:3">
      <c r="C78">
        <v>10931</v>
      </c>
    </row>
    <row r="79" spans="1:3">
      <c r="C79">
        <v>12621</v>
      </c>
    </row>
    <row r="80" spans="1:3">
      <c r="C80">
        <v>51063</v>
      </c>
    </row>
    <row r="81" spans="3:3">
      <c r="C81">
        <v>51423</v>
      </c>
    </row>
    <row r="82" spans="3:3">
      <c r="C82">
        <v>10760</v>
      </c>
    </row>
    <row r="83" spans="3:3">
      <c r="C83">
        <v>10524</v>
      </c>
    </row>
    <row r="84" spans="3:3">
      <c r="C84">
        <v>10705</v>
      </c>
    </row>
    <row r="85" spans="3:3">
      <c r="C85">
        <v>10992</v>
      </c>
    </row>
    <row r="86" spans="3:3">
      <c r="C86">
        <v>10993</v>
      </c>
    </row>
    <row r="87" spans="3:3">
      <c r="C87">
        <v>10979</v>
      </c>
    </row>
    <row r="88" spans="3:3">
      <c r="C88">
        <v>10990</v>
      </c>
    </row>
    <row r="89" spans="3:3">
      <c r="C89">
        <v>10706</v>
      </c>
    </row>
    <row r="90" spans="3:3">
      <c r="C90">
        <v>12524</v>
      </c>
    </row>
    <row r="91" spans="3:3">
      <c r="C91">
        <v>10510</v>
      </c>
    </row>
    <row r="92" spans="3:3">
      <c r="C92">
        <v>95505</v>
      </c>
    </row>
    <row r="93" spans="3:3">
      <c r="C93">
        <v>10811</v>
      </c>
    </row>
    <row r="94" spans="3:3">
      <c r="C94">
        <v>10881</v>
      </c>
    </row>
    <row r="95" spans="3:3">
      <c r="C95">
        <v>10637</v>
      </c>
    </row>
    <row r="96" spans="3:3">
      <c r="C96">
        <v>10640</v>
      </c>
    </row>
    <row r="97" spans="3:3">
      <c r="C97">
        <v>10891</v>
      </c>
    </row>
    <row r="98" spans="3:3">
      <c r="C98">
        <v>20496</v>
      </c>
    </row>
    <row r="99" spans="3:3">
      <c r="C99">
        <v>25497</v>
      </c>
    </row>
    <row r="100" spans="3:3">
      <c r="C100">
        <v>40184</v>
      </c>
    </row>
    <row r="101" spans="3:3">
      <c r="C101">
        <v>93250</v>
      </c>
    </row>
    <row r="102" spans="3:3">
      <c r="C102">
        <v>91322</v>
      </c>
    </row>
    <row r="103" spans="3:3">
      <c r="C103">
        <v>88010</v>
      </c>
    </row>
    <row r="104" spans="3:3">
      <c r="C104">
        <v>12029</v>
      </c>
    </row>
    <row r="105" spans="3:3">
      <c r="C105">
        <v>95507</v>
      </c>
    </row>
    <row r="106" spans="3:3">
      <c r="C106">
        <v>93621</v>
      </c>
    </row>
    <row r="107" spans="3:3">
      <c r="C107">
        <v>93032</v>
      </c>
    </row>
    <row r="108" spans="3:3">
      <c r="C108">
        <v>93630</v>
      </c>
    </row>
    <row r="109" spans="3:3">
      <c r="C109">
        <v>10852</v>
      </c>
    </row>
    <row r="110" spans="3:3">
      <c r="C110">
        <v>12620</v>
      </c>
    </row>
    <row r="111" spans="3:3">
      <c r="C111">
        <v>88156</v>
      </c>
    </row>
    <row r="112" spans="3:3">
      <c r="C112">
        <v>10839</v>
      </c>
    </row>
    <row r="113" spans="3:3">
      <c r="C113">
        <v>93584</v>
      </c>
    </row>
    <row r="114" spans="3:3">
      <c r="C114">
        <v>51072</v>
      </c>
    </row>
    <row r="115" spans="3:3">
      <c r="C115">
        <v>10694</v>
      </c>
    </row>
    <row r="116" spans="3:3">
      <c r="C116">
        <v>10489</v>
      </c>
    </row>
    <row r="117" spans="3:3">
      <c r="C117">
        <v>51074</v>
      </c>
    </row>
    <row r="118" spans="3:3">
      <c r="C118">
        <v>88046</v>
      </c>
    </row>
    <row r="119" spans="3:3">
      <c r="C119">
        <v>10828</v>
      </c>
    </row>
    <row r="120" spans="3:3">
      <c r="C120">
        <v>10917</v>
      </c>
    </row>
    <row r="121" spans="3:3">
      <c r="C121">
        <v>87100</v>
      </c>
    </row>
    <row r="122" spans="3:3">
      <c r="C122">
        <v>93601</v>
      </c>
    </row>
    <row r="123" spans="3:3">
      <c r="C123">
        <v>96120</v>
      </c>
    </row>
    <row r="124" spans="3:3">
      <c r="C124">
        <v>93000</v>
      </c>
    </row>
    <row r="125" spans="3:3">
      <c r="C125">
        <v>12345</v>
      </c>
    </row>
    <row r="126" spans="3:3">
      <c r="C126">
        <v>10916</v>
      </c>
    </row>
    <row r="127" spans="3:3">
      <c r="C127">
        <v>12425</v>
      </c>
    </row>
    <row r="128" spans="3:3">
      <c r="C128">
        <v>90000</v>
      </c>
    </row>
    <row r="129" spans="3:3">
      <c r="C129">
        <v>12243</v>
      </c>
    </row>
    <row r="130" spans="3:3">
      <c r="C130">
        <v>10105</v>
      </c>
    </row>
    <row r="131" spans="3:3">
      <c r="C131">
        <v>18072</v>
      </c>
    </row>
    <row r="132" spans="3:3">
      <c r="C132">
        <v>10014</v>
      </c>
    </row>
    <row r="133" spans="3:3">
      <c r="C133">
        <v>10865</v>
      </c>
    </row>
    <row r="134" spans="3:3">
      <c r="C134">
        <v>10867</v>
      </c>
    </row>
    <row r="135" spans="3:3">
      <c r="C135">
        <v>95240</v>
      </c>
    </row>
    <row r="136" spans="3:3">
      <c r="C136">
        <v>95510</v>
      </c>
    </row>
    <row r="137" spans="3:3">
      <c r="C137">
        <v>51083</v>
      </c>
    </row>
    <row r="138" spans="3:3">
      <c r="C138">
        <v>97305</v>
      </c>
    </row>
    <row r="139" spans="3:3">
      <c r="C139">
        <v>12048</v>
      </c>
    </row>
    <row r="140" spans="3:3">
      <c r="C140">
        <v>12054</v>
      </c>
    </row>
    <row r="141" spans="3:3">
      <c r="C141">
        <v>96201</v>
      </c>
    </row>
    <row r="142" spans="3:3">
      <c r="C142">
        <v>90402</v>
      </c>
    </row>
    <row r="143" spans="3:3">
      <c r="C143">
        <v>12057</v>
      </c>
    </row>
    <row r="144" spans="3:3">
      <c r="C144">
        <v>12463</v>
      </c>
    </row>
    <row r="145" spans="3:3">
      <c r="C145">
        <v>82010</v>
      </c>
    </row>
    <row r="146" spans="3:3">
      <c r="C146">
        <v>82102</v>
      </c>
    </row>
    <row r="147" spans="3:3">
      <c r="C147">
        <v>90100</v>
      </c>
    </row>
    <row r="148" spans="3:3">
      <c r="C148">
        <v>40170</v>
      </c>
    </row>
    <row r="149" spans="3:3">
      <c r="C149">
        <v>90407</v>
      </c>
    </row>
    <row r="150" spans="3:3">
      <c r="C150">
        <v>96114</v>
      </c>
    </row>
    <row r="151" spans="3:3">
      <c r="C151">
        <v>90414</v>
      </c>
    </row>
    <row r="152" spans="3:3">
      <c r="C152">
        <v>97101</v>
      </c>
    </row>
    <row r="153" spans="3:3">
      <c r="C153">
        <v>40224</v>
      </c>
    </row>
    <row r="154" spans="3:3">
      <c r="C154">
        <v>10715</v>
      </c>
    </row>
    <row r="155" spans="3:3">
      <c r="C155">
        <v>10506</v>
      </c>
    </row>
    <row r="156" spans="3:3">
      <c r="C156">
        <v>28076</v>
      </c>
    </row>
    <row r="157" spans="3:3">
      <c r="C157">
        <v>10830</v>
      </c>
    </row>
    <row r="158" spans="3:3">
      <c r="C158">
        <v>90205</v>
      </c>
    </row>
    <row r="159" spans="3:3">
      <c r="C159">
        <v>86251</v>
      </c>
    </row>
    <row r="160" spans="3:3">
      <c r="C160">
        <v>86220</v>
      </c>
    </row>
    <row r="161" spans="3:3">
      <c r="C161">
        <v>86250</v>
      </c>
    </row>
    <row r="162" spans="3:3">
      <c r="C162">
        <v>93101</v>
      </c>
    </row>
    <row r="163" spans="3:3">
      <c r="C163">
        <v>51088</v>
      </c>
    </row>
    <row r="164" spans="3:3">
      <c r="C164">
        <v>10470</v>
      </c>
    </row>
    <row r="165" spans="3:3">
      <c r="C165">
        <v>51385</v>
      </c>
    </row>
    <row r="166" spans="3:3">
      <c r="C166">
        <v>51097</v>
      </c>
    </row>
    <row r="167" spans="3:3">
      <c r="C167">
        <v>51101</v>
      </c>
    </row>
    <row r="168" spans="3:3">
      <c r="C168">
        <v>51103</v>
      </c>
    </row>
    <row r="169" spans="3:3">
      <c r="C169">
        <v>51104</v>
      </c>
    </row>
    <row r="170" spans="3:3">
      <c r="C170">
        <v>51105</v>
      </c>
    </row>
    <row r="171" spans="3:3">
      <c r="C171">
        <v>51106</v>
      </c>
    </row>
    <row r="172" spans="3:3">
      <c r="C172">
        <v>51115</v>
      </c>
    </row>
    <row r="173" spans="3:3">
      <c r="C173">
        <v>51119</v>
      </c>
    </row>
    <row r="174" spans="3:3">
      <c r="C174">
        <v>10648</v>
      </c>
    </row>
    <row r="175" spans="3:3">
      <c r="C175">
        <v>93858</v>
      </c>
    </row>
    <row r="176" spans="3:3">
      <c r="C176">
        <v>95103</v>
      </c>
    </row>
    <row r="177" spans="3:3">
      <c r="C177">
        <v>10829</v>
      </c>
    </row>
    <row r="178" spans="3:3">
      <c r="C178">
        <v>10756</v>
      </c>
    </row>
    <row r="179" spans="3:3">
      <c r="C179">
        <v>10795</v>
      </c>
    </row>
    <row r="180" spans="3:3">
      <c r="C180">
        <v>40203</v>
      </c>
    </row>
    <row r="181" spans="3:3">
      <c r="C181">
        <v>89009</v>
      </c>
    </row>
    <row r="182" spans="3:3">
      <c r="C182">
        <v>89010</v>
      </c>
    </row>
    <row r="183" spans="3:3">
      <c r="C183">
        <v>91059</v>
      </c>
    </row>
    <row r="184" spans="3:3">
      <c r="C184">
        <v>89001</v>
      </c>
    </row>
    <row r="185" spans="3:3">
      <c r="C185">
        <v>89002</v>
      </c>
    </row>
    <row r="186" spans="3:3">
      <c r="C186">
        <v>88145</v>
      </c>
    </row>
    <row r="187" spans="3:3">
      <c r="C187">
        <v>10020</v>
      </c>
    </row>
    <row r="188" spans="3:3">
      <c r="C188">
        <v>10813</v>
      </c>
    </row>
    <row r="189" spans="3:3">
      <c r="C189">
        <v>10843</v>
      </c>
    </row>
    <row r="190" spans="3:3">
      <c r="C190">
        <v>10888</v>
      </c>
    </row>
    <row r="191" spans="3:3">
      <c r="C191">
        <v>10840</v>
      </c>
    </row>
    <row r="192" spans="3:3">
      <c r="C192">
        <v>12427</v>
      </c>
    </row>
    <row r="193" spans="3:3">
      <c r="C193">
        <v>12505</v>
      </c>
    </row>
    <row r="194" spans="3:3">
      <c r="C194">
        <v>12607</v>
      </c>
    </row>
    <row r="195" spans="3:3">
      <c r="C195">
        <v>18050</v>
      </c>
    </row>
    <row r="196" spans="3:3">
      <c r="C196">
        <v>93022</v>
      </c>
    </row>
    <row r="197" spans="3:3">
      <c r="C197">
        <v>97128</v>
      </c>
    </row>
    <row r="198" spans="3:3">
      <c r="C198">
        <v>18077</v>
      </c>
    </row>
    <row r="199" spans="3:3">
      <c r="C199">
        <v>95112</v>
      </c>
    </row>
    <row r="200" spans="3:3">
      <c r="C200">
        <v>96112</v>
      </c>
    </row>
    <row r="201" spans="3:3">
      <c r="C201">
        <v>89003</v>
      </c>
    </row>
    <row r="202" spans="3:3">
      <c r="C202">
        <v>89004</v>
      </c>
    </row>
    <row r="203" spans="3:3">
      <c r="C203">
        <v>89005</v>
      </c>
    </row>
    <row r="204" spans="3:3">
      <c r="C204">
        <v>89006</v>
      </c>
    </row>
    <row r="205" spans="3:3">
      <c r="C205">
        <v>90403</v>
      </c>
    </row>
    <row r="206" spans="3:3">
      <c r="C206">
        <v>10697</v>
      </c>
    </row>
    <row r="207" spans="3:3">
      <c r="C207">
        <v>91840</v>
      </c>
    </row>
    <row r="208" spans="3:3">
      <c r="C208">
        <v>90567</v>
      </c>
    </row>
    <row r="209" spans="3:3">
      <c r="C209">
        <v>10877</v>
      </c>
    </row>
    <row r="210" spans="3:3">
      <c r="C210">
        <v>40225</v>
      </c>
    </row>
    <row r="211" spans="3:3">
      <c r="C211">
        <v>51488</v>
      </c>
    </row>
    <row r="212" spans="3:3">
      <c r="C212">
        <v>95305</v>
      </c>
    </row>
    <row r="213" spans="3:3">
      <c r="C213">
        <v>96113</v>
      </c>
    </row>
    <row r="214" spans="3:3">
      <c r="C214">
        <v>95250</v>
      </c>
    </row>
    <row r="215" spans="3:3">
      <c r="C215">
        <v>95309</v>
      </c>
    </row>
    <row r="216" spans="3:3">
      <c r="C216">
        <v>95300</v>
      </c>
    </row>
    <row r="217" spans="3:3">
      <c r="C217">
        <v>95304</v>
      </c>
    </row>
    <row r="218" spans="3:3">
      <c r="C218">
        <v>95306</v>
      </c>
    </row>
    <row r="219" spans="3:3">
      <c r="C219">
        <v>95308</v>
      </c>
    </row>
    <row r="220" spans="3:3">
      <c r="C220">
        <v>95307</v>
      </c>
    </row>
    <row r="221" spans="3:3">
      <c r="C221">
        <v>10482</v>
      </c>
    </row>
    <row r="222" spans="3:3">
      <c r="C222">
        <v>10948</v>
      </c>
    </row>
    <row r="223" spans="3:3">
      <c r="C223">
        <v>97202</v>
      </c>
    </row>
    <row r="224" spans="3:3">
      <c r="C224">
        <v>10112</v>
      </c>
    </row>
    <row r="225" spans="3:3">
      <c r="C225">
        <v>10832</v>
      </c>
    </row>
    <row r="226" spans="3:3">
      <c r="C226">
        <v>10779</v>
      </c>
    </row>
    <row r="227" spans="3:3">
      <c r="C227">
        <v>10945</v>
      </c>
    </row>
    <row r="228" spans="3:3">
      <c r="C228">
        <v>10018</v>
      </c>
    </row>
    <row r="229" spans="3:3">
      <c r="C229">
        <v>92101</v>
      </c>
    </row>
    <row r="230" spans="3:3">
      <c r="C230">
        <v>92201</v>
      </c>
    </row>
    <row r="231" spans="3:3">
      <c r="C231">
        <v>10762</v>
      </c>
    </row>
    <row r="232" spans="3:3">
      <c r="C232">
        <v>40102</v>
      </c>
    </row>
    <row r="233" spans="3:3">
      <c r="C233">
        <v>96124</v>
      </c>
    </row>
    <row r="234" spans="3:3">
      <c r="C234">
        <v>10084</v>
      </c>
    </row>
    <row r="235" spans="3:3">
      <c r="C235">
        <v>10088</v>
      </c>
    </row>
    <row r="236" spans="3:3">
      <c r="C236">
        <v>10118</v>
      </c>
    </row>
    <row r="237" spans="3:3">
      <c r="C237">
        <v>18057</v>
      </c>
    </row>
    <row r="238" spans="3:3">
      <c r="C238">
        <v>10717</v>
      </c>
    </row>
    <row r="239" spans="3:3">
      <c r="C239">
        <v>93590</v>
      </c>
    </row>
    <row r="240" spans="3:3">
      <c r="C240">
        <v>51001</v>
      </c>
    </row>
    <row r="241" spans="3:3">
      <c r="C241">
        <v>10920</v>
      </c>
    </row>
    <row r="242" spans="3:3">
      <c r="C242">
        <v>18058</v>
      </c>
    </row>
    <row r="243" spans="3:3">
      <c r="C243">
        <v>18073</v>
      </c>
    </row>
    <row r="244" spans="3:3">
      <c r="C244">
        <v>96103</v>
      </c>
    </row>
    <row r="245" spans="3:3">
      <c r="C245">
        <v>10740</v>
      </c>
    </row>
    <row r="246" spans="3:3">
      <c r="C246">
        <v>10117</v>
      </c>
    </row>
    <row r="247" spans="3:3">
      <c r="C247">
        <v>91324</v>
      </c>
    </row>
    <row r="248" spans="3:3">
      <c r="C248">
        <v>97320</v>
      </c>
    </row>
    <row r="249" spans="3:3">
      <c r="C249">
        <v>10736</v>
      </c>
    </row>
    <row r="250" spans="3:3">
      <c r="C250">
        <v>91404</v>
      </c>
    </row>
    <row r="251" spans="3:3">
      <c r="C251">
        <v>12500</v>
      </c>
    </row>
    <row r="252" spans="3:3">
      <c r="C252">
        <v>12489</v>
      </c>
    </row>
    <row r="253" spans="3:3">
      <c r="C253">
        <v>12638</v>
      </c>
    </row>
    <row r="254" spans="3:3">
      <c r="C254">
        <v>12328</v>
      </c>
    </row>
    <row r="255" spans="3:3">
      <c r="C255">
        <v>12558</v>
      </c>
    </row>
    <row r="256" spans="3:3">
      <c r="C256">
        <v>12622</v>
      </c>
    </row>
    <row r="257" spans="3:3">
      <c r="C257">
        <v>12079</v>
      </c>
    </row>
    <row r="258" spans="3:3">
      <c r="C258">
        <v>96742</v>
      </c>
    </row>
    <row r="259" spans="3:3">
      <c r="C259">
        <v>96207</v>
      </c>
    </row>
    <row r="260" spans="3:3">
      <c r="C260">
        <v>10738</v>
      </c>
    </row>
    <row r="261" spans="3:3">
      <c r="C261">
        <v>51139</v>
      </c>
    </row>
    <row r="262" spans="3:3">
      <c r="C262">
        <v>96725</v>
      </c>
    </row>
    <row r="263" spans="3:3">
      <c r="C263">
        <v>95508</v>
      </c>
    </row>
    <row r="264" spans="3:3">
      <c r="C264">
        <v>96205</v>
      </c>
    </row>
    <row r="265" spans="3:3">
      <c r="C265">
        <v>98001</v>
      </c>
    </row>
    <row r="266" spans="3:3">
      <c r="C266">
        <v>99000</v>
      </c>
    </row>
    <row r="267" spans="3:3">
      <c r="C267">
        <v>98003</v>
      </c>
    </row>
    <row r="268" spans="3:3">
      <c r="C268">
        <v>95101</v>
      </c>
    </row>
    <row r="269" spans="3:3">
      <c r="C269">
        <v>97324</v>
      </c>
    </row>
    <row r="270" spans="3:3">
      <c r="C270">
        <v>25575</v>
      </c>
    </row>
    <row r="271" spans="3:3">
      <c r="C271">
        <v>10674</v>
      </c>
    </row>
    <row r="272" spans="3:3">
      <c r="C272">
        <v>10918</v>
      </c>
    </row>
    <row r="273" spans="3:3">
      <c r="C273">
        <v>10614</v>
      </c>
    </row>
    <row r="274" spans="3:3">
      <c r="C274">
        <v>12083</v>
      </c>
    </row>
    <row r="275" spans="3:3">
      <c r="C275">
        <v>10471</v>
      </c>
    </row>
    <row r="276" spans="3:3">
      <c r="C276">
        <v>95100</v>
      </c>
    </row>
    <row r="277" spans="3:3">
      <c r="C277">
        <v>10690</v>
      </c>
    </row>
    <row r="278" spans="3:3">
      <c r="C278">
        <v>10654</v>
      </c>
    </row>
    <row r="279" spans="3:3">
      <c r="C279">
        <v>10767</v>
      </c>
    </row>
    <row r="280" spans="3:3">
      <c r="C280">
        <v>10956</v>
      </c>
    </row>
    <row r="281" spans="3:3">
      <c r="C281">
        <v>20510</v>
      </c>
    </row>
    <row r="282" spans="3:3">
      <c r="C282">
        <v>86231</v>
      </c>
    </row>
    <row r="283" spans="3:3">
      <c r="C283">
        <v>86229</v>
      </c>
    </row>
    <row r="284" spans="3:3">
      <c r="C284">
        <v>86234</v>
      </c>
    </row>
    <row r="285" spans="3:3">
      <c r="C285">
        <v>86230</v>
      </c>
    </row>
    <row r="286" spans="3:3">
      <c r="C286">
        <v>12388</v>
      </c>
    </row>
    <row r="287" spans="3:3">
      <c r="C287">
        <v>12382</v>
      </c>
    </row>
    <row r="288" spans="3:3">
      <c r="C288">
        <v>12466</v>
      </c>
    </row>
    <row r="289" spans="3:3">
      <c r="C289">
        <v>12455</v>
      </c>
    </row>
    <row r="290" spans="3:3">
      <c r="C290">
        <v>10817</v>
      </c>
    </row>
    <row r="291" spans="3:3">
      <c r="C291">
        <v>12609</v>
      </c>
    </row>
    <row r="292" spans="3:3">
      <c r="C292">
        <v>20460</v>
      </c>
    </row>
    <row r="293" spans="3:3">
      <c r="C293">
        <v>10041</v>
      </c>
    </row>
    <row r="294" spans="3:3">
      <c r="C294">
        <v>51144</v>
      </c>
    </row>
    <row r="295" spans="3:3">
      <c r="C295">
        <v>96737</v>
      </c>
    </row>
    <row r="296" spans="3:3">
      <c r="C296">
        <v>10721</v>
      </c>
    </row>
    <row r="297" spans="3:3">
      <c r="C297">
        <v>97115</v>
      </c>
    </row>
    <row r="298" spans="3:3">
      <c r="C298">
        <v>97124</v>
      </c>
    </row>
    <row r="299" spans="3:3">
      <c r="C299">
        <v>97106</v>
      </c>
    </row>
    <row r="300" spans="3:3">
      <c r="C300">
        <v>97117</v>
      </c>
    </row>
    <row r="301" spans="3:3">
      <c r="C301">
        <v>97127</v>
      </c>
    </row>
    <row r="302" spans="3:3">
      <c r="C302">
        <v>97107</v>
      </c>
    </row>
    <row r="303" spans="3:3">
      <c r="C303">
        <v>97116</v>
      </c>
    </row>
    <row r="304" spans="3:3">
      <c r="C304">
        <v>97126</v>
      </c>
    </row>
    <row r="305" spans="3:3">
      <c r="C305">
        <v>51149</v>
      </c>
    </row>
    <row r="306" spans="3:3">
      <c r="C306">
        <v>51150</v>
      </c>
    </row>
    <row r="307" spans="3:3">
      <c r="C307">
        <v>97100</v>
      </c>
    </row>
    <row r="308" spans="3:3">
      <c r="C308">
        <v>12094</v>
      </c>
    </row>
    <row r="309" spans="3:3">
      <c r="C309">
        <v>12095</v>
      </c>
    </row>
    <row r="310" spans="3:3">
      <c r="C310">
        <v>12097</v>
      </c>
    </row>
    <row r="311" spans="3:3">
      <c r="C311">
        <v>10620</v>
      </c>
    </row>
    <row r="312" spans="3:3">
      <c r="C312">
        <v>96726</v>
      </c>
    </row>
    <row r="313" spans="3:3">
      <c r="C313">
        <v>10487</v>
      </c>
    </row>
    <row r="314" spans="3:3">
      <c r="C314">
        <v>51152</v>
      </c>
    </row>
    <row r="315" spans="3:3">
      <c r="C315">
        <v>51153</v>
      </c>
    </row>
    <row r="316" spans="3:3">
      <c r="C316">
        <v>10900</v>
      </c>
    </row>
    <row r="317" spans="3:3">
      <c r="C317">
        <v>10217</v>
      </c>
    </row>
    <row r="318" spans="3:3">
      <c r="C318">
        <v>10583</v>
      </c>
    </row>
    <row r="319" spans="3:3">
      <c r="C319">
        <v>10786</v>
      </c>
    </row>
    <row r="320" spans="3:3">
      <c r="C320">
        <v>10512</v>
      </c>
    </row>
    <row r="321" spans="3:3">
      <c r="C321">
        <v>93045</v>
      </c>
    </row>
    <row r="322" spans="3:3">
      <c r="C322">
        <v>95501</v>
      </c>
    </row>
    <row r="323" spans="3:3">
      <c r="C323">
        <v>89007</v>
      </c>
    </row>
    <row r="324" spans="3:3">
      <c r="C324">
        <v>10781</v>
      </c>
    </row>
    <row r="325" spans="3:3">
      <c r="C325">
        <v>93230</v>
      </c>
    </row>
    <row r="326" spans="3:3">
      <c r="C326">
        <v>51157</v>
      </c>
    </row>
    <row r="327" spans="3:3">
      <c r="C327">
        <v>51427</v>
      </c>
    </row>
    <row r="328" spans="3:3">
      <c r="C328">
        <v>10899</v>
      </c>
    </row>
    <row r="329" spans="3:3">
      <c r="C329">
        <v>96101</v>
      </c>
    </row>
    <row r="330" spans="3:3">
      <c r="C330">
        <v>51159</v>
      </c>
    </row>
    <row r="331" spans="3:3">
      <c r="C331">
        <v>51161</v>
      </c>
    </row>
    <row r="332" spans="3:3">
      <c r="C332">
        <v>10507</v>
      </c>
    </row>
    <row r="333" spans="3:3">
      <c r="C333">
        <v>40096</v>
      </c>
    </row>
    <row r="334" spans="3:3">
      <c r="C334">
        <v>10104</v>
      </c>
    </row>
    <row r="335" spans="3:3">
      <c r="C335">
        <v>10845</v>
      </c>
    </row>
    <row r="336" spans="3:3">
      <c r="C336">
        <v>93589</v>
      </c>
    </row>
    <row r="337" spans="3:3">
      <c r="C337">
        <v>10734</v>
      </c>
    </row>
    <row r="338" spans="3:3">
      <c r="C338">
        <v>95105</v>
      </c>
    </row>
    <row r="339" spans="3:3">
      <c r="C339">
        <v>95107</v>
      </c>
    </row>
    <row r="340" spans="3:3">
      <c r="C340">
        <v>91402</v>
      </c>
    </row>
    <row r="341" spans="3:3">
      <c r="C341">
        <v>93582</v>
      </c>
    </row>
    <row r="342" spans="3:3">
      <c r="C342">
        <v>95109</v>
      </c>
    </row>
    <row r="343" spans="3:3">
      <c r="C343">
        <v>91030</v>
      </c>
    </row>
    <row r="344" spans="3:3">
      <c r="C344">
        <v>91453</v>
      </c>
    </row>
    <row r="345" spans="3:3">
      <c r="C345">
        <v>12359</v>
      </c>
    </row>
    <row r="346" spans="3:3">
      <c r="C346">
        <v>51163</v>
      </c>
    </row>
    <row r="347" spans="3:3">
      <c r="C347">
        <v>51165</v>
      </c>
    </row>
    <row r="348" spans="3:3">
      <c r="C348">
        <v>51473</v>
      </c>
    </row>
    <row r="349" spans="3:3">
      <c r="C349">
        <v>51166</v>
      </c>
    </row>
    <row r="350" spans="3:3">
      <c r="C350">
        <v>51167</v>
      </c>
    </row>
    <row r="351" spans="3:3">
      <c r="C351">
        <v>51169</v>
      </c>
    </row>
    <row r="352" spans="3:3">
      <c r="C352">
        <v>51170</v>
      </c>
    </row>
    <row r="353" spans="3:3">
      <c r="C353">
        <v>51171</v>
      </c>
    </row>
    <row r="354" spans="3:3">
      <c r="C354">
        <v>93030</v>
      </c>
    </row>
    <row r="355" spans="3:3">
      <c r="C355">
        <v>96200</v>
      </c>
    </row>
    <row r="356" spans="3:3">
      <c r="C356">
        <v>10726</v>
      </c>
    </row>
    <row r="357" spans="3:3">
      <c r="C357">
        <v>10772</v>
      </c>
    </row>
    <row r="358" spans="3:3">
      <c r="C358">
        <v>10677</v>
      </c>
    </row>
    <row r="359" spans="3:3">
      <c r="C359">
        <v>10915</v>
      </c>
    </row>
    <row r="360" spans="3:3">
      <c r="C360">
        <v>10123</v>
      </c>
    </row>
    <row r="361" spans="3:3">
      <c r="C361">
        <v>92103</v>
      </c>
    </row>
    <row r="362" spans="3:3">
      <c r="C362">
        <v>92203</v>
      </c>
    </row>
    <row r="363" spans="3:3">
      <c r="C363">
        <v>51174</v>
      </c>
    </row>
    <row r="364" spans="3:3">
      <c r="C364">
        <v>10085</v>
      </c>
    </row>
    <row r="365" spans="3:3">
      <c r="C365">
        <v>10097</v>
      </c>
    </row>
    <row r="366" spans="3:3">
      <c r="C366">
        <v>10794</v>
      </c>
    </row>
    <row r="367" spans="3:3">
      <c r="C367">
        <v>10913</v>
      </c>
    </row>
    <row r="368" spans="3:3">
      <c r="C368">
        <v>10912</v>
      </c>
    </row>
    <row r="369" spans="3:3">
      <c r="C369">
        <v>10658</v>
      </c>
    </row>
    <row r="370" spans="3:3">
      <c r="C370">
        <v>10814</v>
      </c>
    </row>
    <row r="371" spans="3:3">
      <c r="C371">
        <v>10727</v>
      </c>
    </row>
    <row r="372" spans="3:3">
      <c r="C372">
        <v>51176</v>
      </c>
    </row>
    <row r="373" spans="3:3">
      <c r="C373">
        <v>80005</v>
      </c>
    </row>
    <row r="374" spans="3:3">
      <c r="C374">
        <v>10502</v>
      </c>
    </row>
    <row r="375" spans="3:3">
      <c r="C375">
        <v>10933</v>
      </c>
    </row>
    <row r="376" spans="3:3">
      <c r="C376">
        <v>10200</v>
      </c>
    </row>
    <row r="377" spans="3:3">
      <c r="C377">
        <v>10211</v>
      </c>
    </row>
    <row r="378" spans="3:3">
      <c r="C378">
        <v>51179</v>
      </c>
    </row>
    <row r="379" spans="3:3">
      <c r="C379">
        <v>12307</v>
      </c>
    </row>
    <row r="380" spans="3:3">
      <c r="C380">
        <v>12305</v>
      </c>
    </row>
    <row r="381" spans="3:3">
      <c r="C381">
        <v>12443</v>
      </c>
    </row>
    <row r="382" spans="3:3">
      <c r="C382">
        <v>12306</v>
      </c>
    </row>
    <row r="383" spans="3:3">
      <c r="C383">
        <v>51183</v>
      </c>
    </row>
    <row r="384" spans="3:3">
      <c r="C384">
        <v>51184</v>
      </c>
    </row>
    <row r="385" spans="3:3">
      <c r="C385">
        <v>51460</v>
      </c>
    </row>
    <row r="386" spans="3:3">
      <c r="C386">
        <v>20679</v>
      </c>
    </row>
    <row r="387" spans="3:3">
      <c r="C387">
        <v>10720</v>
      </c>
    </row>
    <row r="388" spans="3:3">
      <c r="C388">
        <v>10678</v>
      </c>
    </row>
    <row r="389" spans="3:3">
      <c r="C389">
        <v>10749</v>
      </c>
    </row>
    <row r="390" spans="3:3">
      <c r="C390">
        <v>10818</v>
      </c>
    </row>
    <row r="391" spans="3:3">
      <c r="C391">
        <v>10652</v>
      </c>
    </row>
    <row r="392" spans="3:3">
      <c r="C392">
        <v>40053</v>
      </c>
    </row>
    <row r="393" spans="3:3">
      <c r="C393">
        <v>93625</v>
      </c>
    </row>
    <row r="394" spans="3:3">
      <c r="C394">
        <v>18061</v>
      </c>
    </row>
    <row r="395" spans="3:3">
      <c r="C395">
        <v>10012</v>
      </c>
    </row>
    <row r="396" spans="3:3">
      <c r="C396">
        <v>93024</v>
      </c>
    </row>
    <row r="397" spans="3:3">
      <c r="C397">
        <v>93026</v>
      </c>
    </row>
    <row r="398" spans="3:3">
      <c r="C398">
        <v>88034</v>
      </c>
    </row>
    <row r="399" spans="3:3">
      <c r="C399">
        <v>10780</v>
      </c>
    </row>
    <row r="400" spans="3:3">
      <c r="C400">
        <v>12108</v>
      </c>
    </row>
    <row r="401" spans="3:3">
      <c r="C401">
        <v>12116</v>
      </c>
    </row>
    <row r="402" spans="3:3">
      <c r="C402">
        <v>10107</v>
      </c>
    </row>
    <row r="403" spans="3:3">
      <c r="C403">
        <v>12529</v>
      </c>
    </row>
    <row r="404" spans="3:3">
      <c r="C404">
        <v>10660</v>
      </c>
    </row>
    <row r="405" spans="3:3">
      <c r="C405">
        <v>10513</v>
      </c>
    </row>
    <row r="406" spans="3:3">
      <c r="C406">
        <v>10498</v>
      </c>
    </row>
    <row r="407" spans="3:3">
      <c r="C407">
        <v>10831</v>
      </c>
    </row>
    <row r="408" spans="3:3">
      <c r="C408">
        <v>95102</v>
      </c>
    </row>
    <row r="409" spans="3:3">
      <c r="C409">
        <v>18034</v>
      </c>
    </row>
    <row r="410" spans="3:3">
      <c r="C410">
        <v>18040</v>
      </c>
    </row>
    <row r="411" spans="3:3">
      <c r="C411">
        <v>12625</v>
      </c>
    </row>
    <row r="412" spans="3:3">
      <c r="C412">
        <v>12472</v>
      </c>
    </row>
    <row r="413" spans="3:3">
      <c r="C413">
        <v>12420</v>
      </c>
    </row>
    <row r="414" spans="3:3">
      <c r="C414">
        <v>12124</v>
      </c>
    </row>
    <row r="415" spans="3:3">
      <c r="C415">
        <v>12125</v>
      </c>
    </row>
    <row r="416" spans="3:3">
      <c r="C416">
        <v>12502</v>
      </c>
    </row>
    <row r="417" spans="3:3">
      <c r="C417">
        <v>12126</v>
      </c>
    </row>
    <row r="418" spans="3:3">
      <c r="C418">
        <v>51502</v>
      </c>
    </row>
    <row r="419" spans="3:3">
      <c r="C419">
        <v>12413</v>
      </c>
    </row>
    <row r="420" spans="3:3">
      <c r="C420">
        <v>12422</v>
      </c>
    </row>
    <row r="421" spans="3:3">
      <c r="C421">
        <v>12431</v>
      </c>
    </row>
    <row r="422" spans="3:3">
      <c r="C422">
        <v>21492</v>
      </c>
    </row>
    <row r="423" spans="3:3">
      <c r="C423">
        <v>40059</v>
      </c>
    </row>
    <row r="424" spans="3:3">
      <c r="C424">
        <v>40061</v>
      </c>
    </row>
    <row r="425" spans="3:3">
      <c r="C425">
        <v>18035</v>
      </c>
    </row>
    <row r="426" spans="3:3">
      <c r="C426">
        <v>10768</v>
      </c>
    </row>
    <row r="427" spans="3:3">
      <c r="C427">
        <v>97322</v>
      </c>
    </row>
    <row r="428" spans="3:3">
      <c r="C428">
        <v>51214</v>
      </c>
    </row>
    <row r="429" spans="3:3">
      <c r="C429">
        <v>83001</v>
      </c>
    </row>
    <row r="430" spans="3:3">
      <c r="C430">
        <v>12313</v>
      </c>
    </row>
    <row r="431" spans="3:3">
      <c r="C431">
        <v>10692</v>
      </c>
    </row>
    <row r="432" spans="3:3">
      <c r="C432">
        <v>96118</v>
      </c>
    </row>
    <row r="433" spans="3:3">
      <c r="C433">
        <v>95704</v>
      </c>
    </row>
    <row r="434" spans="3:3">
      <c r="C434">
        <v>12421</v>
      </c>
    </row>
    <row r="435" spans="3:3">
      <c r="C435">
        <v>12496</v>
      </c>
    </row>
    <row r="436" spans="3:3">
      <c r="C436">
        <v>12561</v>
      </c>
    </row>
    <row r="437" spans="3:3">
      <c r="C437">
        <v>12619</v>
      </c>
    </row>
    <row r="438" spans="3:3">
      <c r="C438">
        <v>51404</v>
      </c>
    </row>
    <row r="439" spans="3:3">
      <c r="C439">
        <v>93680</v>
      </c>
    </row>
    <row r="440" spans="3:3">
      <c r="C440">
        <v>93604</v>
      </c>
    </row>
    <row r="441" spans="3:3">
      <c r="C441">
        <v>89012</v>
      </c>
    </row>
    <row r="442" spans="3:3">
      <c r="C442">
        <v>93631</v>
      </c>
    </row>
    <row r="443" spans="3:3">
      <c r="C443">
        <v>10759</v>
      </c>
    </row>
    <row r="444" spans="3:3">
      <c r="C444">
        <v>95502</v>
      </c>
    </row>
    <row r="445" spans="3:3">
      <c r="C445">
        <v>10793</v>
      </c>
    </row>
    <row r="446" spans="3:3">
      <c r="C446">
        <v>88131</v>
      </c>
    </row>
    <row r="447" spans="3:3">
      <c r="C447">
        <v>88130</v>
      </c>
    </row>
    <row r="448" spans="3:3">
      <c r="C448">
        <v>97312</v>
      </c>
    </row>
    <row r="449" spans="3:3">
      <c r="C449">
        <v>88117</v>
      </c>
    </row>
    <row r="450" spans="3:3">
      <c r="C450">
        <v>88129</v>
      </c>
    </row>
    <row r="451" spans="3:3">
      <c r="C451">
        <v>97311</v>
      </c>
    </row>
    <row r="452" spans="3:3">
      <c r="C452">
        <v>97121</v>
      </c>
    </row>
    <row r="453" spans="3:3">
      <c r="C453">
        <v>20718</v>
      </c>
    </row>
    <row r="454" spans="3:3">
      <c r="C454">
        <v>10775</v>
      </c>
    </row>
    <row r="455" spans="3:3">
      <c r="C455">
        <v>88136</v>
      </c>
    </row>
    <row r="456" spans="3:3">
      <c r="C456">
        <v>88122</v>
      </c>
    </row>
    <row r="457" spans="3:3">
      <c r="C457">
        <v>97313</v>
      </c>
    </row>
    <row r="458" spans="3:3">
      <c r="C458">
        <v>10821</v>
      </c>
    </row>
    <row r="459" spans="3:3">
      <c r="C459">
        <v>83002</v>
      </c>
    </row>
    <row r="460" spans="3:3">
      <c r="C460">
        <v>40063</v>
      </c>
    </row>
    <row r="461" spans="3:3">
      <c r="C461">
        <v>10822</v>
      </c>
    </row>
    <row r="462" spans="3:3">
      <c r="C462">
        <v>40065</v>
      </c>
    </row>
    <row r="463" spans="3:3">
      <c r="C463">
        <v>10841</v>
      </c>
    </row>
    <row r="464" spans="3:3">
      <c r="C464">
        <v>10777</v>
      </c>
    </row>
    <row r="465" spans="3:3">
      <c r="C465">
        <v>51220</v>
      </c>
    </row>
    <row r="466" spans="3:3">
      <c r="C466">
        <v>12320</v>
      </c>
    </row>
    <row r="467" spans="3:3">
      <c r="C467">
        <v>97204</v>
      </c>
    </row>
    <row r="468" spans="3:3">
      <c r="C468">
        <v>97223</v>
      </c>
    </row>
    <row r="469" spans="3:3">
      <c r="C469">
        <v>97229</v>
      </c>
    </row>
    <row r="470" spans="3:3">
      <c r="C470">
        <v>97217</v>
      </c>
    </row>
    <row r="471" spans="3:3">
      <c r="C471">
        <v>97230</v>
      </c>
    </row>
    <row r="472" spans="3:3">
      <c r="C472">
        <v>10657</v>
      </c>
    </row>
    <row r="473" spans="3:3">
      <c r="C473">
        <v>95260</v>
      </c>
    </row>
    <row r="474" spans="3:3">
      <c r="C474">
        <v>90419</v>
      </c>
    </row>
    <row r="475" spans="3:3">
      <c r="C475">
        <v>91419</v>
      </c>
    </row>
    <row r="476" spans="3:3">
      <c r="C476">
        <v>96210</v>
      </c>
    </row>
    <row r="477" spans="3:3">
      <c r="C477">
        <v>95220</v>
      </c>
    </row>
    <row r="478" spans="3:3">
      <c r="C478">
        <v>88025</v>
      </c>
    </row>
    <row r="479" spans="3:3">
      <c r="C479">
        <v>93005</v>
      </c>
    </row>
    <row r="480" spans="3:3">
      <c r="C480">
        <v>40097</v>
      </c>
    </row>
    <row r="481" spans="3:3">
      <c r="C481">
        <v>93221</v>
      </c>
    </row>
    <row r="482" spans="3:3">
      <c r="C482">
        <v>95506</v>
      </c>
    </row>
    <row r="483" spans="3:3">
      <c r="C483">
        <v>95509</v>
      </c>
    </row>
    <row r="484" spans="3:3">
      <c r="C484">
        <v>10708</v>
      </c>
    </row>
    <row r="485" spans="3:3">
      <c r="C485">
        <v>10820</v>
      </c>
    </row>
    <row r="486" spans="3:3">
      <c r="C486">
        <v>18070</v>
      </c>
    </row>
    <row r="487" spans="3:3">
      <c r="C487">
        <v>10871</v>
      </c>
    </row>
    <row r="488" spans="3:3">
      <c r="C488">
        <v>10910</v>
      </c>
    </row>
    <row r="489" spans="3:3">
      <c r="C489">
        <v>10824</v>
      </c>
    </row>
    <row r="490" spans="3:3">
      <c r="C490">
        <v>93686</v>
      </c>
    </row>
    <row r="491" spans="3:3">
      <c r="C491">
        <v>10082</v>
      </c>
    </row>
    <row r="492" spans="3:3">
      <c r="C492">
        <v>10999</v>
      </c>
    </row>
    <row r="493" spans="3:3">
      <c r="C493">
        <v>40073</v>
      </c>
    </row>
    <row r="494" spans="3:3">
      <c r="C494">
        <v>10032</v>
      </c>
    </row>
    <row r="495" spans="3:3">
      <c r="C495">
        <v>40145</v>
      </c>
    </row>
    <row r="496" spans="3:3">
      <c r="C496">
        <v>91077</v>
      </c>
    </row>
    <row r="497" spans="3:3">
      <c r="C497">
        <v>51552</v>
      </c>
    </row>
    <row r="498" spans="3:3">
      <c r="C498">
        <v>51513</v>
      </c>
    </row>
    <row r="499" spans="3:3">
      <c r="C499">
        <v>51534</v>
      </c>
    </row>
    <row r="500" spans="3:3">
      <c r="C500">
        <v>51537</v>
      </c>
    </row>
    <row r="501" spans="3:3">
      <c r="C501">
        <v>51510</v>
      </c>
    </row>
    <row r="502" spans="3:3">
      <c r="C502">
        <v>51528</v>
      </c>
    </row>
    <row r="503" spans="3:3">
      <c r="C503">
        <v>51572</v>
      </c>
    </row>
    <row r="504" spans="3:3">
      <c r="C504">
        <v>51557</v>
      </c>
    </row>
    <row r="505" spans="3:3">
      <c r="C505">
        <v>51560</v>
      </c>
    </row>
    <row r="506" spans="3:3">
      <c r="C506">
        <v>51554</v>
      </c>
    </row>
    <row r="507" spans="3:3">
      <c r="C507">
        <v>51555</v>
      </c>
    </row>
    <row r="508" spans="3:3">
      <c r="C508">
        <v>51559</v>
      </c>
    </row>
    <row r="509" spans="3:3">
      <c r="C509">
        <v>51558</v>
      </c>
    </row>
    <row r="510" spans="3:3">
      <c r="C510">
        <v>51553</v>
      </c>
    </row>
    <row r="511" spans="3:3">
      <c r="C511">
        <v>51556</v>
      </c>
    </row>
    <row r="512" spans="3:3">
      <c r="C512">
        <v>51514</v>
      </c>
    </row>
    <row r="513" spans="3:3">
      <c r="C513">
        <v>95503</v>
      </c>
    </row>
    <row r="514" spans="3:3">
      <c r="C514">
        <v>92104</v>
      </c>
    </row>
    <row r="515" spans="3:3">
      <c r="C515">
        <v>95106</v>
      </c>
    </row>
    <row r="516" spans="3:3">
      <c r="C516">
        <v>91004</v>
      </c>
    </row>
    <row r="517" spans="3:3">
      <c r="C517">
        <v>91800</v>
      </c>
    </row>
    <row r="518" spans="3:3">
      <c r="C518">
        <v>91000</v>
      </c>
    </row>
    <row r="519" spans="3:3">
      <c r="C519">
        <v>91737</v>
      </c>
    </row>
    <row r="520" spans="3:3">
      <c r="C520">
        <v>97245</v>
      </c>
    </row>
    <row r="521" spans="3:3">
      <c r="C521">
        <v>98006</v>
      </c>
    </row>
    <row r="522" spans="3:3">
      <c r="C522">
        <v>95500</v>
      </c>
    </row>
    <row r="523" spans="3:3">
      <c r="C523">
        <v>93808</v>
      </c>
    </row>
    <row r="524" spans="3:3">
      <c r="C524">
        <v>91082</v>
      </c>
    </row>
    <row r="525" spans="3:3">
      <c r="C525">
        <v>10869</v>
      </c>
    </row>
    <row r="526" spans="3:3">
      <c r="C526">
        <v>10484</v>
      </c>
    </row>
    <row r="527" spans="3:3">
      <c r="C527">
        <v>82011</v>
      </c>
    </row>
    <row r="528" spans="3:3">
      <c r="C528">
        <v>20717</v>
      </c>
    </row>
    <row r="529" spans="3:3">
      <c r="C529">
        <v>10784</v>
      </c>
    </row>
    <row r="530" spans="3:3">
      <c r="C530">
        <v>51233</v>
      </c>
    </row>
    <row r="531" spans="3:3">
      <c r="C531">
        <v>51236</v>
      </c>
    </row>
    <row r="532" spans="3:3">
      <c r="C532">
        <v>93801</v>
      </c>
    </row>
    <row r="533" spans="3:3">
      <c r="C533">
        <v>93806</v>
      </c>
    </row>
    <row r="534" spans="3:3">
      <c r="C534">
        <v>93807</v>
      </c>
    </row>
    <row r="535" spans="3:3">
      <c r="C535">
        <v>93802</v>
      </c>
    </row>
    <row r="536" spans="3:3">
      <c r="C536">
        <v>93803</v>
      </c>
    </row>
    <row r="537" spans="3:3">
      <c r="C537">
        <v>93899</v>
      </c>
    </row>
    <row r="538" spans="3:3">
      <c r="C538">
        <v>93822</v>
      </c>
    </row>
    <row r="539" spans="3:3">
      <c r="C539">
        <v>93823</v>
      </c>
    </row>
    <row r="540" spans="3:3">
      <c r="C540">
        <v>93824</v>
      </c>
    </row>
    <row r="541" spans="3:3">
      <c r="C541">
        <v>93832</v>
      </c>
    </row>
    <row r="542" spans="3:3">
      <c r="C542">
        <v>93826</v>
      </c>
    </row>
    <row r="543" spans="3:3">
      <c r="C543">
        <v>93827</v>
      </c>
    </row>
    <row r="544" spans="3:3">
      <c r="C544">
        <v>93829</v>
      </c>
    </row>
    <row r="545" spans="3:3">
      <c r="C545">
        <v>93814</v>
      </c>
    </row>
    <row r="546" spans="3:3">
      <c r="C546">
        <v>93821</v>
      </c>
    </row>
    <row r="547" spans="3:3">
      <c r="C547">
        <v>51041</v>
      </c>
    </row>
    <row r="548" spans="3:3">
      <c r="C548">
        <v>10666</v>
      </c>
    </row>
    <row r="549" spans="3:3">
      <c r="C549">
        <v>10947</v>
      </c>
    </row>
    <row r="550" spans="3:3">
      <c r="C550">
        <v>10735</v>
      </c>
    </row>
    <row r="551" spans="3:3">
      <c r="C551">
        <v>25308</v>
      </c>
    </row>
    <row r="552" spans="3:3">
      <c r="C552">
        <v>86223</v>
      </c>
    </row>
    <row r="553" spans="3:3">
      <c r="C553">
        <v>86224</v>
      </c>
    </row>
    <row r="554" spans="3:3">
      <c r="C554">
        <v>86225</v>
      </c>
    </row>
    <row r="555" spans="3:3">
      <c r="C555">
        <v>86226</v>
      </c>
    </row>
    <row r="556" spans="3:3">
      <c r="C556">
        <v>86228</v>
      </c>
    </row>
    <row r="557" spans="3:3">
      <c r="C557">
        <v>82003</v>
      </c>
    </row>
    <row r="558" spans="3:3">
      <c r="C558">
        <v>12637</v>
      </c>
    </row>
    <row r="559" spans="3:3">
      <c r="C559">
        <v>12569</v>
      </c>
    </row>
    <row r="560" spans="3:3">
      <c r="C560">
        <v>12596</v>
      </c>
    </row>
    <row r="561" spans="3:3">
      <c r="C561">
        <v>12573</v>
      </c>
    </row>
    <row r="562" spans="3:3">
      <c r="C562">
        <v>51512</v>
      </c>
    </row>
    <row r="563" spans="3:3">
      <c r="C563">
        <v>51506</v>
      </c>
    </row>
    <row r="564" spans="3:3">
      <c r="C564">
        <v>51509</v>
      </c>
    </row>
    <row r="565" spans="3:3">
      <c r="C565">
        <v>51520</v>
      </c>
    </row>
    <row r="566" spans="3:3">
      <c r="C566">
        <v>51519</v>
      </c>
    </row>
    <row r="567" spans="3:3">
      <c r="C567">
        <v>51517</v>
      </c>
    </row>
    <row r="568" spans="3:3">
      <c r="C568">
        <v>51526</v>
      </c>
    </row>
    <row r="569" spans="3:3">
      <c r="C569">
        <v>51241</v>
      </c>
    </row>
    <row r="570" spans="3:3">
      <c r="C570">
        <v>10923</v>
      </c>
    </row>
    <row r="571" spans="3:3">
      <c r="C571">
        <v>10904</v>
      </c>
    </row>
    <row r="572" spans="3:3">
      <c r="C572">
        <v>10505</v>
      </c>
    </row>
    <row r="573" spans="3:3">
      <c r="C573">
        <v>91738</v>
      </c>
    </row>
    <row r="574" spans="3:3">
      <c r="C574">
        <v>82101</v>
      </c>
    </row>
    <row r="575" spans="3:3">
      <c r="C575">
        <v>82004</v>
      </c>
    </row>
    <row r="576" spans="3:3">
      <c r="C576">
        <v>82005</v>
      </c>
    </row>
    <row r="577" spans="3:3">
      <c r="C577">
        <v>82007</v>
      </c>
    </row>
    <row r="578" spans="3:3">
      <c r="C578">
        <v>82006</v>
      </c>
    </row>
    <row r="579" spans="3:3">
      <c r="C579">
        <v>82009</v>
      </c>
    </row>
    <row r="580" spans="3:3">
      <c r="C580">
        <v>82001</v>
      </c>
    </row>
    <row r="581" spans="3:3">
      <c r="C581">
        <v>96104</v>
      </c>
    </row>
    <row r="582" spans="3:3">
      <c r="C582">
        <v>10089</v>
      </c>
    </row>
    <row r="583" spans="3:3">
      <c r="C583">
        <v>95111</v>
      </c>
    </row>
    <row r="584" spans="3:3">
      <c r="C584">
        <v>91601</v>
      </c>
    </row>
    <row r="585" spans="3:3">
      <c r="C585">
        <v>95104</v>
      </c>
    </row>
    <row r="586" spans="3:3">
      <c r="C586">
        <v>12409</v>
      </c>
    </row>
    <row r="587" spans="3:3">
      <c r="C587">
        <v>51243</v>
      </c>
    </row>
    <row r="588" spans="3:3">
      <c r="C588">
        <v>51245</v>
      </c>
    </row>
    <row r="589" spans="3:3">
      <c r="C589">
        <v>51431</v>
      </c>
    </row>
    <row r="590" spans="3:3">
      <c r="C590">
        <v>51247</v>
      </c>
    </row>
    <row r="591" spans="3:3">
      <c r="C591">
        <v>51261</v>
      </c>
    </row>
    <row r="592" spans="3:3">
      <c r="C592">
        <v>51432</v>
      </c>
    </row>
    <row r="593" spans="3:3">
      <c r="C593">
        <v>51433</v>
      </c>
    </row>
    <row r="594" spans="3:3">
      <c r="C594">
        <v>51263</v>
      </c>
    </row>
    <row r="595" spans="3:3">
      <c r="C595">
        <v>51268</v>
      </c>
    </row>
    <row r="596" spans="3:3">
      <c r="C596">
        <v>51271</v>
      </c>
    </row>
    <row r="597" spans="3:3">
      <c r="C597">
        <v>51435</v>
      </c>
    </row>
    <row r="598" spans="3:3">
      <c r="C598">
        <v>51438</v>
      </c>
    </row>
    <row r="599" spans="3:3">
      <c r="C599">
        <v>51439</v>
      </c>
    </row>
    <row r="600" spans="3:3">
      <c r="C600">
        <v>51440</v>
      </c>
    </row>
    <row r="601" spans="3:3">
      <c r="C601">
        <v>51441</v>
      </c>
    </row>
    <row r="602" spans="3:3">
      <c r="C602">
        <v>51436</v>
      </c>
    </row>
    <row r="603" spans="3:3">
      <c r="C603">
        <v>51276</v>
      </c>
    </row>
    <row r="604" spans="3:3">
      <c r="C604">
        <v>51437</v>
      </c>
    </row>
    <row r="605" spans="3:3">
      <c r="C605">
        <v>51279</v>
      </c>
    </row>
    <row r="606" spans="3:3">
      <c r="C606">
        <v>51442</v>
      </c>
    </row>
    <row r="607" spans="3:3">
      <c r="C607">
        <v>51282</v>
      </c>
    </row>
    <row r="608" spans="3:3">
      <c r="C608">
        <v>51285</v>
      </c>
    </row>
    <row r="609" spans="3:3">
      <c r="C609">
        <v>51461</v>
      </c>
    </row>
    <row r="610" spans="3:3">
      <c r="C610">
        <v>51289</v>
      </c>
    </row>
    <row r="611" spans="3:3">
      <c r="C611">
        <v>51445</v>
      </c>
    </row>
    <row r="612" spans="3:3">
      <c r="C612">
        <v>51446</v>
      </c>
    </row>
    <row r="613" spans="3:3">
      <c r="C613">
        <v>51447</v>
      </c>
    </row>
    <row r="614" spans="3:3">
      <c r="C614">
        <v>51290</v>
      </c>
    </row>
    <row r="615" spans="3:3">
      <c r="C615">
        <v>51293</v>
      </c>
    </row>
    <row r="616" spans="3:3">
      <c r="C616">
        <v>51295</v>
      </c>
    </row>
    <row r="617" spans="3:3">
      <c r="C617">
        <v>51448</v>
      </c>
    </row>
    <row r="618" spans="3:3">
      <c r="C618">
        <v>51449</v>
      </c>
    </row>
    <row r="619" spans="3:3">
      <c r="C619">
        <v>51450</v>
      </c>
    </row>
    <row r="620" spans="3:3">
      <c r="C620">
        <v>51298</v>
      </c>
    </row>
    <row r="621" spans="3:3">
      <c r="C621">
        <v>51299</v>
      </c>
    </row>
    <row r="622" spans="3:3">
      <c r="C622">
        <v>51300</v>
      </c>
    </row>
    <row r="623" spans="3:3">
      <c r="C623">
        <v>51301</v>
      </c>
    </row>
    <row r="624" spans="3:3">
      <c r="C624">
        <v>51451</v>
      </c>
    </row>
    <row r="625" spans="3:3">
      <c r="C625">
        <v>51306</v>
      </c>
    </row>
    <row r="626" spans="3:3">
      <c r="C626">
        <v>51311</v>
      </c>
    </row>
    <row r="627" spans="3:3">
      <c r="C627">
        <v>51315</v>
      </c>
    </row>
    <row r="628" spans="3:3">
      <c r="C628">
        <v>51483</v>
      </c>
    </row>
    <row r="629" spans="3:3">
      <c r="C629">
        <v>51324</v>
      </c>
    </row>
    <row r="630" spans="3:3">
      <c r="C630">
        <v>51328</v>
      </c>
    </row>
    <row r="631" spans="3:3">
      <c r="C631">
        <v>51329</v>
      </c>
    </row>
    <row r="632" spans="3:3">
      <c r="C632">
        <v>51333</v>
      </c>
    </row>
    <row r="633" spans="3:3">
      <c r="C633">
        <v>51452</v>
      </c>
    </row>
    <row r="634" spans="3:3">
      <c r="C634">
        <v>51475</v>
      </c>
    </row>
    <row r="635" spans="3:3">
      <c r="C635">
        <v>51476</v>
      </c>
    </row>
    <row r="636" spans="3:3">
      <c r="C636">
        <v>51491</v>
      </c>
    </row>
    <row r="637" spans="3:3">
      <c r="C637">
        <v>51496</v>
      </c>
    </row>
    <row r="638" spans="3:3">
      <c r="C638">
        <v>51494</v>
      </c>
    </row>
    <row r="639" spans="3:3">
      <c r="C639">
        <v>51492</v>
      </c>
    </row>
    <row r="640" spans="3:3">
      <c r="C640">
        <v>51498</v>
      </c>
    </row>
    <row r="641" spans="3:3">
      <c r="C641">
        <v>12164</v>
      </c>
    </row>
    <row r="642" spans="3:3">
      <c r="C642">
        <v>95504</v>
      </c>
    </row>
    <row r="643" spans="3:3">
      <c r="C643">
        <v>10905</v>
      </c>
    </row>
    <row r="644" spans="3:3">
      <c r="C644">
        <v>89008</v>
      </c>
    </row>
    <row r="645" spans="3:3">
      <c r="C645">
        <v>51339</v>
      </c>
    </row>
    <row r="646" spans="3:3">
      <c r="C646">
        <v>51340</v>
      </c>
    </row>
    <row r="647" spans="3:3">
      <c r="C647">
        <v>51453</v>
      </c>
    </row>
    <row r="648" spans="3:3">
      <c r="C648">
        <v>51341</v>
      </c>
    </row>
    <row r="649" spans="3:3">
      <c r="C649">
        <v>51455</v>
      </c>
    </row>
    <row r="650" spans="3:3">
      <c r="C650">
        <v>51346</v>
      </c>
    </row>
    <row r="651" spans="3:3">
      <c r="C651">
        <v>51456</v>
      </c>
    </row>
    <row r="652" spans="3:3">
      <c r="C652">
        <v>51457</v>
      </c>
    </row>
    <row r="653" spans="3:3">
      <c r="C653">
        <v>51419</v>
      </c>
    </row>
    <row r="654" spans="3:3">
      <c r="C654">
        <v>51349</v>
      </c>
    </row>
    <row r="655" spans="3:3">
      <c r="C655">
        <v>97300</v>
      </c>
    </row>
    <row r="656" spans="3:3">
      <c r="C656">
        <v>97302</v>
      </c>
    </row>
    <row r="657" spans="3:3">
      <c r="C657">
        <v>97316</v>
      </c>
    </row>
    <row r="658" spans="3:3">
      <c r="C658">
        <v>10655</v>
      </c>
    </row>
    <row r="659" spans="3:3">
      <c r="C659">
        <v>82014</v>
      </c>
    </row>
    <row r="660" spans="3:3">
      <c r="C660">
        <v>10691</v>
      </c>
    </row>
    <row r="661" spans="3:3">
      <c r="C661">
        <v>88029</v>
      </c>
    </row>
    <row r="662" spans="3:3">
      <c r="C662">
        <v>93563</v>
      </c>
    </row>
    <row r="663" spans="3:3">
      <c r="C663">
        <v>82300</v>
      </c>
    </row>
    <row r="664" spans="3:3">
      <c r="C664">
        <v>91118</v>
      </c>
    </row>
    <row r="665" spans="3:3">
      <c r="C665">
        <v>10499</v>
      </c>
    </row>
    <row r="666" spans="3:3">
      <c r="C666">
        <v>40134</v>
      </c>
    </row>
    <row r="667" spans="3:3">
      <c r="C667">
        <v>96107</v>
      </c>
    </row>
    <row r="668" spans="3:3">
      <c r="C668">
        <v>10091</v>
      </c>
    </row>
    <row r="669" spans="3:3">
      <c r="C669">
        <v>51352</v>
      </c>
    </row>
    <row r="670" spans="3:3">
      <c r="C670">
        <v>51353</v>
      </c>
    </row>
    <row r="671" spans="3:3">
      <c r="C671">
        <v>10102</v>
      </c>
    </row>
    <row r="672" spans="3:3">
      <c r="C672">
        <v>95702</v>
      </c>
    </row>
    <row r="673" spans="3:3">
      <c r="C673">
        <v>12408</v>
      </c>
    </row>
    <row r="674" spans="3:3">
      <c r="C674">
        <v>27110</v>
      </c>
    </row>
    <row r="675" spans="3:3">
      <c r="C675">
        <v>51411</v>
      </c>
    </row>
    <row r="676" spans="3:3">
      <c r="C676">
        <v>23025</v>
      </c>
    </row>
    <row r="677" spans="3:3">
      <c r="C677">
        <v>96727</v>
      </c>
    </row>
    <row r="678" spans="3:3">
      <c r="C678">
        <v>12446</v>
      </c>
    </row>
    <row r="679" spans="3:3">
      <c r="C679">
        <v>10046</v>
      </c>
    </row>
    <row r="680" spans="3:3">
      <c r="C680">
        <v>10919</v>
      </c>
    </row>
    <row r="681" spans="3:3">
      <c r="C681">
        <v>10024</v>
      </c>
    </row>
    <row r="682" spans="3:3">
      <c r="C682">
        <v>10922</v>
      </c>
    </row>
    <row r="683" spans="3:3">
      <c r="C683">
        <v>25608</v>
      </c>
    </row>
    <row r="684" spans="3:3">
      <c r="C684">
        <v>10941</v>
      </c>
    </row>
    <row r="685" spans="3:3">
      <c r="C685">
        <v>86209</v>
      </c>
    </row>
    <row r="686" spans="3:3">
      <c r="C686">
        <v>86210</v>
      </c>
    </row>
    <row r="687" spans="3:3">
      <c r="C687">
        <v>86205</v>
      </c>
    </row>
    <row r="688" spans="3:3">
      <c r="C688">
        <v>86207</v>
      </c>
    </row>
    <row r="689" spans="3:3">
      <c r="C689">
        <v>86218</v>
      </c>
    </row>
    <row r="690" spans="3:3">
      <c r="C690">
        <v>86206</v>
      </c>
    </row>
    <row r="691" spans="3:3">
      <c r="C691">
        <v>51458</v>
      </c>
    </row>
    <row r="692" spans="3:3">
      <c r="C692">
        <v>40208</v>
      </c>
    </row>
    <row r="693" spans="3:3">
      <c r="C693">
        <v>10040</v>
      </c>
    </row>
    <row r="694" spans="3:3">
      <c r="C694">
        <v>18069</v>
      </c>
    </row>
    <row r="695" spans="3:3">
      <c r="C695">
        <v>40138</v>
      </c>
    </row>
    <row r="696" spans="3:3">
      <c r="C696">
        <v>10090</v>
      </c>
    </row>
    <row r="697" spans="3:3">
      <c r="C697">
        <v>10109</v>
      </c>
    </row>
    <row r="698" spans="3:3">
      <c r="C698">
        <v>10122</v>
      </c>
    </row>
    <row r="699" spans="3:3">
      <c r="C699">
        <v>91024</v>
      </c>
    </row>
    <row r="700" spans="3:3">
      <c r="C700">
        <v>92116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822"/>
  <sheetViews>
    <sheetView workbookViewId="0">
      <selection activeCell="G1" sqref="G1"/>
    </sheetView>
  </sheetViews>
  <sheetFormatPr defaultColWidth="8.75" defaultRowHeight="10"/>
  <cols>
    <col min="1" max="1" width="5.25" style="2" bestFit="1" customWidth="1"/>
    <col min="2" max="2" width="29.58203125" style="2" bestFit="1" customWidth="1"/>
    <col min="3" max="3" width="6.58203125" style="2" bestFit="1" customWidth="1"/>
    <col min="4" max="4" width="34" style="2" bestFit="1" customWidth="1"/>
    <col min="5" max="5" width="13.1640625" style="2" bestFit="1" customWidth="1"/>
    <col min="6" max="6" width="22.75" style="2" bestFit="1" customWidth="1"/>
    <col min="7" max="7" width="13.4140625" style="2" bestFit="1" customWidth="1"/>
    <col min="8" max="8" width="8.58203125" style="3" bestFit="1" customWidth="1"/>
    <col min="9" max="9" width="9.1640625" style="2" bestFit="1" customWidth="1"/>
    <col min="10" max="11" width="8.75" style="2"/>
    <col min="12" max="12" width="29.58203125" style="2" customWidth="1"/>
    <col min="13" max="13" width="12.58203125" style="2" customWidth="1"/>
    <col min="14" max="16" width="10.58203125" style="2" bestFit="1" customWidth="1"/>
    <col min="17" max="16384" width="8.75" style="2"/>
  </cols>
  <sheetData>
    <row r="1" spans="1:14" ht="10.5">
      <c r="A1" s="42" t="s">
        <v>97</v>
      </c>
      <c r="B1" s="42" t="s">
        <v>98</v>
      </c>
      <c r="C1" s="42" t="s">
        <v>99</v>
      </c>
      <c r="D1" s="42" t="s">
        <v>97</v>
      </c>
      <c r="E1" s="42" t="s">
        <v>100</v>
      </c>
      <c r="F1" s="42" t="s">
        <v>101</v>
      </c>
      <c r="G1" s="42" t="s">
        <v>102</v>
      </c>
      <c r="H1" s="42" t="s">
        <v>103</v>
      </c>
      <c r="I1" s="42" t="s">
        <v>86</v>
      </c>
    </row>
    <row r="2" spans="1:14">
      <c r="A2" s="14">
        <v>10036</v>
      </c>
      <c r="B2" s="14" t="s">
        <v>181</v>
      </c>
      <c r="C2" s="12" t="s">
        <v>145</v>
      </c>
      <c r="D2" s="15" t="str">
        <f t="shared" ref="D2:D65" si="0">B2&amp;" - "&amp;C2</f>
        <v>Ingram QA Strategic JC - SUP</v>
      </c>
      <c r="E2" s="12" t="s">
        <v>117</v>
      </c>
      <c r="F2" s="12" t="s">
        <v>117</v>
      </c>
      <c r="G2" s="12" t="s">
        <v>117</v>
      </c>
      <c r="H2" s="12" t="s">
        <v>1025</v>
      </c>
      <c r="I2" s="12" t="s">
        <v>1026</v>
      </c>
      <c r="L2" s="2" t="str" cm="1">
        <f t="array" ref="L2:L51">_xlfn.UNIQUE(F:F)</f>
        <v>Sub Family</v>
      </c>
    </row>
    <row r="3" spans="1:14">
      <c r="A3" s="14">
        <v>25330</v>
      </c>
      <c r="B3" s="14" t="s">
        <v>649</v>
      </c>
      <c r="C3" s="12" t="s">
        <v>150</v>
      </c>
      <c r="D3" s="15" t="str">
        <f t="shared" si="0"/>
        <v>1st Party Collections 5 Day Bu - CCS</v>
      </c>
      <c r="E3" s="12" t="s">
        <v>126</v>
      </c>
      <c r="F3" s="12" t="s">
        <v>1019</v>
      </c>
      <c r="G3" s="12" t="s">
        <v>128</v>
      </c>
      <c r="H3" s="12" t="s">
        <v>1025</v>
      </c>
      <c r="I3" s="12" t="s">
        <v>1026</v>
      </c>
      <c r="L3" s="2" t="str">
        <v>DES</v>
      </c>
      <c r="M3" s="2" t="str" cm="1">
        <f t="array" ref="M3">TRANSPOSE(_xlfn.UNIQUE(_xlfn._xlws.FILTER($G:$G,$F:$F=L3)))</f>
        <v>DES</v>
      </c>
    </row>
    <row r="4" spans="1:14">
      <c r="A4" s="14">
        <v>51003</v>
      </c>
      <c r="B4" s="14" t="s">
        <v>115</v>
      </c>
      <c r="C4" s="12" t="s">
        <v>116</v>
      </c>
      <c r="D4" s="15" t="str">
        <f t="shared" si="0"/>
        <v>2021_Atkins_FixedBid_ManagedSe - PRD</v>
      </c>
      <c r="E4" s="12" t="s">
        <v>117</v>
      </c>
      <c r="F4" s="12" t="s">
        <v>117</v>
      </c>
      <c r="G4" s="12" t="s">
        <v>117</v>
      </c>
      <c r="H4" s="12" t="s">
        <v>1025</v>
      </c>
      <c r="I4" s="12" t="s">
        <v>1026</v>
      </c>
      <c r="L4" s="2" t="str">
        <v>Collections</v>
      </c>
      <c r="M4" s="2" t="str" cm="1">
        <f t="array" ref="M4">TRANSPOSE(_xlfn.UNIQUE(_xlfn._xlws.FILTER($G:$G,$F:$F=L4)))</f>
        <v>Sub Family 03</v>
      </c>
      <c r="N4" s="2">
        <v>2</v>
      </c>
    </row>
    <row r="5" spans="1:14">
      <c r="A5" s="14">
        <v>51004</v>
      </c>
      <c r="B5" s="14" t="s">
        <v>686</v>
      </c>
      <c r="C5" s="12" t="s">
        <v>116</v>
      </c>
      <c r="D5" s="15" t="str">
        <f t="shared" si="0"/>
        <v>2021_CAE_Managed_Cloudtestr - PRD</v>
      </c>
      <c r="E5" s="12" t="s">
        <v>117</v>
      </c>
      <c r="F5" s="12" t="s">
        <v>117</v>
      </c>
      <c r="G5" s="12" t="s">
        <v>117</v>
      </c>
      <c r="H5" s="12" t="s">
        <v>1025</v>
      </c>
      <c r="I5" s="12" t="s">
        <v>1026</v>
      </c>
      <c r="L5" s="2" t="str">
        <v>Accounting</v>
      </c>
      <c r="M5" s="2" t="str" cm="1">
        <f t="array" ref="M5">TRANSPOSE(_xlfn.UNIQUE(_xlfn._xlws.FILTER($G:$G,$F:$F=L5)))</f>
        <v>Sub Family 02</v>
      </c>
      <c r="N5" s="2">
        <v>2</v>
      </c>
    </row>
    <row r="6" spans="1:14">
      <c r="A6" s="14">
        <v>51008</v>
      </c>
      <c r="B6" s="14" t="s">
        <v>689</v>
      </c>
      <c r="C6" s="12" t="s">
        <v>116</v>
      </c>
      <c r="D6" s="15" t="str">
        <f t="shared" si="0"/>
        <v>2021_McLane_Managed_Cloudtestr - PRD</v>
      </c>
      <c r="E6" s="12" t="s">
        <v>117</v>
      </c>
      <c r="F6" s="12" t="s">
        <v>117</v>
      </c>
      <c r="G6" s="12" t="s">
        <v>117</v>
      </c>
      <c r="H6" s="12" t="s">
        <v>1025</v>
      </c>
      <c r="I6" s="12" t="s">
        <v>1026</v>
      </c>
      <c r="L6" s="2" t="str">
        <v>Technical Support</v>
      </c>
      <c r="M6" s="2" t="str" cm="1">
        <f t="array" ref="M6">TRANSPOSE(_xlfn.UNIQUE(_xlfn._xlws.FILTER($G:$G,$F:$F=L6)))</f>
        <v>Sub Family 04</v>
      </c>
      <c r="N6" s="2">
        <v>2</v>
      </c>
    </row>
    <row r="7" spans="1:14">
      <c r="A7" s="14">
        <v>51047</v>
      </c>
      <c r="B7" s="14" t="s">
        <v>691</v>
      </c>
      <c r="C7" s="12" t="s">
        <v>116</v>
      </c>
      <c r="D7" s="15" t="str">
        <f t="shared" si="0"/>
        <v>2303-2312-IC-SOX-ComplianceTea - PRD</v>
      </c>
      <c r="E7" s="12" t="s">
        <v>117</v>
      </c>
      <c r="F7" s="12" t="s">
        <v>117</v>
      </c>
      <c r="G7" s="12" t="s">
        <v>117</v>
      </c>
      <c r="H7" s="12" t="s">
        <v>1025</v>
      </c>
      <c r="I7" s="12" t="s">
        <v>1026</v>
      </c>
      <c r="L7" s="2" t="str">
        <v>Quality Assurance</v>
      </c>
      <c r="M7" s="2" t="str" cm="1">
        <f t="array" ref="M7">TRANSPOSE(_xlfn.UNIQUE(_xlfn._xlws.FILTER($G:$G,$F:$F=L7)))</f>
        <v>Sub Family 02</v>
      </c>
      <c r="N7" s="2">
        <v>2</v>
      </c>
    </row>
    <row r="8" spans="1:14">
      <c r="A8" s="14">
        <v>96102</v>
      </c>
      <c r="B8" s="14" t="s">
        <v>120</v>
      </c>
      <c r="C8" s="12" t="s">
        <v>133</v>
      </c>
      <c r="D8" s="15" t="str">
        <f t="shared" si="0"/>
        <v>Accounting Local - AMG</v>
      </c>
      <c r="E8" s="12" t="s">
        <v>104</v>
      </c>
      <c r="F8" s="12" t="s">
        <v>122</v>
      </c>
      <c r="G8" s="12" t="s">
        <v>114</v>
      </c>
      <c r="H8" s="12" t="s">
        <v>1025</v>
      </c>
      <c r="I8" s="12" t="s">
        <v>1026</v>
      </c>
      <c r="L8" s="2" t="str">
        <v>Technical Training</v>
      </c>
      <c r="M8" s="2" t="str" cm="1">
        <f t="array" ref="M8">TRANSPOSE(_xlfn.UNIQUE(_xlfn._xlws.FILTER($G:$G,$F:$F=L8)))</f>
        <v>Sub Family 14</v>
      </c>
      <c r="N8" s="2">
        <v>2</v>
      </c>
    </row>
    <row r="9" spans="1:14">
      <c r="A9" s="14">
        <v>96102</v>
      </c>
      <c r="B9" s="14" t="s">
        <v>120</v>
      </c>
      <c r="C9" s="12" t="s">
        <v>121</v>
      </c>
      <c r="D9" s="15" t="str">
        <f t="shared" si="0"/>
        <v>Accounting Local - F&amp;A</v>
      </c>
      <c r="E9" s="12" t="s">
        <v>104</v>
      </c>
      <c r="F9" s="12" t="s">
        <v>122</v>
      </c>
      <c r="G9" s="12" t="s">
        <v>114</v>
      </c>
      <c r="H9" s="12" t="s">
        <v>1025</v>
      </c>
      <c r="I9" s="12" t="s">
        <v>1026</v>
      </c>
      <c r="L9" s="2" t="str">
        <v>Transaction Processing</v>
      </c>
      <c r="M9" s="2" t="str" cm="1">
        <f t="array" ref="M9">TRANSPOSE(_xlfn.UNIQUE(_xlfn._xlws.FILTER($G:$G,$F:$F=L9)))</f>
        <v>Sub Family 01</v>
      </c>
      <c r="N9" s="2">
        <v>2</v>
      </c>
    </row>
    <row r="10" spans="1:14">
      <c r="A10" s="14">
        <v>96102</v>
      </c>
      <c r="B10" s="14" t="s">
        <v>120</v>
      </c>
      <c r="C10" s="12" t="s">
        <v>129</v>
      </c>
      <c r="D10" s="15" t="str">
        <f t="shared" si="0"/>
        <v>Accounting Local - MGT</v>
      </c>
      <c r="E10" s="12" t="s">
        <v>104</v>
      </c>
      <c r="F10" s="12" t="s">
        <v>122</v>
      </c>
      <c r="G10" s="12" t="s">
        <v>114</v>
      </c>
      <c r="H10" s="12" t="s">
        <v>1025</v>
      </c>
      <c r="I10" s="12" t="s">
        <v>1026</v>
      </c>
      <c r="L10" s="2" t="str">
        <v>Customer Service Phone</v>
      </c>
      <c r="M10" s="2" t="str" cm="1">
        <f t="array" ref="M10">TRANSPOSE(_xlfn.UNIQUE(_xlfn._xlws.FILTER($G:$G,$F:$F=L10)))</f>
        <v>Sub Family 03</v>
      </c>
      <c r="N10" s="2">
        <v>2</v>
      </c>
    </row>
    <row r="11" spans="1:14">
      <c r="A11" s="14">
        <v>96102</v>
      </c>
      <c r="B11" s="14" t="s">
        <v>120</v>
      </c>
      <c r="C11" s="12" t="s">
        <v>134</v>
      </c>
      <c r="D11" s="15" t="str">
        <f t="shared" si="0"/>
        <v>Accounting Local - SEC</v>
      </c>
      <c r="E11" s="12" t="s">
        <v>104</v>
      </c>
      <c r="F11" s="12" t="s">
        <v>122</v>
      </c>
      <c r="G11" s="12" t="s">
        <v>114</v>
      </c>
      <c r="H11" s="12" t="s">
        <v>1025</v>
      </c>
      <c r="I11" s="12" t="s">
        <v>1026</v>
      </c>
      <c r="L11" s="2" t="str">
        <v>Workforce Planning</v>
      </c>
      <c r="M11" s="2" t="str" cm="1">
        <f t="array" ref="M11">TRANSPOSE(_xlfn.UNIQUE(_xlfn._xlws.FILTER($G:$G,$F:$F=L11)))</f>
        <v>Sub Family 02</v>
      </c>
      <c r="N11" s="2">
        <v>2</v>
      </c>
    </row>
    <row r="12" spans="1:14">
      <c r="A12" s="14">
        <v>96102</v>
      </c>
      <c r="B12" s="14" t="s">
        <v>120</v>
      </c>
      <c r="C12" s="12" t="s">
        <v>139</v>
      </c>
      <c r="D12" s="15" t="str">
        <f t="shared" si="0"/>
        <v>Accounting Local - SMGT</v>
      </c>
      <c r="E12" s="12" t="s">
        <v>104</v>
      </c>
      <c r="F12" s="12" t="s">
        <v>122</v>
      </c>
      <c r="G12" s="12" t="s">
        <v>114</v>
      </c>
      <c r="H12" s="12" t="s">
        <v>1025</v>
      </c>
      <c r="I12" s="12" t="s">
        <v>1026</v>
      </c>
      <c r="L12" s="2" t="str">
        <v>Analytics</v>
      </c>
      <c r="M12" s="2" t="str" cm="1">
        <f t="array" ref="M12">TRANSPOSE(_xlfn.UNIQUE(_xlfn._xlws.FILTER($G:$G,$F:$F=L12)))</f>
        <v>Analytics</v>
      </c>
      <c r="N12" s="2">
        <v>2</v>
      </c>
    </row>
    <row r="13" spans="1:14">
      <c r="A13" s="14">
        <v>96102</v>
      </c>
      <c r="B13" s="14" t="s">
        <v>120</v>
      </c>
      <c r="C13" s="12" t="s">
        <v>145</v>
      </c>
      <c r="D13" s="15" t="str">
        <f t="shared" si="0"/>
        <v>Accounting Local - SUP</v>
      </c>
      <c r="E13" s="12" t="s">
        <v>104</v>
      </c>
      <c r="F13" s="12" t="s">
        <v>122</v>
      </c>
      <c r="G13" s="12" t="s">
        <v>114</v>
      </c>
      <c r="H13" s="12" t="s">
        <v>1025</v>
      </c>
      <c r="I13" s="12" t="s">
        <v>1026</v>
      </c>
      <c r="L13" s="2" t="str">
        <v>Technology</v>
      </c>
      <c r="M13" s="2" t="str" cm="1">
        <f t="array" ref="M13">TRANSPOSE(_xlfn.UNIQUE(_xlfn._xlws.FILTER($G:$G,$F:$F=L13)))</f>
        <v>Sub Family 09</v>
      </c>
      <c r="N13" s="2">
        <v>2</v>
      </c>
    </row>
    <row r="14" spans="1:14">
      <c r="A14" s="14">
        <v>96102</v>
      </c>
      <c r="B14" s="14" t="s">
        <v>120</v>
      </c>
      <c r="C14" s="12" t="s">
        <v>180</v>
      </c>
      <c r="D14" s="15" t="str">
        <f t="shared" si="0"/>
        <v>Accounting Local - TMG</v>
      </c>
      <c r="E14" s="12" t="s">
        <v>104</v>
      </c>
      <c r="F14" s="12" t="s">
        <v>122</v>
      </c>
      <c r="G14" s="12" t="s">
        <v>114</v>
      </c>
      <c r="H14" s="12" t="s">
        <v>1025</v>
      </c>
      <c r="I14" s="12" t="s">
        <v>1026</v>
      </c>
      <c r="L14" s="2" t="str">
        <v>Customer Service Internet</v>
      </c>
      <c r="M14" s="2" t="str" cm="1">
        <f t="array" ref="M14">TRANSPOSE(_xlfn.UNIQUE(_xlfn._xlws.FILTER($G:$G,$F:$F=L14)))</f>
        <v>Sub Family 03</v>
      </c>
      <c r="N14" s="2">
        <v>2</v>
      </c>
    </row>
    <row r="15" spans="1:14">
      <c r="A15" s="14">
        <v>96122</v>
      </c>
      <c r="B15" s="14" t="s">
        <v>151</v>
      </c>
      <c r="C15" s="12" t="s">
        <v>121</v>
      </c>
      <c r="D15" s="15" t="str">
        <f t="shared" si="0"/>
        <v>Accounting-Global - F&amp;A</v>
      </c>
      <c r="E15" s="12" t="s">
        <v>104</v>
      </c>
      <c r="F15" s="12" t="s">
        <v>122</v>
      </c>
      <c r="G15" s="12" t="s">
        <v>114</v>
      </c>
      <c r="H15" s="12" t="s">
        <v>1025</v>
      </c>
      <c r="I15" s="12" t="s">
        <v>1026</v>
      </c>
      <c r="L15" s="2" t="str">
        <v>Workforce Analytics</v>
      </c>
      <c r="M15" s="2" t="str" cm="1">
        <f t="array" ref="M15">TRANSPOSE(_xlfn.UNIQUE(_xlfn._xlws.FILTER($G:$G,$F:$F=L15)))</f>
        <v>Sub Family 02</v>
      </c>
      <c r="N15" s="2">
        <v>2</v>
      </c>
    </row>
    <row r="16" spans="1:14">
      <c r="A16" s="14">
        <v>96122</v>
      </c>
      <c r="B16" s="14" t="s">
        <v>151</v>
      </c>
      <c r="C16" s="12" t="s">
        <v>145</v>
      </c>
      <c r="D16" s="15" t="str">
        <f t="shared" si="0"/>
        <v>Accounting-Global - SUP</v>
      </c>
      <c r="E16" s="12" t="s">
        <v>104</v>
      </c>
      <c r="F16" s="12" t="s">
        <v>122</v>
      </c>
      <c r="G16" s="12" t="s">
        <v>114</v>
      </c>
      <c r="H16" s="12" t="s">
        <v>1025</v>
      </c>
      <c r="I16" s="12" t="s">
        <v>1026</v>
      </c>
      <c r="L16" s="2" t="str">
        <v>Research</v>
      </c>
      <c r="M16" s="2" t="str" cm="1">
        <f t="array" ref="M16">TRANSPOSE(_xlfn.UNIQUE(_xlfn._xlws.FILTER($G:$G,$F:$F=L16)))</f>
        <v>Research</v>
      </c>
      <c r="N16" s="2">
        <v>2</v>
      </c>
    </row>
    <row r="17" spans="1:14">
      <c r="A17" s="14">
        <v>10400</v>
      </c>
      <c r="B17" s="14" t="s">
        <v>239</v>
      </c>
      <c r="C17" s="12" t="s">
        <v>398</v>
      </c>
      <c r="D17" s="15" t="str">
        <f t="shared" si="0"/>
        <v>Act! Software - CBK</v>
      </c>
      <c r="E17" s="12" t="s">
        <v>126</v>
      </c>
      <c r="F17" s="12" t="s">
        <v>360</v>
      </c>
      <c r="G17" s="12" t="s">
        <v>361</v>
      </c>
      <c r="H17" s="12" t="s">
        <v>1025</v>
      </c>
      <c r="I17" s="12" t="s">
        <v>1026</v>
      </c>
      <c r="L17" s="2" t="str">
        <v>Banking &amp; Finance</v>
      </c>
      <c r="M17" s="2" t="str" cm="1">
        <f t="array" ref="M17">TRANSPOSE(_xlfn.UNIQUE(_xlfn._xlws.FILTER($G:$G,$F:$F=L17)))</f>
        <v>Sub Family 05</v>
      </c>
      <c r="N17" s="2">
        <v>2</v>
      </c>
    </row>
    <row r="18" spans="1:14">
      <c r="A18" s="14">
        <v>10400</v>
      </c>
      <c r="B18" s="14" t="s">
        <v>239</v>
      </c>
      <c r="C18" s="12" t="s">
        <v>144</v>
      </c>
      <c r="D18" s="15" t="str">
        <f t="shared" si="0"/>
        <v>Act! Software - CCOD</v>
      </c>
      <c r="E18" s="12" t="s">
        <v>126</v>
      </c>
      <c r="F18" s="12" t="s">
        <v>360</v>
      </c>
      <c r="G18" s="12" t="s">
        <v>361</v>
      </c>
      <c r="H18" s="12" t="s">
        <v>1025</v>
      </c>
      <c r="I18" s="12" t="s">
        <v>1026</v>
      </c>
      <c r="L18" s="2" t="str">
        <v xml:space="preserve">Marketing </v>
      </c>
      <c r="M18" s="2" t="str" cm="1">
        <f t="array" ref="M18">TRANSPOSE(_xlfn.UNIQUE(_xlfn._xlws.FILTER($G:$G,$F:$F=L18)))</f>
        <v>Sub Family 02</v>
      </c>
      <c r="N18" s="2">
        <v>2</v>
      </c>
    </row>
    <row r="19" spans="1:14">
      <c r="A19" s="14">
        <v>10400</v>
      </c>
      <c r="B19" s="14" t="s">
        <v>239</v>
      </c>
      <c r="C19" s="12" t="s">
        <v>150</v>
      </c>
      <c r="D19" s="15" t="str">
        <f t="shared" si="0"/>
        <v>Act! Software - CCS</v>
      </c>
      <c r="E19" s="12" t="s">
        <v>126</v>
      </c>
      <c r="F19" s="12" t="s">
        <v>360</v>
      </c>
      <c r="G19" s="12" t="s">
        <v>361</v>
      </c>
      <c r="H19" s="12" t="s">
        <v>1025</v>
      </c>
      <c r="I19" s="12" t="s">
        <v>1026</v>
      </c>
      <c r="L19" s="2" t="str">
        <v>Infrastructure</v>
      </c>
      <c r="M19" s="2" t="str" cm="1">
        <f t="array" ref="M19">TRANSPOSE(_xlfn.UNIQUE(_xlfn._xlws.FILTER($G:$G,$F:$F=L19)))</f>
        <v>GSI, GTI, GSD</v>
      </c>
      <c r="N19" s="2">
        <v>2</v>
      </c>
    </row>
    <row r="20" spans="1:14">
      <c r="A20" s="14">
        <v>10400</v>
      </c>
      <c r="B20" s="14" t="s">
        <v>239</v>
      </c>
      <c r="C20" s="12" t="s">
        <v>168</v>
      </c>
      <c r="D20" s="15" t="str">
        <f t="shared" si="0"/>
        <v>Act! Software - ESC</v>
      </c>
      <c r="E20" s="12" t="s">
        <v>126</v>
      </c>
      <c r="F20" s="12" t="s">
        <v>360</v>
      </c>
      <c r="G20" s="12" t="s">
        <v>361</v>
      </c>
      <c r="H20" s="12" t="s">
        <v>1025</v>
      </c>
      <c r="I20" s="12" t="s">
        <v>1026</v>
      </c>
      <c r="L20" s="2" t="str">
        <v>Accounts Receivable</v>
      </c>
      <c r="M20" s="2" t="str" cm="1">
        <f t="array" ref="M20">TRANSPOSE(_xlfn.UNIQUE(_xlfn._xlws.FILTER($G:$G,$F:$F=L20)))</f>
        <v>Sub Family 02</v>
      </c>
      <c r="N20" s="2">
        <v>2</v>
      </c>
    </row>
    <row r="21" spans="1:14">
      <c r="A21" s="14">
        <v>10400</v>
      </c>
      <c r="B21" s="14" t="s">
        <v>239</v>
      </c>
      <c r="C21" s="12" t="s">
        <v>171</v>
      </c>
      <c r="D21" s="15" t="str">
        <f t="shared" si="0"/>
        <v>Act! Software - ETE</v>
      </c>
      <c r="E21" s="12" t="s">
        <v>126</v>
      </c>
      <c r="F21" s="12" t="s">
        <v>360</v>
      </c>
      <c r="G21" s="12" t="s">
        <v>361</v>
      </c>
      <c r="H21" s="12" t="s">
        <v>1025</v>
      </c>
      <c r="I21" s="12" t="s">
        <v>1026</v>
      </c>
      <c r="L21" s="2" t="str">
        <v>Business Development</v>
      </c>
      <c r="M21" s="2" t="str" cm="1">
        <f t="array" ref="M21">TRANSPOSE(_xlfn.UNIQUE(_xlfn._xlws.FILTER($G:$G,$F:$F=L21)))</f>
        <v>Sub Family 02</v>
      </c>
      <c r="N21" s="2">
        <v>2</v>
      </c>
    </row>
    <row r="22" spans="1:14">
      <c r="A22" s="14">
        <v>10400</v>
      </c>
      <c r="B22" s="14" t="s">
        <v>239</v>
      </c>
      <c r="C22" s="12" t="s">
        <v>177</v>
      </c>
      <c r="D22" s="15" t="str">
        <f t="shared" si="0"/>
        <v>Act! Software - OPS</v>
      </c>
      <c r="E22" s="12" t="s">
        <v>126</v>
      </c>
      <c r="F22" s="12" t="s">
        <v>360</v>
      </c>
      <c r="G22" s="12" t="s">
        <v>361</v>
      </c>
      <c r="H22" s="12" t="s">
        <v>1025</v>
      </c>
      <c r="I22" s="12" t="s">
        <v>1026</v>
      </c>
      <c r="L22" s="2" t="str">
        <v>HR Operations &amp; Shared Services</v>
      </c>
      <c r="M22" s="2" t="str" cm="1">
        <f t="array" ref="M22">TRANSPOSE(_xlfn.UNIQUE(_xlfn._xlws.FILTER($G:$G,$F:$F=L22)))</f>
        <v>Sub Family 02</v>
      </c>
      <c r="N22" s="2">
        <v>2</v>
      </c>
    </row>
    <row r="23" spans="1:14">
      <c r="A23" s="14">
        <v>10400</v>
      </c>
      <c r="B23" s="14" t="s">
        <v>239</v>
      </c>
      <c r="C23" s="12" t="s">
        <v>111</v>
      </c>
      <c r="D23" s="15" t="str">
        <f t="shared" si="0"/>
        <v>Act! Software - QLY</v>
      </c>
      <c r="E23" s="12" t="s">
        <v>112</v>
      </c>
      <c r="F23" s="12" t="s">
        <v>113</v>
      </c>
      <c r="G23" s="12" t="s">
        <v>114</v>
      </c>
      <c r="H23" s="12" t="s">
        <v>1025</v>
      </c>
      <c r="I23" s="12" t="s">
        <v>1026</v>
      </c>
      <c r="L23" s="2" t="str">
        <v>Sourcing &amp; Procurement</v>
      </c>
      <c r="M23" s="2" t="str" cm="1">
        <f t="array" ref="M23">TRANSPOSE(_xlfn.UNIQUE(_xlfn._xlws.FILTER($G:$G,$F:$F=L23)))</f>
        <v>Sub Family 02</v>
      </c>
      <c r="N23" s="2">
        <v>2</v>
      </c>
    </row>
    <row r="24" spans="1:14">
      <c r="A24" s="14">
        <v>10400</v>
      </c>
      <c r="B24" s="14" t="s">
        <v>239</v>
      </c>
      <c r="C24" s="12" t="s">
        <v>119</v>
      </c>
      <c r="D24" s="15" t="str">
        <f t="shared" si="0"/>
        <v>Act! Software - SQM</v>
      </c>
      <c r="E24" s="12" t="s">
        <v>112</v>
      </c>
      <c r="F24" s="12" t="s">
        <v>113</v>
      </c>
      <c r="G24" s="12" t="s">
        <v>114</v>
      </c>
      <c r="H24" s="12" t="s">
        <v>1025</v>
      </c>
      <c r="I24" s="12" t="s">
        <v>1026</v>
      </c>
      <c r="L24" s="2" t="str">
        <v>Corporate Planning</v>
      </c>
      <c r="M24" s="2" t="str" cm="1">
        <f t="array" ref="M24">TRANSPOSE(_xlfn.UNIQUE(_xlfn._xlws.FILTER($G:$G,$F:$F=L24)))</f>
        <v>Sub Family 02</v>
      </c>
      <c r="N24" s="2">
        <v>2</v>
      </c>
    </row>
    <row r="25" spans="1:14">
      <c r="A25" s="14">
        <v>10400</v>
      </c>
      <c r="B25" s="14" t="s">
        <v>239</v>
      </c>
      <c r="C25" s="12" t="s">
        <v>145</v>
      </c>
      <c r="D25" s="15" t="str">
        <f t="shared" si="0"/>
        <v>Act! Software - SUP</v>
      </c>
      <c r="E25" s="12" t="s">
        <v>126</v>
      </c>
      <c r="F25" s="12" t="s">
        <v>360</v>
      </c>
      <c r="G25" s="12" t="s">
        <v>361</v>
      </c>
      <c r="H25" s="12" t="s">
        <v>1025</v>
      </c>
      <c r="I25" s="12" t="s">
        <v>1026</v>
      </c>
      <c r="L25" s="2" t="str">
        <v>Contract Management</v>
      </c>
      <c r="M25" s="2" t="str" cm="1">
        <f t="array" ref="M25">TRANSPOSE(_xlfn.UNIQUE(_xlfn._xlws.FILTER($G:$G,$F:$F=L25)))</f>
        <v>Sub Family 02</v>
      </c>
      <c r="N25" s="2">
        <v>2</v>
      </c>
    </row>
    <row r="26" spans="1:14">
      <c r="A26" s="14">
        <v>10400</v>
      </c>
      <c r="B26" s="14" t="s">
        <v>239</v>
      </c>
      <c r="C26" s="12" t="s">
        <v>196</v>
      </c>
      <c r="D26" s="15" t="str">
        <f t="shared" si="0"/>
        <v>Act! Software - SUT</v>
      </c>
      <c r="E26" s="12" t="s">
        <v>126</v>
      </c>
      <c r="F26" s="12" t="s">
        <v>360</v>
      </c>
      <c r="G26" s="12" t="s">
        <v>361</v>
      </c>
      <c r="H26" s="12" t="s">
        <v>1025</v>
      </c>
      <c r="I26" s="12" t="s">
        <v>1026</v>
      </c>
      <c r="L26" s="2" t="str">
        <v>Facilities</v>
      </c>
      <c r="M26" s="2" t="str" cm="1">
        <f t="array" ref="M26">TRANSPOSE(_xlfn.UNIQUE(_xlfn._xlws.FILTER($G:$G,$F:$F=L26)))</f>
        <v>Sub Family 13</v>
      </c>
      <c r="N26" s="2">
        <v>2</v>
      </c>
    </row>
    <row r="27" spans="1:14">
      <c r="A27" s="14">
        <v>10400</v>
      </c>
      <c r="B27" s="14" t="s">
        <v>239</v>
      </c>
      <c r="C27" s="12" t="s">
        <v>198</v>
      </c>
      <c r="D27" s="15" t="str">
        <f t="shared" si="0"/>
        <v>Act! Software - TEC</v>
      </c>
      <c r="E27" s="12" t="s">
        <v>126</v>
      </c>
      <c r="F27" s="12" t="s">
        <v>360</v>
      </c>
      <c r="G27" s="12" t="s">
        <v>361</v>
      </c>
      <c r="H27" s="12" t="s">
        <v>1025</v>
      </c>
      <c r="I27" s="12" t="s">
        <v>1026</v>
      </c>
      <c r="L27" s="2" t="str">
        <v>Risk Management</v>
      </c>
      <c r="M27" s="2" t="str" cm="1">
        <f t="array" ref="M27">TRANSPOSE(_xlfn.UNIQUE(_xlfn._xlws.FILTER($G:$G,$F:$F=L27)))</f>
        <v>Sub Family 02</v>
      </c>
      <c r="N27" s="2">
        <v>2</v>
      </c>
    </row>
    <row r="28" spans="1:14">
      <c r="A28" s="14">
        <v>10400</v>
      </c>
      <c r="B28" s="14" t="s">
        <v>239</v>
      </c>
      <c r="C28" s="12" t="s">
        <v>203</v>
      </c>
      <c r="D28" s="15" t="str">
        <f t="shared" si="0"/>
        <v>Act! Software - TRG</v>
      </c>
      <c r="E28" s="12" t="s">
        <v>112</v>
      </c>
      <c r="F28" s="12" t="s">
        <v>204</v>
      </c>
      <c r="G28" s="12" t="s">
        <v>205</v>
      </c>
      <c r="H28" s="12" t="s">
        <v>1025</v>
      </c>
      <c r="I28" s="12" t="s">
        <v>1026</v>
      </c>
      <c r="L28" s="2" t="str">
        <v>Process Improvement</v>
      </c>
      <c r="M28" s="2" t="str" cm="1">
        <f t="array" ref="M28">TRANSPOSE(_xlfn.UNIQUE(_xlfn._xlws.FILTER($G:$G,$F:$F=L28)))</f>
        <v>Sub Family 02</v>
      </c>
      <c r="N28" s="2">
        <v>2</v>
      </c>
    </row>
    <row r="29" spans="1:14">
      <c r="A29" s="14">
        <v>10400</v>
      </c>
      <c r="B29" s="14" t="s">
        <v>239</v>
      </c>
      <c r="C29" s="12" t="s">
        <v>208</v>
      </c>
      <c r="D29" s="15" t="str">
        <f t="shared" si="0"/>
        <v>Act! Software - TTR</v>
      </c>
      <c r="E29" s="12" t="s">
        <v>112</v>
      </c>
      <c r="F29" s="12" t="s">
        <v>204</v>
      </c>
      <c r="G29" s="12" t="s">
        <v>205</v>
      </c>
      <c r="H29" s="12" t="s">
        <v>1025</v>
      </c>
      <c r="I29" s="12" t="s">
        <v>1026</v>
      </c>
      <c r="L29" s="2" t="str">
        <v>Account Management</v>
      </c>
      <c r="M29" s="2" t="str" cm="1">
        <f t="array" ref="M29">TRANSPOSE(_xlfn.UNIQUE(_xlfn._xlws.FILTER($G:$G,$F:$F=L29)))</f>
        <v>Sub Family 02</v>
      </c>
      <c r="N29" s="2">
        <v>2</v>
      </c>
    </row>
    <row r="30" spans="1:14">
      <c r="A30" s="14">
        <v>12457</v>
      </c>
      <c r="B30" s="14" t="s">
        <v>162</v>
      </c>
      <c r="C30" s="12" t="s">
        <v>116</v>
      </c>
      <c r="D30" s="15" t="str">
        <f t="shared" si="0"/>
        <v>ADNIC - Claims Operations - PRD</v>
      </c>
      <c r="E30" s="12" t="s">
        <v>126</v>
      </c>
      <c r="F30" s="12" t="s">
        <v>163</v>
      </c>
      <c r="G30" s="12" t="s">
        <v>164</v>
      </c>
      <c r="H30" s="12" t="s">
        <v>1025</v>
      </c>
      <c r="I30" s="12" t="s">
        <v>1026</v>
      </c>
      <c r="L30" s="2" t="str">
        <v>HR Generalists</v>
      </c>
      <c r="M30" s="2" t="str" cm="1">
        <f t="array" ref="M30">TRANSPOSE(_xlfn.UNIQUE(_xlfn._xlws.FILTER($G:$G,$F:$F=L30)))</f>
        <v>Sub Family 02</v>
      </c>
      <c r="N30" s="2">
        <v>2</v>
      </c>
    </row>
    <row r="31" spans="1:14">
      <c r="A31" s="14">
        <v>12457</v>
      </c>
      <c r="B31" s="14" t="s">
        <v>162</v>
      </c>
      <c r="C31" s="12" t="s">
        <v>172</v>
      </c>
      <c r="D31" s="15" t="str">
        <f t="shared" si="0"/>
        <v>ADNIC - Claims Operations - SME</v>
      </c>
      <c r="E31" s="12" t="s">
        <v>126</v>
      </c>
      <c r="F31" s="12" t="s">
        <v>163</v>
      </c>
      <c r="G31" s="12" t="s">
        <v>164</v>
      </c>
      <c r="H31" s="12" t="s">
        <v>1025</v>
      </c>
      <c r="I31" s="12" t="s">
        <v>1026</v>
      </c>
      <c r="L31" s="2" t="str">
        <v>Internal Audit</v>
      </c>
      <c r="M31" s="2" t="str" cm="1">
        <f t="array" ref="M31">TRANSPOSE(_xlfn.UNIQUE(_xlfn._xlws.FILTER($G:$G,$F:$F=L31)))</f>
        <v>Sub Family 02</v>
      </c>
      <c r="N31" s="2">
        <v>2</v>
      </c>
    </row>
    <row r="32" spans="1:14">
      <c r="A32" s="14">
        <v>12457</v>
      </c>
      <c r="B32" s="14" t="s">
        <v>162</v>
      </c>
      <c r="C32" s="12" t="s">
        <v>180</v>
      </c>
      <c r="D32" s="15" t="str">
        <f t="shared" si="0"/>
        <v>ADNIC - Claims Operations - TMG</v>
      </c>
      <c r="E32" s="12" t="s">
        <v>126</v>
      </c>
      <c r="F32" s="12" t="s">
        <v>163</v>
      </c>
      <c r="G32" s="12" t="s">
        <v>164</v>
      </c>
      <c r="H32" s="12" t="s">
        <v>1025</v>
      </c>
      <c r="I32" s="12" t="s">
        <v>1026</v>
      </c>
      <c r="L32" s="2" t="str">
        <v>Insurance</v>
      </c>
      <c r="M32" s="2" t="str" cm="1">
        <f t="array" ref="M32">TRANSPOSE(_xlfn.UNIQUE(_xlfn._xlws.FILTER($G:$G,$F:$F=L32)))</f>
        <v>Sub Family 06</v>
      </c>
      <c r="N32" s="2">
        <v>2</v>
      </c>
    </row>
    <row r="33" spans="1:14">
      <c r="A33" s="14">
        <v>12457</v>
      </c>
      <c r="B33" s="14" t="s">
        <v>162</v>
      </c>
      <c r="C33" s="12" t="s">
        <v>185</v>
      </c>
      <c r="D33" s="15" t="str">
        <f t="shared" si="0"/>
        <v>ADNIC - Claims Operations - TPS</v>
      </c>
      <c r="E33" s="12" t="s">
        <v>126</v>
      </c>
      <c r="F33" s="12" t="s">
        <v>163</v>
      </c>
      <c r="G33" s="12" t="s">
        <v>164</v>
      </c>
      <c r="H33" s="12" t="s">
        <v>1025</v>
      </c>
      <c r="I33" s="12" t="s">
        <v>1026</v>
      </c>
      <c r="L33" s="2" t="str">
        <v>Internal Communications</v>
      </c>
      <c r="M33" s="2" t="str" cm="1">
        <f t="array" ref="M33">TRANSPOSE(_xlfn.UNIQUE(_xlfn._xlws.FILTER($G:$G,$F:$F=L33)))</f>
        <v>Sub Family 02</v>
      </c>
      <c r="N33" s="2">
        <v>2</v>
      </c>
    </row>
    <row r="34" spans="1:14">
      <c r="A34" s="14">
        <v>10773</v>
      </c>
      <c r="B34" s="14" t="s">
        <v>192</v>
      </c>
      <c r="C34" s="12" t="s">
        <v>193</v>
      </c>
      <c r="D34" s="15" t="str">
        <f t="shared" si="0"/>
        <v>ADNIC L2L3 App Support India - DEV</v>
      </c>
      <c r="E34" s="12" t="s">
        <v>117</v>
      </c>
      <c r="F34" s="12" t="s">
        <v>117</v>
      </c>
      <c r="G34" s="12" t="s">
        <v>117</v>
      </c>
      <c r="H34" s="12" t="s">
        <v>1025</v>
      </c>
      <c r="I34" s="12" t="s">
        <v>1026</v>
      </c>
      <c r="L34" s="2" t="str">
        <v>Talent Acquisition</v>
      </c>
      <c r="M34" s="2" t="str" cm="1">
        <f t="array" ref="M34">TRANSPOSE(_xlfn.UNIQUE(_xlfn._xlws.FILTER($G:$G,$F:$F=L34)))</f>
        <v>Sub Family 02</v>
      </c>
      <c r="N34" s="2">
        <v>2</v>
      </c>
    </row>
    <row r="35" spans="1:14">
      <c r="A35" s="14">
        <v>10773</v>
      </c>
      <c r="B35" s="14" t="s">
        <v>192</v>
      </c>
      <c r="C35" s="12" t="s">
        <v>129</v>
      </c>
      <c r="D35" s="15" t="str">
        <f t="shared" si="0"/>
        <v>ADNIC L2L3 App Support India - MGT</v>
      </c>
      <c r="E35" s="12" t="s">
        <v>117</v>
      </c>
      <c r="F35" s="12" t="s">
        <v>117</v>
      </c>
      <c r="G35" s="12" t="s">
        <v>117</v>
      </c>
      <c r="H35" s="12" t="s">
        <v>1025</v>
      </c>
      <c r="I35" s="12" t="s">
        <v>1026</v>
      </c>
      <c r="L35" s="2" t="str">
        <v>Sales / Telesales</v>
      </c>
      <c r="M35" s="2" t="str" cm="1">
        <f t="array" ref="M35">TRANSPOSE(_xlfn.UNIQUE(_xlfn._xlws.FILTER($G:$G,$F:$F=L35)))</f>
        <v>Sub Family 02</v>
      </c>
      <c r="N35" s="2">
        <v>2</v>
      </c>
    </row>
    <row r="36" spans="1:14">
      <c r="A36" s="14">
        <v>10773</v>
      </c>
      <c r="B36" s="14" t="s">
        <v>192</v>
      </c>
      <c r="C36" s="12" t="s">
        <v>116</v>
      </c>
      <c r="D36" s="15" t="str">
        <f t="shared" si="0"/>
        <v>ADNIC L2L3 App Support India - PRD</v>
      </c>
      <c r="E36" s="12" t="s">
        <v>117</v>
      </c>
      <c r="F36" s="12" t="s">
        <v>117</v>
      </c>
      <c r="G36" s="12" t="s">
        <v>117</v>
      </c>
      <c r="H36" s="12" t="s">
        <v>1025</v>
      </c>
      <c r="I36" s="12" t="s">
        <v>1026</v>
      </c>
      <c r="L36" s="2" t="str">
        <v>Knowledge Management</v>
      </c>
      <c r="M36" s="2" t="str" cm="1">
        <f t="array" ref="M36">TRANSPOSE(_xlfn.UNIQUE(_xlfn._xlws.FILTER($G:$G,$F:$F=L36)))</f>
        <v>Sub Family 14</v>
      </c>
      <c r="N36" s="2">
        <v>2</v>
      </c>
    </row>
    <row r="37" spans="1:14">
      <c r="A37" s="14">
        <v>10773</v>
      </c>
      <c r="B37" s="14" t="s">
        <v>192</v>
      </c>
      <c r="C37" s="12" t="s">
        <v>145</v>
      </c>
      <c r="D37" s="15" t="str">
        <f t="shared" si="0"/>
        <v>ADNIC L2L3 App Support India - SUP</v>
      </c>
      <c r="E37" s="12" t="s">
        <v>117</v>
      </c>
      <c r="F37" s="12" t="s">
        <v>117</v>
      </c>
      <c r="G37" s="12" t="s">
        <v>117</v>
      </c>
      <c r="H37" s="12" t="s">
        <v>1025</v>
      </c>
      <c r="I37" s="12" t="s">
        <v>1026</v>
      </c>
      <c r="L37" s="2" t="str">
        <v>Payroll</v>
      </c>
      <c r="M37" s="2" t="str" cm="1">
        <f t="array" ref="M37">TRANSPOSE(_xlfn.UNIQUE(_xlfn._xlws.FILTER($G:$G,$F:$F=L37)))</f>
        <v>Sub Family 02</v>
      </c>
      <c r="N37" s="2">
        <v>2</v>
      </c>
    </row>
    <row r="38" spans="1:14">
      <c r="A38" s="14">
        <v>10773</v>
      </c>
      <c r="B38" s="14" t="s">
        <v>192</v>
      </c>
      <c r="C38" s="12" t="s">
        <v>185</v>
      </c>
      <c r="D38" s="15" t="str">
        <f t="shared" si="0"/>
        <v>ADNIC L2L3 App Support India - TPS</v>
      </c>
      <c r="E38" s="12" t="s">
        <v>117</v>
      </c>
      <c r="F38" s="12" t="s">
        <v>117</v>
      </c>
      <c r="G38" s="12" t="s">
        <v>117</v>
      </c>
      <c r="H38" s="12" t="s">
        <v>1025</v>
      </c>
      <c r="I38" s="12" t="s">
        <v>1026</v>
      </c>
      <c r="L38" s="2" t="str">
        <v>Procurement</v>
      </c>
      <c r="M38" s="2" t="str" cm="1">
        <f t="array" ref="M38">TRANSPOSE(_xlfn.UNIQUE(_xlfn._xlws.FILTER($G:$G,$F:$F=L38)))</f>
        <v>Sub Family 02</v>
      </c>
      <c r="N38" s="2">
        <v>2</v>
      </c>
    </row>
    <row r="39" spans="1:14">
      <c r="A39" s="14">
        <v>40251</v>
      </c>
      <c r="B39" s="14" t="s">
        <v>201</v>
      </c>
      <c r="C39" s="12" t="s">
        <v>145</v>
      </c>
      <c r="D39" s="15" t="str">
        <f t="shared" si="0"/>
        <v>ADNICL2L3AppSupport AbuDhabi - SUP</v>
      </c>
      <c r="E39" s="12" t="s">
        <v>117</v>
      </c>
      <c r="F39" s="12" t="s">
        <v>117</v>
      </c>
      <c r="G39" s="12" t="s">
        <v>117</v>
      </c>
      <c r="H39" s="12" t="s">
        <v>1025</v>
      </c>
      <c r="I39" s="12" t="s">
        <v>1026</v>
      </c>
      <c r="L39" s="2" t="str">
        <v>Solution Definition &amp; Architecture</v>
      </c>
      <c r="M39" s="2" t="str" cm="1">
        <f t="array" ref="M39">TRANSPOSE(_xlfn.UNIQUE(_xlfn._xlws.FILTER($G:$G,$F:$F=L39)))</f>
        <v>Sub Family 02</v>
      </c>
      <c r="N39" s="2">
        <v>2</v>
      </c>
    </row>
    <row r="40" spans="1:14">
      <c r="A40" s="14">
        <v>88146</v>
      </c>
      <c r="B40" s="14" t="s">
        <v>206</v>
      </c>
      <c r="C40" s="12" t="s">
        <v>193</v>
      </c>
      <c r="D40" s="15" t="str">
        <f t="shared" si="0"/>
        <v>Advance Hiring - ITS - DEV</v>
      </c>
      <c r="E40" s="12" t="s">
        <v>117</v>
      </c>
      <c r="F40" s="12" t="s">
        <v>117</v>
      </c>
      <c r="G40" s="12" t="s">
        <v>117</v>
      </c>
      <c r="H40" s="12" t="s">
        <v>1025</v>
      </c>
      <c r="I40" s="12" t="s">
        <v>1026</v>
      </c>
      <c r="L40" s="2" t="str">
        <v>Legal</v>
      </c>
      <c r="M40" s="2" t="str" cm="1">
        <f t="array" ref="M40">TRANSPOSE(_xlfn.UNIQUE(_xlfn._xlws.FILTER($G:$G,$F:$F=L40)))</f>
        <v>Sub Family 02</v>
      </c>
      <c r="N40" s="2">
        <v>2</v>
      </c>
    </row>
    <row r="41" spans="1:14">
      <c r="A41" s="14">
        <v>88146</v>
      </c>
      <c r="B41" s="14" t="s">
        <v>206</v>
      </c>
      <c r="C41" s="12" t="s">
        <v>262</v>
      </c>
      <c r="D41" s="15" t="str">
        <f t="shared" si="0"/>
        <v>Advance Hiring - ITS - GSI</v>
      </c>
      <c r="E41" s="12" t="s">
        <v>117</v>
      </c>
      <c r="F41" s="12" t="s">
        <v>117</v>
      </c>
      <c r="G41" s="12" t="s">
        <v>117</v>
      </c>
      <c r="H41" s="12" t="s">
        <v>1025</v>
      </c>
      <c r="I41" s="12" t="s">
        <v>1026</v>
      </c>
      <c r="L41" s="2" t="str">
        <v>Pricing</v>
      </c>
      <c r="M41" s="2" t="str" cm="1">
        <f t="array" ref="M41">TRANSPOSE(_xlfn.UNIQUE(_xlfn._xlws.FILTER($G:$G,$F:$F=L41)))</f>
        <v>Sub Family 02</v>
      </c>
      <c r="N41" s="2">
        <v>2</v>
      </c>
    </row>
    <row r="42" spans="1:14">
      <c r="A42" s="14">
        <v>88146</v>
      </c>
      <c r="B42" s="14" t="s">
        <v>206</v>
      </c>
      <c r="C42" s="12" t="s">
        <v>129</v>
      </c>
      <c r="D42" s="15" t="str">
        <f t="shared" si="0"/>
        <v>Advance Hiring - ITS - MGT</v>
      </c>
      <c r="E42" s="12" t="s">
        <v>117</v>
      </c>
      <c r="F42" s="12" t="s">
        <v>117</v>
      </c>
      <c r="G42" s="12" t="s">
        <v>117</v>
      </c>
      <c r="H42" s="12" t="s">
        <v>1025</v>
      </c>
      <c r="I42" s="12" t="s">
        <v>1026</v>
      </c>
      <c r="L42" s="2" t="str">
        <v>Treasury</v>
      </c>
      <c r="M42" s="2" t="str" cm="1">
        <f t="array" ref="M42">TRANSPOSE(_xlfn.UNIQUE(_xlfn._xlws.FILTER($G:$G,$F:$F=L42)))</f>
        <v>Sub Family 02</v>
      </c>
      <c r="N42" s="2">
        <v>2</v>
      </c>
    </row>
    <row r="43" spans="1:14">
      <c r="A43" s="14">
        <v>88146</v>
      </c>
      <c r="B43" s="14" t="s">
        <v>206</v>
      </c>
      <c r="C43" s="12" t="s">
        <v>116</v>
      </c>
      <c r="D43" s="15" t="str">
        <f t="shared" si="0"/>
        <v>Advance Hiring - ITS - PRD</v>
      </c>
      <c r="E43" s="12" t="s">
        <v>117</v>
      </c>
      <c r="F43" s="12" t="s">
        <v>117</v>
      </c>
      <c r="G43" s="12" t="s">
        <v>117</v>
      </c>
      <c r="H43" s="12" t="s">
        <v>1025</v>
      </c>
      <c r="I43" s="12" t="s">
        <v>1026</v>
      </c>
      <c r="L43" s="2" t="str">
        <v>Scheduling</v>
      </c>
      <c r="M43" s="2" t="str" cm="1">
        <f t="array" ref="M43">TRANSPOSE(_xlfn.UNIQUE(_xlfn._xlws.FILTER($G:$G,$F:$F=L43)))</f>
        <v>Sub Family 02</v>
      </c>
      <c r="N43" s="2">
        <v>2</v>
      </c>
    </row>
    <row r="44" spans="1:14">
      <c r="A44" s="14">
        <v>88146</v>
      </c>
      <c r="B44" s="14" t="s">
        <v>206</v>
      </c>
      <c r="C44" s="12" t="s">
        <v>145</v>
      </c>
      <c r="D44" s="15" t="str">
        <f t="shared" si="0"/>
        <v>Advance Hiring - ITS - SUP</v>
      </c>
      <c r="E44" s="12" t="s">
        <v>117</v>
      </c>
      <c r="F44" s="12" t="s">
        <v>117</v>
      </c>
      <c r="G44" s="12" t="s">
        <v>117</v>
      </c>
      <c r="H44" s="12" t="s">
        <v>1025</v>
      </c>
      <c r="I44" s="12" t="s">
        <v>1026</v>
      </c>
      <c r="L44" s="2" t="str">
        <v>Administrative Support</v>
      </c>
      <c r="M44" s="2" t="str" cm="1">
        <f t="array" ref="M44">TRANSPOSE(_xlfn.UNIQUE(_xlfn._xlws.FILTER($G:$G,$F:$F=L44)))</f>
        <v>Sub Family 13</v>
      </c>
      <c r="N44" s="2">
        <v>2</v>
      </c>
    </row>
    <row r="45" spans="1:14">
      <c r="A45" s="14">
        <v>88250</v>
      </c>
      <c r="B45" s="14" t="s">
        <v>916</v>
      </c>
      <c r="C45" s="12" t="s">
        <v>116</v>
      </c>
      <c r="D45" s="15" t="str">
        <f t="shared" si="0"/>
        <v>Advance Hiring DES1 - PRD</v>
      </c>
      <c r="E45" s="12" t="s">
        <v>117</v>
      </c>
      <c r="F45" s="12" t="s">
        <v>117</v>
      </c>
      <c r="G45" s="12" t="s">
        <v>117</v>
      </c>
      <c r="H45" s="12" t="s">
        <v>1025</v>
      </c>
      <c r="I45" s="12" t="s">
        <v>1026</v>
      </c>
      <c r="L45" s="2" t="str">
        <v>Application Development</v>
      </c>
      <c r="M45" s="2" t="str" cm="1">
        <f t="array" ref="M45">TRANSPOSE(_xlfn.UNIQUE(_xlfn._xlws.FILTER($G:$G,$F:$F=L45)))</f>
        <v>GSI, GTI, GSD</v>
      </c>
      <c r="N45" s="2">
        <v>2</v>
      </c>
    </row>
    <row r="46" spans="1:14">
      <c r="A46" s="14">
        <v>12351</v>
      </c>
      <c r="B46" s="14" t="s">
        <v>209</v>
      </c>
      <c r="C46" s="12" t="s">
        <v>133</v>
      </c>
      <c r="D46" s="15" t="str">
        <f t="shared" si="0"/>
        <v>Aetna - CPD/LNCPD - AMG</v>
      </c>
      <c r="E46" s="12" t="s">
        <v>126</v>
      </c>
      <c r="F46" s="12" t="s">
        <v>163</v>
      </c>
      <c r="G46" s="12" t="s">
        <v>164</v>
      </c>
      <c r="H46" s="12" t="s">
        <v>1025</v>
      </c>
      <c r="I46" s="12" t="s">
        <v>1026</v>
      </c>
      <c r="L46" s="2" t="str">
        <v>Application Support</v>
      </c>
      <c r="M46" s="2" t="str" cm="1">
        <f t="array" ref="M46">TRANSPOSE(_xlfn.UNIQUE(_xlfn._xlws.FILTER($G:$G,$F:$F=L46)))</f>
        <v>GSI, GTI, GSD</v>
      </c>
      <c r="N46" s="2">
        <v>2</v>
      </c>
    </row>
    <row r="47" spans="1:14">
      <c r="A47" s="14">
        <v>12351</v>
      </c>
      <c r="B47" s="14" t="s">
        <v>209</v>
      </c>
      <c r="C47" s="12" t="s">
        <v>116</v>
      </c>
      <c r="D47" s="15" t="str">
        <f t="shared" si="0"/>
        <v>Aetna - CPD/LNCPD - PRD</v>
      </c>
      <c r="E47" s="12" t="s">
        <v>126</v>
      </c>
      <c r="F47" s="12" t="s">
        <v>163</v>
      </c>
      <c r="G47" s="12" t="s">
        <v>164</v>
      </c>
      <c r="H47" s="12" t="s">
        <v>1025</v>
      </c>
      <c r="I47" s="12" t="s">
        <v>1026</v>
      </c>
      <c r="L47" s="2" t="str">
        <v>Project Management</v>
      </c>
      <c r="M47" s="2" t="str" cm="1">
        <f t="array" ref="M47">TRANSPOSE(_xlfn.UNIQUE(_xlfn._xlws.FILTER($G:$G,$F:$F=L47)))</f>
        <v>GSI, GTI, GSD</v>
      </c>
      <c r="N47" s="2">
        <v>2</v>
      </c>
    </row>
    <row r="48" spans="1:14">
      <c r="A48" s="14">
        <v>12351</v>
      </c>
      <c r="B48" s="14" t="s">
        <v>209</v>
      </c>
      <c r="C48" s="12" t="s">
        <v>172</v>
      </c>
      <c r="D48" s="15" t="str">
        <f t="shared" si="0"/>
        <v>Aetna - CPD/LNCPD - SME</v>
      </c>
      <c r="E48" s="12" t="s">
        <v>126</v>
      </c>
      <c r="F48" s="12" t="s">
        <v>163</v>
      </c>
      <c r="G48" s="12" t="s">
        <v>164</v>
      </c>
      <c r="H48" s="12" t="s">
        <v>1025</v>
      </c>
      <c r="I48" s="12" t="s">
        <v>1026</v>
      </c>
      <c r="L48" s="2" t="str">
        <v>Network Administration</v>
      </c>
      <c r="M48" s="2" t="str" cm="1">
        <f t="array" ref="M48">TRANSPOSE(_xlfn.UNIQUE(_xlfn._xlws.FILTER($G:$G,$F:$F=L48)))</f>
        <v>GSI, GTI, GSD</v>
      </c>
      <c r="N48" s="2">
        <v>2</v>
      </c>
    </row>
    <row r="49" spans="1:14">
      <c r="A49" s="14">
        <v>12351</v>
      </c>
      <c r="B49" s="14" t="s">
        <v>209</v>
      </c>
      <c r="C49" s="12" t="s">
        <v>180</v>
      </c>
      <c r="D49" s="15" t="str">
        <f t="shared" si="0"/>
        <v>Aetna - CPD/LNCPD - TMG</v>
      </c>
      <c r="E49" s="12" t="s">
        <v>126</v>
      </c>
      <c r="F49" s="12" t="s">
        <v>163</v>
      </c>
      <c r="G49" s="12" t="s">
        <v>164</v>
      </c>
      <c r="H49" s="12" t="s">
        <v>1025</v>
      </c>
      <c r="I49" s="12" t="s">
        <v>1026</v>
      </c>
      <c r="L49" s="2" t="str">
        <v>Help Desk</v>
      </c>
      <c r="M49" s="2" t="str" cm="1">
        <f t="array" ref="M49">TRANSPOSE(_xlfn.UNIQUE(_xlfn._xlws.FILTER($G:$G,$F:$F=L49)))</f>
        <v>GSI, GTI, GSD</v>
      </c>
      <c r="N49" s="2">
        <v>2</v>
      </c>
    </row>
    <row r="50" spans="1:14">
      <c r="A50" s="14">
        <v>12351</v>
      </c>
      <c r="B50" s="14" t="s">
        <v>209</v>
      </c>
      <c r="C50" s="12" t="s">
        <v>185</v>
      </c>
      <c r="D50" s="15" t="str">
        <f t="shared" si="0"/>
        <v>Aetna - CPD/LNCPD - TPS</v>
      </c>
      <c r="E50" s="12" t="s">
        <v>126</v>
      </c>
      <c r="F50" s="12" t="s">
        <v>163</v>
      </c>
      <c r="G50" s="12" t="s">
        <v>164</v>
      </c>
      <c r="H50" s="12" t="s">
        <v>1025</v>
      </c>
      <c r="I50" s="12" t="s">
        <v>1026</v>
      </c>
      <c r="L50" s="2" t="str">
        <v>Talent Management</v>
      </c>
      <c r="M50" s="2" t="str" cm="1">
        <f t="array" ref="M50">TRANSPOSE(_xlfn.UNIQUE(_xlfn._xlws.FILTER($G:$G,$F:$F=L50)))</f>
        <v>Sub Family 02</v>
      </c>
      <c r="N50" s="2">
        <v>2</v>
      </c>
    </row>
    <row r="51" spans="1:14">
      <c r="A51" s="14">
        <v>10876</v>
      </c>
      <c r="B51" s="14" t="s">
        <v>435</v>
      </c>
      <c r="C51" s="12" t="s">
        <v>138</v>
      </c>
      <c r="D51" s="15" t="str">
        <f t="shared" si="0"/>
        <v>Aetna Insurance - BOS</v>
      </c>
      <c r="E51" s="12" t="s">
        <v>126</v>
      </c>
      <c r="F51" s="12" t="s">
        <v>163</v>
      </c>
      <c r="G51" s="12" t="s">
        <v>164</v>
      </c>
      <c r="H51" s="12" t="s">
        <v>1025</v>
      </c>
      <c r="I51" s="12" t="s">
        <v>1026</v>
      </c>
      <c r="L51" s="2">
        <v>0</v>
      </c>
      <c r="M51" s="2" cm="1">
        <f t="array" ref="M51">TRANSPOSE(_xlfn.UNIQUE(_xlfn._xlws.FILTER($G:$G,$F:$F=L51)))</f>
        <v>0</v>
      </c>
    </row>
    <row r="52" spans="1:14">
      <c r="A52" s="14">
        <v>10876</v>
      </c>
      <c r="B52" s="14" t="s">
        <v>435</v>
      </c>
      <c r="C52" s="12" t="s">
        <v>306</v>
      </c>
      <c r="D52" s="15" t="str">
        <f t="shared" si="0"/>
        <v>Aetna Insurance - FAO</v>
      </c>
      <c r="E52" s="12" t="s">
        <v>126</v>
      </c>
      <c r="F52" s="12" t="s">
        <v>163</v>
      </c>
      <c r="G52" s="12" t="s">
        <v>164</v>
      </c>
      <c r="H52" s="12" t="s">
        <v>1025</v>
      </c>
      <c r="I52" s="12" t="s">
        <v>1026</v>
      </c>
    </row>
    <row r="53" spans="1:14">
      <c r="A53" s="14">
        <v>10876</v>
      </c>
      <c r="B53" s="14" t="s">
        <v>435</v>
      </c>
      <c r="C53" s="12" t="s">
        <v>180</v>
      </c>
      <c r="D53" s="15" t="str">
        <f t="shared" si="0"/>
        <v>Aetna Insurance - TMG</v>
      </c>
      <c r="E53" s="12" t="s">
        <v>126</v>
      </c>
      <c r="F53" s="12" t="s">
        <v>163</v>
      </c>
      <c r="G53" s="12" t="s">
        <v>164</v>
      </c>
      <c r="H53" s="12" t="s">
        <v>1025</v>
      </c>
      <c r="I53" s="12" t="s">
        <v>1026</v>
      </c>
    </row>
    <row r="54" spans="1:14">
      <c r="A54" s="14">
        <v>10901</v>
      </c>
      <c r="B54" s="14" t="s">
        <v>444</v>
      </c>
      <c r="C54" s="12" t="s">
        <v>185</v>
      </c>
      <c r="D54" s="15" t="str">
        <f t="shared" si="0"/>
        <v>AFG Back Off and Pol Migration - TPS</v>
      </c>
      <c r="E54" s="12" t="s">
        <v>126</v>
      </c>
      <c r="F54" s="12" t="s">
        <v>163</v>
      </c>
      <c r="G54" s="12" t="s">
        <v>164</v>
      </c>
      <c r="H54" s="12" t="s">
        <v>1025</v>
      </c>
      <c r="I54" s="12" t="s">
        <v>1026</v>
      </c>
    </row>
    <row r="55" spans="1:14">
      <c r="A55" s="14">
        <v>10732</v>
      </c>
      <c r="B55" s="14" t="s">
        <v>216</v>
      </c>
      <c r="C55" s="12" t="s">
        <v>116</v>
      </c>
      <c r="D55" s="15" t="str">
        <f t="shared" si="0"/>
        <v>AFG Support- IT Services - PRD</v>
      </c>
      <c r="E55" s="12" t="s">
        <v>117</v>
      </c>
      <c r="F55" s="12" t="s">
        <v>117</v>
      </c>
      <c r="G55" s="12" t="s">
        <v>117</v>
      </c>
      <c r="H55" s="12" t="s">
        <v>1025</v>
      </c>
      <c r="I55" s="12" t="s">
        <v>1026</v>
      </c>
    </row>
    <row r="56" spans="1:14">
      <c r="A56" s="14">
        <v>10732</v>
      </c>
      <c r="B56" s="14" t="s">
        <v>216</v>
      </c>
      <c r="C56" s="12" t="s">
        <v>145</v>
      </c>
      <c r="D56" s="15" t="str">
        <f t="shared" si="0"/>
        <v>AFG Support- IT Services - SUP</v>
      </c>
      <c r="E56" s="12" t="s">
        <v>117</v>
      </c>
      <c r="F56" s="12" t="s">
        <v>117</v>
      </c>
      <c r="G56" s="12" t="s">
        <v>117</v>
      </c>
      <c r="H56" s="12" t="s">
        <v>1025</v>
      </c>
      <c r="I56" s="12" t="s">
        <v>1026</v>
      </c>
    </row>
    <row r="57" spans="1:14">
      <c r="A57" s="14">
        <v>18065</v>
      </c>
      <c r="B57" s="14" t="s">
        <v>628</v>
      </c>
      <c r="C57" s="12" t="s">
        <v>116</v>
      </c>
      <c r="D57" s="15" t="str">
        <f t="shared" si="0"/>
        <v>AHL UW Index - PRD</v>
      </c>
      <c r="E57" s="12" t="s">
        <v>126</v>
      </c>
      <c r="F57" s="12" t="s">
        <v>163</v>
      </c>
      <c r="G57" s="12" t="s">
        <v>164</v>
      </c>
      <c r="H57" s="12" t="s">
        <v>1025</v>
      </c>
      <c r="I57" s="12" t="s">
        <v>1026</v>
      </c>
    </row>
    <row r="58" spans="1:14">
      <c r="A58" s="14">
        <v>18065</v>
      </c>
      <c r="B58" s="14" t="s">
        <v>628</v>
      </c>
      <c r="C58" s="12" t="s">
        <v>185</v>
      </c>
      <c r="D58" s="15" t="str">
        <f t="shared" si="0"/>
        <v>AHL UW Index - TPS</v>
      </c>
      <c r="E58" s="12" t="s">
        <v>126</v>
      </c>
      <c r="F58" s="12" t="s">
        <v>163</v>
      </c>
      <c r="G58" s="12" t="s">
        <v>164</v>
      </c>
      <c r="H58" s="12" t="s">
        <v>1025</v>
      </c>
      <c r="I58" s="12" t="s">
        <v>1026</v>
      </c>
    </row>
    <row r="59" spans="1:14">
      <c r="A59" s="14">
        <v>82016</v>
      </c>
      <c r="B59" s="14" t="s">
        <v>871</v>
      </c>
      <c r="C59" s="12" t="s">
        <v>198</v>
      </c>
      <c r="D59" s="15" t="str">
        <f t="shared" si="0"/>
        <v>AI Center of Excellence - TEC</v>
      </c>
      <c r="E59" s="12" t="s">
        <v>104</v>
      </c>
      <c r="F59" s="12" t="s">
        <v>117</v>
      </c>
      <c r="G59" s="12" t="s">
        <v>117</v>
      </c>
      <c r="H59" s="12" t="s">
        <v>1025</v>
      </c>
      <c r="I59" s="12" t="s">
        <v>1026</v>
      </c>
    </row>
    <row r="60" spans="1:14">
      <c r="A60" s="14">
        <v>10643</v>
      </c>
      <c r="B60" s="14" t="s">
        <v>281</v>
      </c>
      <c r="C60" s="12" t="s">
        <v>116</v>
      </c>
      <c r="D60" s="15" t="str">
        <f t="shared" si="0"/>
        <v>Air Europa FDS - PRD</v>
      </c>
      <c r="E60" s="12" t="s">
        <v>126</v>
      </c>
      <c r="F60" s="12" t="s">
        <v>163</v>
      </c>
      <c r="G60" s="12" t="s">
        <v>164</v>
      </c>
      <c r="H60" s="12" t="s">
        <v>1025</v>
      </c>
      <c r="I60" s="12" t="s">
        <v>1026</v>
      </c>
    </row>
    <row r="61" spans="1:14">
      <c r="A61" s="14">
        <v>10643</v>
      </c>
      <c r="B61" s="14" t="s">
        <v>281</v>
      </c>
      <c r="C61" s="12" t="s">
        <v>180</v>
      </c>
      <c r="D61" s="15" t="str">
        <f t="shared" si="0"/>
        <v>Air Europa FDS - TMG</v>
      </c>
      <c r="E61" s="12" t="s">
        <v>126</v>
      </c>
      <c r="F61" s="12" t="s">
        <v>163</v>
      </c>
      <c r="G61" s="12" t="s">
        <v>164</v>
      </c>
      <c r="H61" s="12" t="s">
        <v>1025</v>
      </c>
      <c r="I61" s="12" t="s">
        <v>1026</v>
      </c>
    </row>
    <row r="62" spans="1:14">
      <c r="A62" s="14">
        <v>10643</v>
      </c>
      <c r="B62" s="14" t="s">
        <v>281</v>
      </c>
      <c r="C62" s="12" t="s">
        <v>185</v>
      </c>
      <c r="D62" s="15" t="str">
        <f t="shared" si="0"/>
        <v>Air Europa FDS - TPS</v>
      </c>
      <c r="E62" s="12" t="s">
        <v>126</v>
      </c>
      <c r="F62" s="12" t="s">
        <v>163</v>
      </c>
      <c r="G62" s="12" t="s">
        <v>164</v>
      </c>
      <c r="H62" s="12" t="s">
        <v>1025</v>
      </c>
      <c r="I62" s="12" t="s">
        <v>1026</v>
      </c>
    </row>
    <row r="63" spans="1:14">
      <c r="A63" s="14">
        <v>10902</v>
      </c>
      <c r="B63" s="14" t="s">
        <v>446</v>
      </c>
      <c r="C63" s="12" t="s">
        <v>116</v>
      </c>
      <c r="D63" s="15" t="str">
        <f t="shared" si="0"/>
        <v>Air Niugini India - PRD</v>
      </c>
      <c r="E63" s="12" t="s">
        <v>104</v>
      </c>
      <c r="F63" s="12" t="s">
        <v>117</v>
      </c>
      <c r="G63" s="12" t="s">
        <v>117</v>
      </c>
      <c r="H63" s="12" t="s">
        <v>1025</v>
      </c>
      <c r="I63" s="12" t="s">
        <v>1026</v>
      </c>
    </row>
    <row r="64" spans="1:14">
      <c r="A64" s="14">
        <v>10902</v>
      </c>
      <c r="B64" s="14" t="s">
        <v>446</v>
      </c>
      <c r="C64" s="12" t="s">
        <v>134</v>
      </c>
      <c r="D64" s="15" t="str">
        <f t="shared" si="0"/>
        <v>Air Niugini India - SEC</v>
      </c>
      <c r="E64" s="12" t="s">
        <v>104</v>
      </c>
      <c r="F64" s="12" t="s">
        <v>117</v>
      </c>
      <c r="G64" s="12" t="s">
        <v>117</v>
      </c>
      <c r="H64" s="12" t="s">
        <v>1025</v>
      </c>
      <c r="I64" s="12" t="s">
        <v>1026</v>
      </c>
    </row>
    <row r="65" spans="1:9">
      <c r="A65" s="14">
        <v>10119</v>
      </c>
      <c r="B65" s="14" t="s">
        <v>229</v>
      </c>
      <c r="C65" s="12" t="s">
        <v>150</v>
      </c>
      <c r="D65" s="15" t="str">
        <f t="shared" si="0"/>
        <v>Air Niugini_ARM - CCS</v>
      </c>
      <c r="E65" s="12" t="s">
        <v>126</v>
      </c>
      <c r="F65" s="12" t="s">
        <v>163</v>
      </c>
      <c r="G65" s="12" t="s">
        <v>164</v>
      </c>
      <c r="H65" s="12" t="s">
        <v>1025</v>
      </c>
      <c r="I65" s="12" t="s">
        <v>1026</v>
      </c>
    </row>
    <row r="66" spans="1:9">
      <c r="A66" s="14">
        <v>10016</v>
      </c>
      <c r="B66" s="14" t="s">
        <v>157</v>
      </c>
      <c r="C66" s="12" t="s">
        <v>150</v>
      </c>
      <c r="D66" s="15" t="str">
        <f t="shared" ref="D66:D129" si="1">B66&amp;" - "&amp;C66</f>
        <v>Air Niugini_Audit. - CCS</v>
      </c>
      <c r="E66" s="12" t="s">
        <v>126</v>
      </c>
      <c r="F66" s="12" t="s">
        <v>163</v>
      </c>
      <c r="G66" s="12" t="s">
        <v>164</v>
      </c>
      <c r="H66" s="12" t="s">
        <v>1025</v>
      </c>
      <c r="I66" s="12" t="s">
        <v>1026</v>
      </c>
    </row>
    <row r="67" spans="1:9">
      <c r="A67" s="14">
        <v>10099</v>
      </c>
      <c r="B67" s="14" t="s">
        <v>213</v>
      </c>
      <c r="C67" s="12" t="s">
        <v>150</v>
      </c>
      <c r="D67" s="15" t="str">
        <f t="shared" si="1"/>
        <v>Airbnb Aircover Insurance - CCS</v>
      </c>
      <c r="E67" s="12" t="s">
        <v>126</v>
      </c>
      <c r="F67" s="12" t="s">
        <v>127</v>
      </c>
      <c r="G67" s="12" t="s">
        <v>128</v>
      </c>
      <c r="H67" s="12" t="s">
        <v>1025</v>
      </c>
      <c r="I67" s="12" t="s">
        <v>1026</v>
      </c>
    </row>
    <row r="68" spans="1:9">
      <c r="A68" s="14">
        <v>10099</v>
      </c>
      <c r="B68" s="14" t="s">
        <v>213</v>
      </c>
      <c r="C68" s="12" t="s">
        <v>150</v>
      </c>
      <c r="D68" s="15" t="str">
        <f t="shared" si="1"/>
        <v>Airbnb Aircover Insurance - CCS</v>
      </c>
      <c r="E68" s="12" t="s">
        <v>126</v>
      </c>
      <c r="F68" s="12" t="s">
        <v>127</v>
      </c>
      <c r="G68" s="12" t="s">
        <v>128</v>
      </c>
      <c r="H68" s="12" t="s">
        <v>1025</v>
      </c>
      <c r="I68" s="12" t="s">
        <v>1026</v>
      </c>
    </row>
    <row r="69" spans="1:9">
      <c r="A69" s="14">
        <v>28086</v>
      </c>
      <c r="B69" s="14" t="s">
        <v>656</v>
      </c>
      <c r="C69" s="12" t="s">
        <v>129</v>
      </c>
      <c r="D69" s="15" t="str">
        <f t="shared" si="1"/>
        <v>Airbnb CS COL - MGT</v>
      </c>
      <c r="E69" s="12" t="s">
        <v>126</v>
      </c>
      <c r="F69" s="12" t="s">
        <v>127</v>
      </c>
      <c r="G69" s="12" t="s">
        <v>128</v>
      </c>
      <c r="H69" s="12" t="s">
        <v>1025</v>
      </c>
      <c r="I69" s="12" t="s">
        <v>1026</v>
      </c>
    </row>
    <row r="70" spans="1:9">
      <c r="A70" s="14">
        <v>10789</v>
      </c>
      <c r="B70" s="14" t="s">
        <v>219</v>
      </c>
      <c r="C70" s="12" t="s">
        <v>224</v>
      </c>
      <c r="D70" s="15" t="str">
        <f t="shared" si="1"/>
        <v>AirBnb India - ACM</v>
      </c>
      <c r="E70" s="12" t="s">
        <v>126</v>
      </c>
      <c r="F70" s="12" t="s">
        <v>127</v>
      </c>
      <c r="G70" s="12" t="s">
        <v>128</v>
      </c>
      <c r="H70" s="12" t="s">
        <v>1025</v>
      </c>
      <c r="I70" s="12" t="s">
        <v>1026</v>
      </c>
    </row>
    <row r="71" spans="1:9">
      <c r="A71" s="14">
        <v>10789</v>
      </c>
      <c r="B71" s="14" t="s">
        <v>219</v>
      </c>
      <c r="C71" s="12" t="s">
        <v>133</v>
      </c>
      <c r="D71" s="15" t="str">
        <f t="shared" si="1"/>
        <v>AirBnb India - AMG</v>
      </c>
      <c r="E71" s="12" t="s">
        <v>126</v>
      </c>
      <c r="F71" s="12" t="s">
        <v>127</v>
      </c>
      <c r="G71" s="12" t="s">
        <v>128</v>
      </c>
      <c r="H71" s="12" t="s">
        <v>1025</v>
      </c>
      <c r="I71" s="12" t="s">
        <v>1026</v>
      </c>
    </row>
    <row r="72" spans="1:9">
      <c r="A72" s="14">
        <v>10789</v>
      </c>
      <c r="B72" s="14" t="s">
        <v>219</v>
      </c>
      <c r="C72" s="12" t="s">
        <v>150</v>
      </c>
      <c r="D72" s="15" t="str">
        <f t="shared" si="1"/>
        <v>AirBnb India - CCS</v>
      </c>
      <c r="E72" s="12" t="s">
        <v>126</v>
      </c>
      <c r="F72" s="12" t="s">
        <v>127</v>
      </c>
      <c r="G72" s="12" t="s">
        <v>128</v>
      </c>
      <c r="H72" s="12" t="s">
        <v>1025</v>
      </c>
      <c r="I72" s="12" t="s">
        <v>1026</v>
      </c>
    </row>
    <row r="73" spans="1:9">
      <c r="A73" s="14">
        <v>10789</v>
      </c>
      <c r="B73" s="14" t="s">
        <v>219</v>
      </c>
      <c r="C73" s="12" t="s">
        <v>129</v>
      </c>
      <c r="D73" s="15" t="str">
        <f t="shared" si="1"/>
        <v>AirBnb India - MGT</v>
      </c>
      <c r="E73" s="12" t="s">
        <v>126</v>
      </c>
      <c r="F73" s="12" t="s">
        <v>127</v>
      </c>
      <c r="G73" s="12" t="s">
        <v>128</v>
      </c>
      <c r="H73" s="12" t="s">
        <v>1025</v>
      </c>
      <c r="I73" s="12" t="s">
        <v>1026</v>
      </c>
    </row>
    <row r="74" spans="1:9">
      <c r="A74" s="14">
        <v>10789</v>
      </c>
      <c r="B74" s="14" t="s">
        <v>219</v>
      </c>
      <c r="C74" s="12" t="s">
        <v>177</v>
      </c>
      <c r="D74" s="15" t="str">
        <f t="shared" si="1"/>
        <v>AirBnb India - OPS</v>
      </c>
      <c r="E74" s="12" t="s">
        <v>112</v>
      </c>
      <c r="F74" s="12" t="s">
        <v>867</v>
      </c>
      <c r="G74" s="12" t="s">
        <v>114</v>
      </c>
      <c r="H74" s="12" t="s">
        <v>1025</v>
      </c>
      <c r="I74" s="12" t="s">
        <v>1026</v>
      </c>
    </row>
    <row r="75" spans="1:9">
      <c r="A75" s="14">
        <v>10789</v>
      </c>
      <c r="B75" s="14" t="s">
        <v>219</v>
      </c>
      <c r="C75" s="12" t="s">
        <v>116</v>
      </c>
      <c r="D75" s="15" t="str">
        <f t="shared" si="1"/>
        <v>AirBnb India - PRD</v>
      </c>
      <c r="E75" s="12" t="s">
        <v>126</v>
      </c>
      <c r="F75" s="12" t="s">
        <v>127</v>
      </c>
      <c r="G75" s="12" t="s">
        <v>128</v>
      </c>
      <c r="H75" s="12" t="s">
        <v>1025</v>
      </c>
      <c r="I75" s="12" t="s">
        <v>1026</v>
      </c>
    </row>
    <row r="76" spans="1:9">
      <c r="A76" s="14">
        <v>10789</v>
      </c>
      <c r="B76" s="14" t="s">
        <v>219</v>
      </c>
      <c r="C76" s="12" t="s">
        <v>111</v>
      </c>
      <c r="D76" s="15" t="str">
        <f t="shared" si="1"/>
        <v>AirBnb India - QLY</v>
      </c>
      <c r="E76" s="12" t="s">
        <v>112</v>
      </c>
      <c r="F76" s="12" t="s">
        <v>113</v>
      </c>
      <c r="G76" s="12" t="s">
        <v>114</v>
      </c>
      <c r="H76" s="12" t="s">
        <v>1025</v>
      </c>
      <c r="I76" s="12" t="s">
        <v>1026</v>
      </c>
    </row>
    <row r="77" spans="1:9">
      <c r="A77" s="14">
        <v>10789</v>
      </c>
      <c r="B77" s="14" t="s">
        <v>219</v>
      </c>
      <c r="C77" s="12" t="s">
        <v>172</v>
      </c>
      <c r="D77" s="15" t="str">
        <f t="shared" si="1"/>
        <v>AirBnb India - SME</v>
      </c>
      <c r="E77" s="12" t="s">
        <v>126</v>
      </c>
      <c r="F77" s="12" t="s">
        <v>127</v>
      </c>
      <c r="G77" s="12" t="s">
        <v>128</v>
      </c>
      <c r="H77" s="12" t="s">
        <v>1025</v>
      </c>
      <c r="I77" s="12" t="s">
        <v>1026</v>
      </c>
    </row>
    <row r="78" spans="1:9">
      <c r="A78" s="14">
        <v>10789</v>
      </c>
      <c r="B78" s="14" t="s">
        <v>219</v>
      </c>
      <c r="C78" s="12" t="s">
        <v>139</v>
      </c>
      <c r="D78" s="15" t="str">
        <f t="shared" si="1"/>
        <v>AirBnb India - SMGT</v>
      </c>
      <c r="E78" s="12" t="s">
        <v>126</v>
      </c>
      <c r="F78" s="12" t="s">
        <v>127</v>
      </c>
      <c r="G78" s="12" t="s">
        <v>128</v>
      </c>
      <c r="H78" s="12" t="s">
        <v>1025</v>
      </c>
      <c r="I78" s="12" t="s">
        <v>1026</v>
      </c>
    </row>
    <row r="79" spans="1:9">
      <c r="A79" s="14">
        <v>10789</v>
      </c>
      <c r="B79" s="14" t="s">
        <v>219</v>
      </c>
      <c r="C79" s="12" t="s">
        <v>145</v>
      </c>
      <c r="D79" s="15" t="str">
        <f t="shared" si="1"/>
        <v>AirBnb India - SUP</v>
      </c>
      <c r="E79" s="12" t="s">
        <v>126</v>
      </c>
      <c r="F79" s="12" t="s">
        <v>127</v>
      </c>
      <c r="G79" s="12" t="s">
        <v>128</v>
      </c>
      <c r="H79" s="12" t="s">
        <v>1025</v>
      </c>
      <c r="I79" s="12" t="s">
        <v>1026</v>
      </c>
    </row>
    <row r="80" spans="1:9">
      <c r="A80" s="14">
        <v>10789</v>
      </c>
      <c r="B80" s="14" t="s">
        <v>219</v>
      </c>
      <c r="C80" s="12" t="s">
        <v>180</v>
      </c>
      <c r="D80" s="15" t="str">
        <f t="shared" si="1"/>
        <v>AirBnb India - TMG</v>
      </c>
      <c r="E80" s="12" t="s">
        <v>126</v>
      </c>
      <c r="F80" s="12" t="s">
        <v>127</v>
      </c>
      <c r="G80" s="12" t="s">
        <v>128</v>
      </c>
      <c r="H80" s="12" t="s">
        <v>1025</v>
      </c>
      <c r="I80" s="12" t="s">
        <v>1026</v>
      </c>
    </row>
    <row r="81" spans="1:9">
      <c r="A81" s="14">
        <v>10789</v>
      </c>
      <c r="B81" s="14" t="s">
        <v>219</v>
      </c>
      <c r="C81" s="12" t="s">
        <v>203</v>
      </c>
      <c r="D81" s="15" t="str">
        <f t="shared" si="1"/>
        <v>AirBnb India - TRG</v>
      </c>
      <c r="E81" s="12" t="s">
        <v>112</v>
      </c>
      <c r="F81" s="12" t="s">
        <v>204</v>
      </c>
      <c r="G81" s="12" t="s">
        <v>205</v>
      </c>
      <c r="H81" s="12" t="s">
        <v>1025</v>
      </c>
      <c r="I81" s="12" t="s">
        <v>1026</v>
      </c>
    </row>
    <row r="82" spans="1:9">
      <c r="A82" s="14">
        <v>10789</v>
      </c>
      <c r="B82" s="14" t="s">
        <v>219</v>
      </c>
      <c r="C82" s="12" t="s">
        <v>546</v>
      </c>
      <c r="D82" s="15" t="str">
        <f t="shared" si="1"/>
        <v>AirBnb India - TRN</v>
      </c>
      <c r="E82" s="12" t="s">
        <v>112</v>
      </c>
      <c r="F82" s="12" t="s">
        <v>204</v>
      </c>
      <c r="G82" s="12" t="s">
        <v>205</v>
      </c>
      <c r="H82" s="12" t="s">
        <v>1025</v>
      </c>
      <c r="I82" s="12" t="s">
        <v>1026</v>
      </c>
    </row>
    <row r="83" spans="1:9">
      <c r="A83" s="14">
        <v>10789</v>
      </c>
      <c r="B83" s="14" t="s">
        <v>219</v>
      </c>
      <c r="C83" s="12" t="s">
        <v>208</v>
      </c>
      <c r="D83" s="15" t="str">
        <f t="shared" si="1"/>
        <v>AirBnb India - TTR</v>
      </c>
      <c r="E83" s="12" t="s">
        <v>112</v>
      </c>
      <c r="F83" s="12" t="s">
        <v>204</v>
      </c>
      <c r="G83" s="12" t="s">
        <v>205</v>
      </c>
      <c r="H83" s="12" t="s">
        <v>1025</v>
      </c>
      <c r="I83" s="12" t="s">
        <v>1026</v>
      </c>
    </row>
    <row r="84" spans="1:9">
      <c r="A84" s="14">
        <v>51055</v>
      </c>
      <c r="B84" s="14" t="s">
        <v>693</v>
      </c>
      <c r="C84" s="12" t="s">
        <v>116</v>
      </c>
      <c r="D84" s="15" t="str">
        <f t="shared" si="1"/>
        <v>AJG_FB_Support-Maintenance - PRD</v>
      </c>
      <c r="E84" s="12" t="s">
        <v>117</v>
      </c>
      <c r="F84" s="12" t="s">
        <v>117</v>
      </c>
      <c r="G84" s="12" t="s">
        <v>117</v>
      </c>
      <c r="H84" s="12" t="s">
        <v>1025</v>
      </c>
      <c r="I84" s="12" t="s">
        <v>1026</v>
      </c>
    </row>
    <row r="85" spans="1:9">
      <c r="A85" s="14">
        <v>51056</v>
      </c>
      <c r="B85" s="14" t="s">
        <v>221</v>
      </c>
      <c r="C85" s="12" t="s">
        <v>145</v>
      </c>
      <c r="D85" s="15" t="str">
        <f t="shared" si="1"/>
        <v>AJG-InframanagedServices - SUP</v>
      </c>
      <c r="E85" s="12" t="s">
        <v>117</v>
      </c>
      <c r="F85" s="12" t="s">
        <v>117</v>
      </c>
      <c r="G85" s="12" t="s">
        <v>117</v>
      </c>
      <c r="H85" s="12" t="s">
        <v>1025</v>
      </c>
      <c r="I85" s="12" t="s">
        <v>1026</v>
      </c>
    </row>
    <row r="86" spans="1:9">
      <c r="A86" s="14">
        <v>10693</v>
      </c>
      <c r="B86" s="14" t="s">
        <v>313</v>
      </c>
      <c r="C86" s="12" t="s">
        <v>198</v>
      </c>
      <c r="D86" s="15" t="str">
        <f t="shared" si="1"/>
        <v>Allianz_ Environment Resource - TEC</v>
      </c>
      <c r="E86" s="12" t="s">
        <v>126</v>
      </c>
      <c r="F86" s="12" t="s">
        <v>360</v>
      </c>
      <c r="G86" s="12" t="s">
        <v>361</v>
      </c>
      <c r="H86" s="12" t="s">
        <v>1025</v>
      </c>
      <c r="I86" s="12" t="s">
        <v>1026</v>
      </c>
    </row>
    <row r="87" spans="1:9">
      <c r="A87" s="14">
        <v>12020</v>
      </c>
      <c r="B87" s="14" t="s">
        <v>223</v>
      </c>
      <c r="C87" s="12" t="s">
        <v>224</v>
      </c>
      <c r="D87" s="15" t="str">
        <f t="shared" si="1"/>
        <v>Allscripts _US MSA - ACM</v>
      </c>
      <c r="E87" s="12" t="s">
        <v>117</v>
      </c>
      <c r="F87" s="12" t="s">
        <v>117</v>
      </c>
      <c r="G87" s="12" t="s">
        <v>117</v>
      </c>
      <c r="H87" s="12" t="s">
        <v>1025</v>
      </c>
      <c r="I87" s="12" t="s">
        <v>1026</v>
      </c>
    </row>
    <row r="88" spans="1:9">
      <c r="A88" s="14">
        <v>12020</v>
      </c>
      <c r="B88" s="14" t="s">
        <v>223</v>
      </c>
      <c r="C88" s="12" t="s">
        <v>133</v>
      </c>
      <c r="D88" s="15" t="str">
        <f t="shared" si="1"/>
        <v>Allscripts _US MSA - AMG</v>
      </c>
      <c r="E88" s="12" t="s">
        <v>117</v>
      </c>
      <c r="F88" s="12" t="s">
        <v>117</v>
      </c>
      <c r="G88" s="12" t="s">
        <v>117</v>
      </c>
      <c r="H88" s="12" t="s">
        <v>1025</v>
      </c>
      <c r="I88" s="12" t="s">
        <v>1026</v>
      </c>
    </row>
    <row r="89" spans="1:9">
      <c r="A89" s="14">
        <v>12020</v>
      </c>
      <c r="B89" s="14" t="s">
        <v>223</v>
      </c>
      <c r="C89" s="12" t="s">
        <v>227</v>
      </c>
      <c r="D89" s="15" t="str">
        <f t="shared" si="1"/>
        <v>Allscripts _US MSA - INT</v>
      </c>
      <c r="E89" s="12" t="s">
        <v>117</v>
      </c>
      <c r="F89" s="12" t="s">
        <v>117</v>
      </c>
      <c r="G89" s="12" t="s">
        <v>117</v>
      </c>
      <c r="H89" s="12" t="s">
        <v>1025</v>
      </c>
      <c r="I89" s="12" t="s">
        <v>1026</v>
      </c>
    </row>
    <row r="90" spans="1:9">
      <c r="A90" s="14">
        <v>12020</v>
      </c>
      <c r="B90" s="14" t="s">
        <v>223</v>
      </c>
      <c r="C90" s="12" t="s">
        <v>129</v>
      </c>
      <c r="D90" s="15" t="str">
        <f t="shared" si="1"/>
        <v>Allscripts _US MSA - MGT</v>
      </c>
      <c r="E90" s="12" t="s">
        <v>117</v>
      </c>
      <c r="F90" s="12" t="s">
        <v>117</v>
      </c>
      <c r="G90" s="12" t="s">
        <v>117</v>
      </c>
      <c r="H90" s="12" t="s">
        <v>1025</v>
      </c>
      <c r="I90" s="12" t="s">
        <v>1026</v>
      </c>
    </row>
    <row r="91" spans="1:9">
      <c r="A91" s="14">
        <v>12020</v>
      </c>
      <c r="B91" s="14" t="s">
        <v>223</v>
      </c>
      <c r="C91" s="12" t="s">
        <v>116</v>
      </c>
      <c r="D91" s="15" t="str">
        <f t="shared" si="1"/>
        <v>Allscripts _US MSA - PRD</v>
      </c>
      <c r="E91" s="12" t="s">
        <v>117</v>
      </c>
      <c r="F91" s="12" t="s">
        <v>117</v>
      </c>
      <c r="G91" s="12" t="s">
        <v>117</v>
      </c>
      <c r="H91" s="12" t="s">
        <v>1025</v>
      </c>
      <c r="I91" s="12" t="s">
        <v>1026</v>
      </c>
    </row>
    <row r="92" spans="1:9">
      <c r="A92" s="14">
        <v>12020</v>
      </c>
      <c r="B92" s="14" t="s">
        <v>223</v>
      </c>
      <c r="C92" s="12" t="s">
        <v>230</v>
      </c>
      <c r="D92" s="15" t="str">
        <f t="shared" si="1"/>
        <v>Allscripts _US MSA - PRSP</v>
      </c>
      <c r="E92" s="12" t="s">
        <v>117</v>
      </c>
      <c r="F92" s="12" t="s">
        <v>117</v>
      </c>
      <c r="G92" s="12" t="s">
        <v>117</v>
      </c>
      <c r="H92" s="12" t="s">
        <v>1025</v>
      </c>
      <c r="I92" s="12" t="s">
        <v>1026</v>
      </c>
    </row>
    <row r="93" spans="1:9">
      <c r="A93" s="14">
        <v>12020</v>
      </c>
      <c r="B93" s="14" t="s">
        <v>223</v>
      </c>
      <c r="C93" s="12" t="s">
        <v>172</v>
      </c>
      <c r="D93" s="15" t="str">
        <f t="shared" si="1"/>
        <v>Allscripts _US MSA - SME</v>
      </c>
      <c r="E93" s="12" t="s">
        <v>117</v>
      </c>
      <c r="F93" s="12" t="s">
        <v>117</v>
      </c>
      <c r="G93" s="12" t="s">
        <v>117</v>
      </c>
      <c r="H93" s="12" t="s">
        <v>1025</v>
      </c>
      <c r="I93" s="12" t="s">
        <v>1026</v>
      </c>
    </row>
    <row r="94" spans="1:9">
      <c r="A94" s="14">
        <v>12020</v>
      </c>
      <c r="B94" s="14" t="s">
        <v>223</v>
      </c>
      <c r="C94" s="12" t="s">
        <v>139</v>
      </c>
      <c r="D94" s="15" t="str">
        <f t="shared" si="1"/>
        <v>Allscripts _US MSA - SMGT</v>
      </c>
      <c r="E94" s="12" t="s">
        <v>117</v>
      </c>
      <c r="F94" s="12" t="s">
        <v>117</v>
      </c>
      <c r="G94" s="12" t="s">
        <v>117</v>
      </c>
      <c r="H94" s="12" t="s">
        <v>1025</v>
      </c>
      <c r="I94" s="12" t="s">
        <v>1026</v>
      </c>
    </row>
    <row r="95" spans="1:9">
      <c r="A95" s="14">
        <v>12020</v>
      </c>
      <c r="B95" s="14" t="s">
        <v>223</v>
      </c>
      <c r="C95" s="12" t="s">
        <v>145</v>
      </c>
      <c r="D95" s="15" t="str">
        <f t="shared" si="1"/>
        <v>Allscripts _US MSA - SUP</v>
      </c>
      <c r="E95" s="12" t="s">
        <v>117</v>
      </c>
      <c r="F95" s="12" t="s">
        <v>117</v>
      </c>
      <c r="G95" s="12" t="s">
        <v>117</v>
      </c>
      <c r="H95" s="12" t="s">
        <v>1025</v>
      </c>
      <c r="I95" s="12" t="s">
        <v>1026</v>
      </c>
    </row>
    <row r="96" spans="1:9">
      <c r="A96" s="14">
        <v>12020</v>
      </c>
      <c r="B96" s="14" t="s">
        <v>223</v>
      </c>
      <c r="C96" s="12" t="s">
        <v>185</v>
      </c>
      <c r="D96" s="15" t="str">
        <f t="shared" si="1"/>
        <v>Allscripts _US MSA - TPS</v>
      </c>
      <c r="E96" s="12" t="s">
        <v>117</v>
      </c>
      <c r="F96" s="12" t="s">
        <v>117</v>
      </c>
      <c r="G96" s="12" t="s">
        <v>117</v>
      </c>
      <c r="H96" s="12" t="s">
        <v>1025</v>
      </c>
      <c r="I96" s="12" t="s">
        <v>1026</v>
      </c>
    </row>
    <row r="97" spans="1:9">
      <c r="A97" s="14">
        <v>20611</v>
      </c>
      <c r="B97" s="14" t="s">
        <v>639</v>
      </c>
      <c r="C97" s="12" t="s">
        <v>116</v>
      </c>
      <c r="D97" s="15" t="str">
        <f t="shared" si="1"/>
        <v>Ally Analytics reporting US - PRD</v>
      </c>
      <c r="E97" s="12" t="s">
        <v>126</v>
      </c>
      <c r="F97" s="12" t="s">
        <v>890</v>
      </c>
      <c r="G97" s="12" t="s">
        <v>890</v>
      </c>
      <c r="H97" s="12" t="s">
        <v>1025</v>
      </c>
      <c r="I97" s="12" t="s">
        <v>1026</v>
      </c>
    </row>
    <row r="98" spans="1:9">
      <c r="A98" s="14">
        <v>20611</v>
      </c>
      <c r="B98" s="14" t="s">
        <v>639</v>
      </c>
      <c r="C98" s="12" t="s">
        <v>145</v>
      </c>
      <c r="D98" s="15" t="str">
        <f t="shared" si="1"/>
        <v>Ally Analytics reporting US - SUP</v>
      </c>
      <c r="E98" s="12" t="s">
        <v>126</v>
      </c>
      <c r="F98" s="12" t="s">
        <v>890</v>
      </c>
      <c r="G98" s="12" t="s">
        <v>890</v>
      </c>
      <c r="H98" s="12" t="s">
        <v>1025</v>
      </c>
      <c r="I98" s="12" t="s">
        <v>1026</v>
      </c>
    </row>
    <row r="99" spans="1:9">
      <c r="A99" s="14">
        <v>10970</v>
      </c>
      <c r="B99" s="14" t="s">
        <v>495</v>
      </c>
      <c r="C99" s="12" t="s">
        <v>138</v>
      </c>
      <c r="D99" s="15" t="str">
        <f t="shared" si="1"/>
        <v>Ally Financial - BOS</v>
      </c>
      <c r="E99" s="12" t="s">
        <v>126</v>
      </c>
      <c r="F99" s="12" t="s">
        <v>163</v>
      </c>
      <c r="G99" s="12" t="s">
        <v>164</v>
      </c>
      <c r="H99" s="12" t="s">
        <v>1025</v>
      </c>
      <c r="I99" s="12" t="s">
        <v>1026</v>
      </c>
    </row>
    <row r="100" spans="1:9">
      <c r="A100" s="14">
        <v>10970</v>
      </c>
      <c r="B100" s="14" t="s">
        <v>495</v>
      </c>
      <c r="C100" s="12" t="s">
        <v>306</v>
      </c>
      <c r="D100" s="15" t="str">
        <f t="shared" si="1"/>
        <v>Ally Financial - FAO</v>
      </c>
      <c r="E100" s="12" t="s">
        <v>126</v>
      </c>
      <c r="F100" s="12" t="s">
        <v>163</v>
      </c>
      <c r="G100" s="12" t="s">
        <v>164</v>
      </c>
      <c r="H100" s="12" t="s">
        <v>1025</v>
      </c>
      <c r="I100" s="12" t="s">
        <v>1026</v>
      </c>
    </row>
    <row r="101" spans="1:9">
      <c r="A101" s="14">
        <v>10970</v>
      </c>
      <c r="B101" s="14" t="s">
        <v>495</v>
      </c>
      <c r="C101" s="12" t="s">
        <v>262</v>
      </c>
      <c r="D101" s="15" t="str">
        <f t="shared" si="1"/>
        <v>Ally Financial - GSI</v>
      </c>
      <c r="E101" s="12" t="s">
        <v>126</v>
      </c>
      <c r="F101" s="12" t="s">
        <v>163</v>
      </c>
      <c r="G101" s="12" t="s">
        <v>164</v>
      </c>
      <c r="H101" s="12" t="s">
        <v>1025</v>
      </c>
      <c r="I101" s="12" t="s">
        <v>1026</v>
      </c>
    </row>
    <row r="102" spans="1:9">
      <c r="A102" s="14">
        <v>10970</v>
      </c>
      <c r="B102" s="14" t="s">
        <v>495</v>
      </c>
      <c r="C102" s="12" t="s">
        <v>116</v>
      </c>
      <c r="D102" s="15" t="str">
        <f t="shared" si="1"/>
        <v>Ally Financial - PRD</v>
      </c>
      <c r="E102" s="12" t="s">
        <v>126</v>
      </c>
      <c r="F102" s="12" t="s">
        <v>163</v>
      </c>
      <c r="G102" s="12" t="s">
        <v>164</v>
      </c>
      <c r="H102" s="12" t="s">
        <v>1025</v>
      </c>
      <c r="I102" s="12" t="s">
        <v>1026</v>
      </c>
    </row>
    <row r="103" spans="1:9">
      <c r="A103" s="14">
        <v>10970</v>
      </c>
      <c r="B103" s="14" t="s">
        <v>495</v>
      </c>
      <c r="C103" s="12" t="s">
        <v>111</v>
      </c>
      <c r="D103" s="15" t="str">
        <f t="shared" si="1"/>
        <v>Ally Financial - QLY</v>
      </c>
      <c r="E103" s="12" t="s">
        <v>112</v>
      </c>
      <c r="F103" s="12" t="s">
        <v>113</v>
      </c>
      <c r="G103" s="12" t="s">
        <v>114</v>
      </c>
      <c r="H103" s="12" t="s">
        <v>1025</v>
      </c>
      <c r="I103" s="12" t="s">
        <v>1026</v>
      </c>
    </row>
    <row r="104" spans="1:9">
      <c r="A104" s="14">
        <v>10970</v>
      </c>
      <c r="B104" s="14" t="s">
        <v>495</v>
      </c>
      <c r="C104" s="12" t="s">
        <v>145</v>
      </c>
      <c r="D104" s="15" t="str">
        <f t="shared" si="1"/>
        <v>Ally Financial - SUP</v>
      </c>
      <c r="E104" s="12" t="s">
        <v>126</v>
      </c>
      <c r="F104" s="12" t="s">
        <v>163</v>
      </c>
      <c r="G104" s="12" t="s">
        <v>164</v>
      </c>
      <c r="H104" s="12" t="s">
        <v>1025</v>
      </c>
      <c r="I104" s="12" t="s">
        <v>1026</v>
      </c>
    </row>
    <row r="105" spans="1:9">
      <c r="A105" s="14">
        <v>10970</v>
      </c>
      <c r="B105" s="14" t="s">
        <v>495</v>
      </c>
      <c r="C105" s="12" t="s">
        <v>180</v>
      </c>
      <c r="D105" s="15" t="str">
        <f t="shared" si="1"/>
        <v>Ally Financial - TMG</v>
      </c>
      <c r="E105" s="12" t="s">
        <v>126</v>
      </c>
      <c r="F105" s="12" t="s">
        <v>163</v>
      </c>
      <c r="G105" s="12" t="s">
        <v>164</v>
      </c>
      <c r="H105" s="12" t="s">
        <v>1025</v>
      </c>
      <c r="I105" s="12" t="s">
        <v>1026</v>
      </c>
    </row>
    <row r="106" spans="1:9">
      <c r="A106" s="14">
        <v>10838</v>
      </c>
      <c r="B106" s="14" t="s">
        <v>421</v>
      </c>
      <c r="C106" s="12" t="s">
        <v>180</v>
      </c>
      <c r="D106" s="15" t="str">
        <f t="shared" si="1"/>
        <v>Ally Power BI - TMG</v>
      </c>
      <c r="E106" s="12" t="s">
        <v>126</v>
      </c>
      <c r="F106" s="12" t="s">
        <v>163</v>
      </c>
      <c r="G106" s="12" t="s">
        <v>164</v>
      </c>
      <c r="H106" s="12" t="s">
        <v>1025</v>
      </c>
      <c r="I106" s="12" t="s">
        <v>1026</v>
      </c>
    </row>
    <row r="107" spans="1:9">
      <c r="A107" s="14">
        <v>12426</v>
      </c>
      <c r="B107" s="14" t="s">
        <v>236</v>
      </c>
      <c r="C107" s="12" t="s">
        <v>116</v>
      </c>
      <c r="D107" s="15" t="str">
        <f t="shared" si="1"/>
        <v>AllyAlign Health_Coding - PRD</v>
      </c>
      <c r="E107" s="12" t="s">
        <v>126</v>
      </c>
      <c r="F107" s="12" t="s">
        <v>237</v>
      </c>
      <c r="G107" s="12" t="s">
        <v>238</v>
      </c>
      <c r="H107" s="12" t="s">
        <v>1025</v>
      </c>
      <c r="I107" s="12" t="s">
        <v>1026</v>
      </c>
    </row>
    <row r="108" spans="1:9">
      <c r="A108" s="14">
        <v>12426</v>
      </c>
      <c r="B108" s="14" t="s">
        <v>236</v>
      </c>
      <c r="C108" s="12" t="s">
        <v>230</v>
      </c>
      <c r="D108" s="15" t="str">
        <f t="shared" si="1"/>
        <v>AllyAlign Health_Coding - PRSP</v>
      </c>
      <c r="E108" s="12" t="s">
        <v>126</v>
      </c>
      <c r="F108" s="12" t="s">
        <v>237</v>
      </c>
      <c r="G108" s="12" t="s">
        <v>238</v>
      </c>
      <c r="H108" s="12" t="s">
        <v>1025</v>
      </c>
      <c r="I108" s="12" t="s">
        <v>1026</v>
      </c>
    </row>
    <row r="109" spans="1:9">
      <c r="A109" s="14">
        <v>12426</v>
      </c>
      <c r="B109" s="14" t="s">
        <v>236</v>
      </c>
      <c r="C109" s="12" t="s">
        <v>185</v>
      </c>
      <c r="D109" s="15" t="str">
        <f t="shared" si="1"/>
        <v>AllyAlign Health_Coding - TPS</v>
      </c>
      <c r="E109" s="12" t="s">
        <v>126</v>
      </c>
      <c r="F109" s="12" t="s">
        <v>237</v>
      </c>
      <c r="G109" s="12" t="s">
        <v>238</v>
      </c>
      <c r="H109" s="12" t="s">
        <v>1025</v>
      </c>
      <c r="I109" s="12" t="s">
        <v>1026</v>
      </c>
    </row>
    <row r="110" spans="1:9">
      <c r="A110" s="14">
        <v>51058</v>
      </c>
      <c r="B110" s="14" t="s">
        <v>694</v>
      </c>
      <c r="C110" s="12" t="s">
        <v>116</v>
      </c>
      <c r="D110" s="15" t="str">
        <f t="shared" si="1"/>
        <v>Almajdouie-2303-2603-QEC - Bla - PRD</v>
      </c>
      <c r="E110" s="12" t="s">
        <v>117</v>
      </c>
      <c r="F110" s="12" t="s">
        <v>117</v>
      </c>
      <c r="G110" s="12" t="s">
        <v>117</v>
      </c>
      <c r="H110" s="12" t="s">
        <v>1025</v>
      </c>
      <c r="I110" s="12" t="s">
        <v>1026</v>
      </c>
    </row>
    <row r="111" spans="1:9">
      <c r="A111" s="14">
        <v>10699</v>
      </c>
      <c r="B111" s="14" t="s">
        <v>319</v>
      </c>
      <c r="C111" s="12" t="s">
        <v>133</v>
      </c>
      <c r="D111" s="15" t="str">
        <f t="shared" si="1"/>
        <v>Amazon ACCS SMS - AMG</v>
      </c>
      <c r="E111" s="12" t="s">
        <v>126</v>
      </c>
      <c r="F111" s="12" t="s">
        <v>127</v>
      </c>
      <c r="G111" s="12" t="s">
        <v>128</v>
      </c>
      <c r="H111" s="12" t="s">
        <v>1025</v>
      </c>
      <c r="I111" s="12" t="s">
        <v>1026</v>
      </c>
    </row>
    <row r="112" spans="1:9">
      <c r="A112" s="14">
        <v>10699</v>
      </c>
      <c r="B112" s="14" t="s">
        <v>319</v>
      </c>
      <c r="C112" s="12" t="s">
        <v>138</v>
      </c>
      <c r="D112" s="15" t="str">
        <f t="shared" si="1"/>
        <v>Amazon ACCS SMS - BOS</v>
      </c>
      <c r="E112" s="12" t="s">
        <v>126</v>
      </c>
      <c r="F112" s="12" t="s">
        <v>127</v>
      </c>
      <c r="G112" s="12" t="s">
        <v>128</v>
      </c>
      <c r="H112" s="12" t="s">
        <v>1025</v>
      </c>
      <c r="I112" s="12" t="s">
        <v>1026</v>
      </c>
    </row>
    <row r="113" spans="1:9">
      <c r="A113" s="14">
        <v>10699</v>
      </c>
      <c r="B113" s="14" t="s">
        <v>319</v>
      </c>
      <c r="C113" s="12" t="s">
        <v>161</v>
      </c>
      <c r="D113" s="15" t="str">
        <f t="shared" si="1"/>
        <v>Amazon ACCS SMS - ECC</v>
      </c>
      <c r="E113" s="12" t="s">
        <v>126</v>
      </c>
      <c r="F113" s="12" t="s">
        <v>127</v>
      </c>
      <c r="G113" s="12" t="s">
        <v>128</v>
      </c>
      <c r="H113" s="12" t="s">
        <v>1025</v>
      </c>
      <c r="I113" s="12" t="s">
        <v>1026</v>
      </c>
    </row>
    <row r="114" spans="1:9">
      <c r="A114" s="14">
        <v>10699</v>
      </c>
      <c r="B114" s="14" t="s">
        <v>319</v>
      </c>
      <c r="C114" s="12" t="s">
        <v>177</v>
      </c>
      <c r="D114" s="15" t="str">
        <f t="shared" si="1"/>
        <v>Amazon ACCS SMS - OPS</v>
      </c>
      <c r="E114" s="12" t="s">
        <v>126</v>
      </c>
      <c r="F114" s="12" t="s">
        <v>127</v>
      </c>
      <c r="G114" s="12" t="s">
        <v>128</v>
      </c>
      <c r="H114" s="12" t="s">
        <v>1025</v>
      </c>
      <c r="I114" s="12" t="s">
        <v>1026</v>
      </c>
    </row>
    <row r="115" spans="1:9">
      <c r="A115" s="14">
        <v>10699</v>
      </c>
      <c r="B115" s="14" t="s">
        <v>319</v>
      </c>
      <c r="C115" s="12" t="s">
        <v>111</v>
      </c>
      <c r="D115" s="15" t="str">
        <f t="shared" si="1"/>
        <v>Amazon ACCS SMS - QLY</v>
      </c>
      <c r="E115" s="12" t="s">
        <v>112</v>
      </c>
      <c r="F115" s="12" t="s">
        <v>113</v>
      </c>
      <c r="G115" s="12" t="s">
        <v>114</v>
      </c>
      <c r="H115" s="12" t="s">
        <v>1025</v>
      </c>
      <c r="I115" s="12" t="s">
        <v>1026</v>
      </c>
    </row>
    <row r="116" spans="1:9">
      <c r="A116" s="14">
        <v>10699</v>
      </c>
      <c r="B116" s="14" t="s">
        <v>319</v>
      </c>
      <c r="C116" s="12" t="s">
        <v>172</v>
      </c>
      <c r="D116" s="15" t="str">
        <f t="shared" si="1"/>
        <v>Amazon ACCS SMS - SME</v>
      </c>
      <c r="E116" s="12" t="s">
        <v>126</v>
      </c>
      <c r="F116" s="12" t="s">
        <v>127</v>
      </c>
      <c r="G116" s="12" t="s">
        <v>128</v>
      </c>
      <c r="H116" s="12" t="s">
        <v>1025</v>
      </c>
      <c r="I116" s="12" t="s">
        <v>1026</v>
      </c>
    </row>
    <row r="117" spans="1:9">
      <c r="A117" s="14">
        <v>10699</v>
      </c>
      <c r="B117" s="14" t="s">
        <v>319</v>
      </c>
      <c r="C117" s="12" t="s">
        <v>180</v>
      </c>
      <c r="D117" s="15" t="str">
        <f t="shared" si="1"/>
        <v>Amazon ACCS SMS - TMG</v>
      </c>
      <c r="E117" s="12" t="s">
        <v>126</v>
      </c>
      <c r="F117" s="12" t="s">
        <v>127</v>
      </c>
      <c r="G117" s="12" t="s">
        <v>128</v>
      </c>
      <c r="H117" s="12" t="s">
        <v>1025</v>
      </c>
      <c r="I117" s="12" t="s">
        <v>1026</v>
      </c>
    </row>
    <row r="118" spans="1:9">
      <c r="A118" s="14">
        <v>10810</v>
      </c>
      <c r="B118" s="14" t="s">
        <v>391</v>
      </c>
      <c r="C118" s="12" t="s">
        <v>133</v>
      </c>
      <c r="D118" s="15" t="str">
        <f t="shared" si="1"/>
        <v>Amazon DLS - AMG</v>
      </c>
      <c r="E118" s="12" t="s">
        <v>126</v>
      </c>
      <c r="F118" s="12" t="s">
        <v>178</v>
      </c>
      <c r="G118" s="12" t="s">
        <v>128</v>
      </c>
      <c r="H118" s="12" t="s">
        <v>1025</v>
      </c>
      <c r="I118" s="12" t="s">
        <v>1026</v>
      </c>
    </row>
    <row r="119" spans="1:9">
      <c r="A119" s="14">
        <v>10810</v>
      </c>
      <c r="B119" s="14" t="s">
        <v>391</v>
      </c>
      <c r="C119" s="12" t="s">
        <v>150</v>
      </c>
      <c r="D119" s="15" t="str">
        <f t="shared" si="1"/>
        <v>Amazon DLS - CCS</v>
      </c>
      <c r="E119" s="12" t="s">
        <v>126</v>
      </c>
      <c r="F119" s="12" t="s">
        <v>178</v>
      </c>
      <c r="G119" s="12" t="s">
        <v>128</v>
      </c>
      <c r="H119" s="12" t="s">
        <v>1025</v>
      </c>
      <c r="I119" s="12" t="s">
        <v>1026</v>
      </c>
    </row>
    <row r="120" spans="1:9">
      <c r="A120" s="14">
        <v>10810</v>
      </c>
      <c r="B120" s="14" t="s">
        <v>391</v>
      </c>
      <c r="C120" s="12" t="s">
        <v>161</v>
      </c>
      <c r="D120" s="15" t="str">
        <f t="shared" si="1"/>
        <v>Amazon DLS - ECC</v>
      </c>
      <c r="E120" s="12" t="s">
        <v>126</v>
      </c>
      <c r="F120" s="12" t="s">
        <v>178</v>
      </c>
      <c r="G120" s="12" t="s">
        <v>128</v>
      </c>
      <c r="H120" s="12" t="s">
        <v>1025</v>
      </c>
      <c r="I120" s="12" t="s">
        <v>1026</v>
      </c>
    </row>
    <row r="121" spans="1:9">
      <c r="A121" s="14">
        <v>10810</v>
      </c>
      <c r="B121" s="14" t="s">
        <v>391</v>
      </c>
      <c r="C121" s="12" t="s">
        <v>129</v>
      </c>
      <c r="D121" s="15" t="str">
        <f t="shared" si="1"/>
        <v>Amazon DLS - MGT</v>
      </c>
      <c r="E121" s="12" t="s">
        <v>126</v>
      </c>
      <c r="F121" s="12" t="s">
        <v>178</v>
      </c>
      <c r="G121" s="12" t="s">
        <v>128</v>
      </c>
      <c r="H121" s="12" t="s">
        <v>1025</v>
      </c>
      <c r="I121" s="12" t="s">
        <v>1026</v>
      </c>
    </row>
    <row r="122" spans="1:9">
      <c r="A122" s="14">
        <v>10810</v>
      </c>
      <c r="B122" s="14" t="s">
        <v>391</v>
      </c>
      <c r="C122" s="12" t="s">
        <v>111</v>
      </c>
      <c r="D122" s="15" t="str">
        <f t="shared" si="1"/>
        <v>Amazon DLS - QLY</v>
      </c>
      <c r="E122" s="12" t="s">
        <v>112</v>
      </c>
      <c r="F122" s="12" t="s">
        <v>113</v>
      </c>
      <c r="G122" s="12" t="s">
        <v>114</v>
      </c>
      <c r="H122" s="12" t="s">
        <v>1025</v>
      </c>
      <c r="I122" s="12" t="s">
        <v>1026</v>
      </c>
    </row>
    <row r="123" spans="1:9">
      <c r="A123" s="14">
        <v>10810</v>
      </c>
      <c r="B123" s="14" t="s">
        <v>391</v>
      </c>
      <c r="C123" s="12" t="s">
        <v>172</v>
      </c>
      <c r="D123" s="15" t="str">
        <f t="shared" si="1"/>
        <v>Amazon DLS - SME</v>
      </c>
      <c r="E123" s="12" t="s">
        <v>126</v>
      </c>
      <c r="F123" s="12" t="s">
        <v>178</v>
      </c>
      <c r="G123" s="12" t="s">
        <v>128</v>
      </c>
      <c r="H123" s="12" t="s">
        <v>1025</v>
      </c>
      <c r="I123" s="12" t="s">
        <v>1026</v>
      </c>
    </row>
    <row r="124" spans="1:9">
      <c r="A124" s="14">
        <v>10810</v>
      </c>
      <c r="B124" s="14" t="s">
        <v>391</v>
      </c>
      <c r="C124" s="12" t="s">
        <v>180</v>
      </c>
      <c r="D124" s="15" t="str">
        <f t="shared" si="1"/>
        <v>Amazon DLS - TMG</v>
      </c>
      <c r="E124" s="12" t="s">
        <v>126</v>
      </c>
      <c r="F124" s="12" t="s">
        <v>178</v>
      </c>
      <c r="G124" s="12" t="s">
        <v>128</v>
      </c>
      <c r="H124" s="12" t="s">
        <v>1025</v>
      </c>
      <c r="I124" s="12" t="s">
        <v>1026</v>
      </c>
    </row>
    <row r="125" spans="1:9">
      <c r="A125" s="14">
        <v>10810</v>
      </c>
      <c r="B125" s="14" t="s">
        <v>391</v>
      </c>
      <c r="C125" s="12" t="s">
        <v>185</v>
      </c>
      <c r="D125" s="15" t="str">
        <f t="shared" si="1"/>
        <v>Amazon DLS - TPS</v>
      </c>
      <c r="E125" s="12" t="s">
        <v>126</v>
      </c>
      <c r="F125" s="12" t="s">
        <v>178</v>
      </c>
      <c r="G125" s="12" t="s">
        <v>128</v>
      </c>
      <c r="H125" s="12" t="s">
        <v>1025</v>
      </c>
      <c r="I125" s="12" t="s">
        <v>1026</v>
      </c>
    </row>
    <row r="126" spans="1:9">
      <c r="A126" s="14">
        <v>10810</v>
      </c>
      <c r="B126" s="14" t="s">
        <v>391</v>
      </c>
      <c r="C126" s="12" t="s">
        <v>208</v>
      </c>
      <c r="D126" s="15" t="str">
        <f t="shared" si="1"/>
        <v>Amazon DLS - TTR</v>
      </c>
      <c r="E126" s="12" t="s">
        <v>112</v>
      </c>
      <c r="F126" s="12" t="s">
        <v>204</v>
      </c>
      <c r="G126" s="12" t="s">
        <v>205</v>
      </c>
      <c r="H126" s="12" t="s">
        <v>1025</v>
      </c>
      <c r="I126" s="12" t="s">
        <v>1026</v>
      </c>
    </row>
    <row r="127" spans="1:9">
      <c r="A127" s="14">
        <v>10872</v>
      </c>
      <c r="B127" s="14" t="s">
        <v>434</v>
      </c>
      <c r="C127" s="12" t="s">
        <v>177</v>
      </c>
      <c r="D127" s="15" t="str">
        <f t="shared" si="1"/>
        <v>Amazon EERO WFM Support - OPS</v>
      </c>
      <c r="E127" s="12" t="s">
        <v>112</v>
      </c>
      <c r="F127" s="12" t="s">
        <v>1006</v>
      </c>
      <c r="G127" s="12" t="s">
        <v>114</v>
      </c>
      <c r="H127" s="12" t="s">
        <v>1025</v>
      </c>
      <c r="I127" s="12" t="s">
        <v>1026</v>
      </c>
    </row>
    <row r="128" spans="1:9">
      <c r="A128" s="14">
        <v>10872</v>
      </c>
      <c r="B128" s="14" t="s">
        <v>434</v>
      </c>
      <c r="C128" s="12" t="s">
        <v>145</v>
      </c>
      <c r="D128" s="15" t="str">
        <f t="shared" si="1"/>
        <v>Amazon EERO WFM Support - SUP</v>
      </c>
      <c r="E128" s="12" t="s">
        <v>126</v>
      </c>
      <c r="F128" s="12" t="s">
        <v>178</v>
      </c>
      <c r="G128" s="12" t="s">
        <v>128</v>
      </c>
      <c r="H128" s="12" t="s">
        <v>1025</v>
      </c>
      <c r="I128" s="12" t="s">
        <v>1026</v>
      </c>
    </row>
    <row r="129" spans="1:9">
      <c r="A129" s="14">
        <v>10783</v>
      </c>
      <c r="B129" s="14" t="s">
        <v>381</v>
      </c>
      <c r="C129" s="12" t="s">
        <v>133</v>
      </c>
      <c r="D129" s="15" t="str">
        <f t="shared" si="1"/>
        <v>Amazon ELS CTK - AMG</v>
      </c>
      <c r="E129" s="12" t="s">
        <v>126</v>
      </c>
      <c r="F129" s="12" t="s">
        <v>127</v>
      </c>
      <c r="G129" s="12" t="s">
        <v>128</v>
      </c>
      <c r="H129" s="12" t="s">
        <v>1025</v>
      </c>
      <c r="I129" s="12" t="s">
        <v>1026</v>
      </c>
    </row>
    <row r="130" spans="1:9">
      <c r="A130" s="14">
        <v>10783</v>
      </c>
      <c r="B130" s="14" t="s">
        <v>381</v>
      </c>
      <c r="C130" s="12" t="s">
        <v>161</v>
      </c>
      <c r="D130" s="15" t="str">
        <f t="shared" ref="D130:D193" si="2">B130&amp;" - "&amp;C130</f>
        <v>Amazon ELS CTK - ECC</v>
      </c>
      <c r="E130" s="12" t="s">
        <v>126</v>
      </c>
      <c r="F130" s="12" t="s">
        <v>127</v>
      </c>
      <c r="G130" s="12" t="s">
        <v>128</v>
      </c>
      <c r="H130" s="12" t="s">
        <v>1025</v>
      </c>
      <c r="I130" s="12" t="s">
        <v>1026</v>
      </c>
    </row>
    <row r="131" spans="1:9">
      <c r="A131" s="14">
        <v>10783</v>
      </c>
      <c r="B131" s="14" t="s">
        <v>381</v>
      </c>
      <c r="C131" s="12" t="s">
        <v>111</v>
      </c>
      <c r="D131" s="15" t="str">
        <f t="shared" si="2"/>
        <v>Amazon ELS CTK - QLY</v>
      </c>
      <c r="E131" s="12" t="s">
        <v>112</v>
      </c>
      <c r="F131" s="12" t="s">
        <v>113</v>
      </c>
      <c r="G131" s="12" t="s">
        <v>114</v>
      </c>
      <c r="H131" s="12" t="s">
        <v>1025</v>
      </c>
      <c r="I131" s="12" t="s">
        <v>1026</v>
      </c>
    </row>
    <row r="132" spans="1:9">
      <c r="A132" s="14">
        <v>10783</v>
      </c>
      <c r="B132" s="14" t="s">
        <v>381</v>
      </c>
      <c r="C132" s="12" t="s">
        <v>172</v>
      </c>
      <c r="D132" s="15" t="str">
        <f t="shared" si="2"/>
        <v>Amazon ELS CTK - SME</v>
      </c>
      <c r="E132" s="12" t="s">
        <v>126</v>
      </c>
      <c r="F132" s="12" t="s">
        <v>127</v>
      </c>
      <c r="G132" s="12" t="s">
        <v>128</v>
      </c>
      <c r="H132" s="12" t="s">
        <v>1025</v>
      </c>
      <c r="I132" s="12" t="s">
        <v>1026</v>
      </c>
    </row>
    <row r="133" spans="1:9">
      <c r="A133" s="14">
        <v>10783</v>
      </c>
      <c r="B133" s="14" t="s">
        <v>381</v>
      </c>
      <c r="C133" s="12" t="s">
        <v>180</v>
      </c>
      <c r="D133" s="15" t="str">
        <f t="shared" si="2"/>
        <v>Amazon ELS CTK - TMG</v>
      </c>
      <c r="E133" s="12" t="s">
        <v>126</v>
      </c>
      <c r="F133" s="12" t="s">
        <v>127</v>
      </c>
      <c r="G133" s="12" t="s">
        <v>128</v>
      </c>
      <c r="H133" s="12" t="s">
        <v>1025</v>
      </c>
      <c r="I133" s="12" t="s">
        <v>1026</v>
      </c>
    </row>
    <row r="134" spans="1:9">
      <c r="A134" s="14">
        <v>10515</v>
      </c>
      <c r="B134" s="14" t="s">
        <v>267</v>
      </c>
      <c r="C134" s="12" t="s">
        <v>585</v>
      </c>
      <c r="D134" s="15" t="str">
        <f t="shared" si="2"/>
        <v>Amazon IN Seller Support - 40EREG</v>
      </c>
      <c r="E134" s="12" t="s">
        <v>126</v>
      </c>
      <c r="F134" s="12" t="s">
        <v>127</v>
      </c>
      <c r="G134" s="12" t="s">
        <v>128</v>
      </c>
      <c r="H134" s="12" t="s">
        <v>1025</v>
      </c>
      <c r="I134" s="12" t="s">
        <v>1026</v>
      </c>
    </row>
    <row r="135" spans="1:9">
      <c r="A135" s="14">
        <v>10515</v>
      </c>
      <c r="B135" s="14" t="s">
        <v>267</v>
      </c>
      <c r="C135" s="12" t="s">
        <v>133</v>
      </c>
      <c r="D135" s="15" t="str">
        <f t="shared" si="2"/>
        <v>Amazon IN Seller Support - AMG</v>
      </c>
      <c r="E135" s="12" t="s">
        <v>126</v>
      </c>
      <c r="F135" s="12" t="s">
        <v>127</v>
      </c>
      <c r="G135" s="12" t="s">
        <v>128</v>
      </c>
      <c r="H135" s="12" t="s">
        <v>1025</v>
      </c>
      <c r="I135" s="12" t="s">
        <v>1026</v>
      </c>
    </row>
    <row r="136" spans="1:9">
      <c r="A136" s="14">
        <v>10515</v>
      </c>
      <c r="B136" s="14" t="s">
        <v>267</v>
      </c>
      <c r="C136" s="12" t="s">
        <v>161</v>
      </c>
      <c r="D136" s="15" t="str">
        <f t="shared" si="2"/>
        <v>Amazon IN Seller Support - ECC</v>
      </c>
      <c r="E136" s="12" t="s">
        <v>126</v>
      </c>
      <c r="F136" s="12" t="s">
        <v>127</v>
      </c>
      <c r="G136" s="12" t="s">
        <v>128</v>
      </c>
      <c r="H136" s="12" t="s">
        <v>1025</v>
      </c>
      <c r="I136" s="12" t="s">
        <v>1026</v>
      </c>
    </row>
    <row r="137" spans="1:9">
      <c r="A137" s="14">
        <v>10515</v>
      </c>
      <c r="B137" s="14" t="s">
        <v>267</v>
      </c>
      <c r="C137" s="12" t="s">
        <v>116</v>
      </c>
      <c r="D137" s="15" t="str">
        <f t="shared" si="2"/>
        <v>Amazon IN Seller Support - PRD</v>
      </c>
      <c r="E137" s="12" t="s">
        <v>126</v>
      </c>
      <c r="F137" s="12" t="s">
        <v>127</v>
      </c>
      <c r="G137" s="12" t="s">
        <v>128</v>
      </c>
      <c r="H137" s="12" t="s">
        <v>1025</v>
      </c>
      <c r="I137" s="12" t="s">
        <v>1026</v>
      </c>
    </row>
    <row r="138" spans="1:9">
      <c r="A138" s="14">
        <v>10515</v>
      </c>
      <c r="B138" s="14" t="s">
        <v>267</v>
      </c>
      <c r="C138" s="12" t="s">
        <v>111</v>
      </c>
      <c r="D138" s="15" t="str">
        <f t="shared" si="2"/>
        <v>Amazon IN Seller Support - QLY</v>
      </c>
      <c r="E138" s="12" t="s">
        <v>112</v>
      </c>
      <c r="F138" s="12" t="s">
        <v>113</v>
      </c>
      <c r="G138" s="12" t="s">
        <v>114</v>
      </c>
      <c r="H138" s="12" t="s">
        <v>1025</v>
      </c>
      <c r="I138" s="12" t="s">
        <v>1026</v>
      </c>
    </row>
    <row r="139" spans="1:9">
      <c r="A139" s="14">
        <v>10515</v>
      </c>
      <c r="B139" s="14" t="s">
        <v>267</v>
      </c>
      <c r="C139" s="12" t="s">
        <v>145</v>
      </c>
      <c r="D139" s="15" t="str">
        <f t="shared" si="2"/>
        <v>Amazon IN Seller Support - SUP</v>
      </c>
      <c r="E139" s="12" t="s">
        <v>126</v>
      </c>
      <c r="F139" s="12" t="s">
        <v>127</v>
      </c>
      <c r="G139" s="12" t="s">
        <v>128</v>
      </c>
      <c r="H139" s="12" t="s">
        <v>1025</v>
      </c>
      <c r="I139" s="12" t="s">
        <v>1026</v>
      </c>
    </row>
    <row r="140" spans="1:9">
      <c r="A140" s="14">
        <v>10515</v>
      </c>
      <c r="B140" s="14" t="s">
        <v>267</v>
      </c>
      <c r="C140" s="12" t="s">
        <v>180</v>
      </c>
      <c r="D140" s="15" t="str">
        <f t="shared" si="2"/>
        <v>Amazon IN Seller Support - TMG</v>
      </c>
      <c r="E140" s="12" t="s">
        <v>126</v>
      </c>
      <c r="F140" s="12" t="s">
        <v>127</v>
      </c>
      <c r="G140" s="12" t="s">
        <v>128</v>
      </c>
      <c r="H140" s="12" t="s">
        <v>1025</v>
      </c>
      <c r="I140" s="12" t="s">
        <v>1026</v>
      </c>
    </row>
    <row r="141" spans="1:9">
      <c r="A141" s="14">
        <v>10515</v>
      </c>
      <c r="B141" s="14" t="s">
        <v>267</v>
      </c>
      <c r="C141" s="12" t="s">
        <v>208</v>
      </c>
      <c r="D141" s="15" t="str">
        <f t="shared" si="2"/>
        <v>Amazon IN Seller Support - TTR</v>
      </c>
      <c r="E141" s="12" t="s">
        <v>112</v>
      </c>
      <c r="F141" s="12" t="s">
        <v>204</v>
      </c>
      <c r="G141" s="12" t="s">
        <v>205</v>
      </c>
      <c r="H141" s="12" t="s">
        <v>1025</v>
      </c>
      <c r="I141" s="12" t="s">
        <v>1026</v>
      </c>
    </row>
    <row r="142" spans="1:9">
      <c r="A142" s="14">
        <v>10009</v>
      </c>
      <c r="B142" s="14" t="s">
        <v>135</v>
      </c>
      <c r="C142" s="12" t="s">
        <v>271</v>
      </c>
      <c r="D142" s="15" t="str">
        <f t="shared" si="2"/>
        <v>Amazon India - 799999</v>
      </c>
      <c r="E142" s="12" t="s">
        <v>126</v>
      </c>
      <c r="F142" s="12" t="s">
        <v>127</v>
      </c>
      <c r="G142" s="12" t="s">
        <v>128</v>
      </c>
      <c r="H142" s="12" t="s">
        <v>1025</v>
      </c>
      <c r="I142" s="12" t="s">
        <v>1026</v>
      </c>
    </row>
    <row r="143" spans="1:9">
      <c r="A143" s="14">
        <v>10009</v>
      </c>
      <c r="B143" s="14" t="s">
        <v>135</v>
      </c>
      <c r="C143" s="12" t="s">
        <v>133</v>
      </c>
      <c r="D143" s="15" t="str">
        <f t="shared" si="2"/>
        <v>Amazon India - AMG</v>
      </c>
      <c r="E143" s="12" t="s">
        <v>126</v>
      </c>
      <c r="F143" s="12" t="s">
        <v>127</v>
      </c>
      <c r="G143" s="12" t="s">
        <v>128</v>
      </c>
      <c r="H143" s="12" t="s">
        <v>1025</v>
      </c>
      <c r="I143" s="12" t="s">
        <v>1026</v>
      </c>
    </row>
    <row r="144" spans="1:9">
      <c r="A144" s="14">
        <v>10009</v>
      </c>
      <c r="B144" s="14" t="s">
        <v>135</v>
      </c>
      <c r="C144" s="12" t="s">
        <v>144</v>
      </c>
      <c r="D144" s="15" t="str">
        <f t="shared" si="2"/>
        <v>Amazon India - CCOD</v>
      </c>
      <c r="E144" s="12" t="s">
        <v>126</v>
      </c>
      <c r="F144" s="12" t="s">
        <v>127</v>
      </c>
      <c r="G144" s="12" t="s">
        <v>128</v>
      </c>
      <c r="H144" s="12" t="s">
        <v>1025</v>
      </c>
      <c r="I144" s="12" t="s">
        <v>1026</v>
      </c>
    </row>
    <row r="145" spans="1:9">
      <c r="A145" s="14">
        <v>10009</v>
      </c>
      <c r="B145" s="14" t="s">
        <v>135</v>
      </c>
      <c r="C145" s="12" t="s">
        <v>150</v>
      </c>
      <c r="D145" s="15" t="str">
        <f t="shared" si="2"/>
        <v>Amazon India - CCS</v>
      </c>
      <c r="E145" s="12" t="s">
        <v>126</v>
      </c>
      <c r="F145" s="12" t="s">
        <v>127</v>
      </c>
      <c r="G145" s="12" t="s">
        <v>128</v>
      </c>
      <c r="H145" s="12" t="s">
        <v>1025</v>
      </c>
      <c r="I145" s="12" t="s">
        <v>1026</v>
      </c>
    </row>
    <row r="146" spans="1:9">
      <c r="A146" s="14">
        <v>10009</v>
      </c>
      <c r="B146" s="14" t="s">
        <v>135</v>
      </c>
      <c r="C146" s="12" t="s">
        <v>161</v>
      </c>
      <c r="D146" s="15" t="str">
        <f t="shared" si="2"/>
        <v>Amazon India - ECC</v>
      </c>
      <c r="E146" s="12" t="s">
        <v>126</v>
      </c>
      <c r="F146" s="12" t="s">
        <v>127</v>
      </c>
      <c r="G146" s="12" t="s">
        <v>128</v>
      </c>
      <c r="H146" s="12" t="s">
        <v>1025</v>
      </c>
      <c r="I146" s="12" t="s">
        <v>1026</v>
      </c>
    </row>
    <row r="147" spans="1:9">
      <c r="A147" s="14">
        <v>10009</v>
      </c>
      <c r="B147" s="14" t="s">
        <v>135</v>
      </c>
      <c r="C147" s="12" t="s">
        <v>168</v>
      </c>
      <c r="D147" s="15" t="str">
        <f t="shared" si="2"/>
        <v>Amazon India - ESC</v>
      </c>
      <c r="E147" s="12" t="s">
        <v>126</v>
      </c>
      <c r="F147" s="12" t="s">
        <v>127</v>
      </c>
      <c r="G147" s="12" t="s">
        <v>128</v>
      </c>
      <c r="H147" s="12" t="s">
        <v>1025</v>
      </c>
      <c r="I147" s="12" t="s">
        <v>1026</v>
      </c>
    </row>
    <row r="148" spans="1:9">
      <c r="A148" s="14">
        <v>10009</v>
      </c>
      <c r="B148" s="14" t="s">
        <v>135</v>
      </c>
      <c r="C148" s="12" t="s">
        <v>129</v>
      </c>
      <c r="D148" s="15" t="str">
        <f t="shared" si="2"/>
        <v>Amazon India - MGT</v>
      </c>
      <c r="E148" s="12" t="s">
        <v>126</v>
      </c>
      <c r="F148" s="12" t="s">
        <v>127</v>
      </c>
      <c r="G148" s="12" t="s">
        <v>128</v>
      </c>
      <c r="H148" s="12" t="s">
        <v>1025</v>
      </c>
      <c r="I148" s="12" t="s">
        <v>1026</v>
      </c>
    </row>
    <row r="149" spans="1:9">
      <c r="A149" s="14">
        <v>10009</v>
      </c>
      <c r="B149" s="14" t="s">
        <v>135</v>
      </c>
      <c r="C149" s="12" t="s">
        <v>177</v>
      </c>
      <c r="D149" s="15" t="str">
        <f t="shared" si="2"/>
        <v>Amazon India - OPS</v>
      </c>
      <c r="E149" s="12" t="s">
        <v>126</v>
      </c>
      <c r="F149" s="12" t="s">
        <v>127</v>
      </c>
      <c r="G149" s="12" t="s">
        <v>128</v>
      </c>
      <c r="H149" s="12" t="s">
        <v>1025</v>
      </c>
      <c r="I149" s="12" t="s">
        <v>1026</v>
      </c>
    </row>
    <row r="150" spans="1:9">
      <c r="A150" s="14">
        <v>10009</v>
      </c>
      <c r="B150" s="14" t="s">
        <v>135</v>
      </c>
      <c r="C150" s="12" t="s">
        <v>116</v>
      </c>
      <c r="D150" s="15" t="str">
        <f t="shared" si="2"/>
        <v>Amazon India - PRD</v>
      </c>
      <c r="E150" s="12" t="s">
        <v>126</v>
      </c>
      <c r="F150" s="12" t="s">
        <v>127</v>
      </c>
      <c r="G150" s="12" t="s">
        <v>128</v>
      </c>
      <c r="H150" s="12" t="s">
        <v>1025</v>
      </c>
      <c r="I150" s="12" t="s">
        <v>1026</v>
      </c>
    </row>
    <row r="151" spans="1:9">
      <c r="A151" s="14">
        <v>10009</v>
      </c>
      <c r="B151" s="14" t="s">
        <v>135</v>
      </c>
      <c r="C151" s="12" t="s">
        <v>111</v>
      </c>
      <c r="D151" s="15" t="str">
        <f t="shared" si="2"/>
        <v>Amazon India - QLY</v>
      </c>
      <c r="E151" s="12" t="s">
        <v>112</v>
      </c>
      <c r="F151" s="12" t="s">
        <v>113</v>
      </c>
      <c r="G151" s="12" t="s">
        <v>114</v>
      </c>
      <c r="H151" s="12" t="s">
        <v>1025</v>
      </c>
      <c r="I151" s="12" t="s">
        <v>1026</v>
      </c>
    </row>
    <row r="152" spans="1:9">
      <c r="A152" s="14">
        <v>10009</v>
      </c>
      <c r="B152" s="14" t="s">
        <v>135</v>
      </c>
      <c r="C152" s="12" t="s">
        <v>172</v>
      </c>
      <c r="D152" s="15" t="str">
        <f t="shared" si="2"/>
        <v>Amazon India - SME</v>
      </c>
      <c r="E152" s="12" t="s">
        <v>126</v>
      </c>
      <c r="F152" s="12" t="s">
        <v>127</v>
      </c>
      <c r="G152" s="12" t="s">
        <v>128</v>
      </c>
      <c r="H152" s="12" t="s">
        <v>1025</v>
      </c>
      <c r="I152" s="12" t="s">
        <v>1026</v>
      </c>
    </row>
    <row r="153" spans="1:9">
      <c r="A153" s="14">
        <v>10009</v>
      </c>
      <c r="B153" s="14" t="s">
        <v>135</v>
      </c>
      <c r="C153" s="12" t="s">
        <v>145</v>
      </c>
      <c r="D153" s="15" t="str">
        <f t="shared" si="2"/>
        <v>Amazon India - SUP</v>
      </c>
      <c r="E153" s="12" t="s">
        <v>126</v>
      </c>
      <c r="F153" s="12" t="s">
        <v>127</v>
      </c>
      <c r="G153" s="12" t="s">
        <v>128</v>
      </c>
      <c r="H153" s="12" t="s">
        <v>1025</v>
      </c>
      <c r="I153" s="12" t="s">
        <v>1026</v>
      </c>
    </row>
    <row r="154" spans="1:9">
      <c r="A154" s="14">
        <v>10009</v>
      </c>
      <c r="B154" s="14" t="s">
        <v>135</v>
      </c>
      <c r="C154" s="12" t="s">
        <v>196</v>
      </c>
      <c r="D154" s="15" t="str">
        <f t="shared" si="2"/>
        <v>Amazon India - SUT</v>
      </c>
      <c r="E154" s="12" t="s">
        <v>126</v>
      </c>
      <c r="F154" s="12" t="s">
        <v>127</v>
      </c>
      <c r="G154" s="12" t="s">
        <v>128</v>
      </c>
      <c r="H154" s="12" t="s">
        <v>1025</v>
      </c>
      <c r="I154" s="12" t="s">
        <v>1026</v>
      </c>
    </row>
    <row r="155" spans="1:9">
      <c r="A155" s="14">
        <v>10009</v>
      </c>
      <c r="B155" s="14" t="s">
        <v>135</v>
      </c>
      <c r="C155" s="12" t="s">
        <v>198</v>
      </c>
      <c r="D155" s="15" t="str">
        <f t="shared" si="2"/>
        <v>Amazon India - TEC</v>
      </c>
      <c r="E155" s="12" t="s">
        <v>126</v>
      </c>
      <c r="F155" s="12" t="s">
        <v>127</v>
      </c>
      <c r="G155" s="12" t="s">
        <v>128</v>
      </c>
      <c r="H155" s="12" t="s">
        <v>1025</v>
      </c>
      <c r="I155" s="12" t="s">
        <v>1026</v>
      </c>
    </row>
    <row r="156" spans="1:9">
      <c r="A156" s="14">
        <v>10009</v>
      </c>
      <c r="B156" s="14" t="s">
        <v>135</v>
      </c>
      <c r="C156" s="12" t="s">
        <v>180</v>
      </c>
      <c r="D156" s="15" t="str">
        <f t="shared" si="2"/>
        <v>Amazon India - TMG</v>
      </c>
      <c r="E156" s="12" t="s">
        <v>126</v>
      </c>
      <c r="F156" s="12" t="s">
        <v>127</v>
      </c>
      <c r="G156" s="12" t="s">
        <v>128</v>
      </c>
      <c r="H156" s="12" t="s">
        <v>1025</v>
      </c>
      <c r="I156" s="12" t="s">
        <v>1026</v>
      </c>
    </row>
    <row r="157" spans="1:9">
      <c r="A157" s="14">
        <v>10009</v>
      </c>
      <c r="B157" s="14" t="s">
        <v>135</v>
      </c>
      <c r="C157" s="12" t="s">
        <v>203</v>
      </c>
      <c r="D157" s="15" t="str">
        <f t="shared" si="2"/>
        <v>Amazon India - TRG</v>
      </c>
      <c r="E157" s="12" t="s">
        <v>112</v>
      </c>
      <c r="F157" s="12" t="s">
        <v>204</v>
      </c>
      <c r="G157" s="12" t="s">
        <v>205</v>
      </c>
      <c r="H157" s="12" t="s">
        <v>1025</v>
      </c>
      <c r="I157" s="12" t="s">
        <v>1026</v>
      </c>
    </row>
    <row r="158" spans="1:9">
      <c r="A158" s="14">
        <v>10009</v>
      </c>
      <c r="B158" s="14" t="s">
        <v>135</v>
      </c>
      <c r="C158" s="12" t="s">
        <v>208</v>
      </c>
      <c r="D158" s="15" t="str">
        <f t="shared" si="2"/>
        <v>Amazon India - TTR</v>
      </c>
      <c r="E158" s="12" t="s">
        <v>112</v>
      </c>
      <c r="F158" s="12" t="s">
        <v>204</v>
      </c>
      <c r="G158" s="12" t="s">
        <v>205</v>
      </c>
      <c r="H158" s="12" t="s">
        <v>1025</v>
      </c>
      <c r="I158" s="12" t="s">
        <v>1026</v>
      </c>
    </row>
    <row r="159" spans="1:9">
      <c r="A159" s="14">
        <v>10010</v>
      </c>
      <c r="B159" s="14" t="s">
        <v>140</v>
      </c>
      <c r="C159" s="12" t="s">
        <v>133</v>
      </c>
      <c r="D159" s="15" t="str">
        <f t="shared" si="2"/>
        <v>Amazon Kindle - AMG</v>
      </c>
      <c r="E159" s="12" t="s">
        <v>126</v>
      </c>
      <c r="F159" s="12" t="s">
        <v>178</v>
      </c>
      <c r="G159" s="12" t="s">
        <v>128</v>
      </c>
      <c r="H159" s="12" t="s">
        <v>1025</v>
      </c>
      <c r="I159" s="12" t="s">
        <v>1026</v>
      </c>
    </row>
    <row r="160" spans="1:9">
      <c r="A160" s="14">
        <v>10010</v>
      </c>
      <c r="B160" s="14" t="s">
        <v>140</v>
      </c>
      <c r="C160" s="12" t="s">
        <v>144</v>
      </c>
      <c r="D160" s="15" t="str">
        <f t="shared" si="2"/>
        <v>Amazon Kindle - CCOD</v>
      </c>
      <c r="E160" s="12" t="s">
        <v>126</v>
      </c>
      <c r="F160" s="12" t="s">
        <v>178</v>
      </c>
      <c r="G160" s="12" t="s">
        <v>128</v>
      </c>
      <c r="H160" s="12" t="s">
        <v>1025</v>
      </c>
      <c r="I160" s="12" t="s">
        <v>1026</v>
      </c>
    </row>
    <row r="161" spans="1:9">
      <c r="A161" s="14">
        <v>10010</v>
      </c>
      <c r="B161" s="14" t="s">
        <v>140</v>
      </c>
      <c r="C161" s="12" t="s">
        <v>150</v>
      </c>
      <c r="D161" s="15" t="str">
        <f t="shared" si="2"/>
        <v>Amazon Kindle - CCS</v>
      </c>
      <c r="E161" s="12" t="s">
        <v>126</v>
      </c>
      <c r="F161" s="12" t="s">
        <v>178</v>
      </c>
      <c r="G161" s="12" t="s">
        <v>128</v>
      </c>
      <c r="H161" s="12" t="s">
        <v>1025</v>
      </c>
      <c r="I161" s="12" t="s">
        <v>1026</v>
      </c>
    </row>
    <row r="162" spans="1:9">
      <c r="A162" s="14">
        <v>10010</v>
      </c>
      <c r="B162" s="14" t="s">
        <v>140</v>
      </c>
      <c r="C162" s="12" t="s">
        <v>161</v>
      </c>
      <c r="D162" s="15" t="str">
        <f t="shared" si="2"/>
        <v>Amazon Kindle - ECC</v>
      </c>
      <c r="E162" s="12" t="s">
        <v>126</v>
      </c>
      <c r="F162" s="12" t="s">
        <v>178</v>
      </c>
      <c r="G162" s="12" t="s">
        <v>128</v>
      </c>
      <c r="H162" s="12" t="s">
        <v>1025</v>
      </c>
      <c r="I162" s="12" t="s">
        <v>1026</v>
      </c>
    </row>
    <row r="163" spans="1:9">
      <c r="A163" s="14">
        <v>10010</v>
      </c>
      <c r="B163" s="14" t="s">
        <v>140</v>
      </c>
      <c r="C163" s="12" t="s">
        <v>168</v>
      </c>
      <c r="D163" s="15" t="str">
        <f t="shared" si="2"/>
        <v>Amazon Kindle - ESC</v>
      </c>
      <c r="E163" s="12" t="s">
        <v>126</v>
      </c>
      <c r="F163" s="12" t="s">
        <v>178</v>
      </c>
      <c r="G163" s="12" t="s">
        <v>128</v>
      </c>
      <c r="H163" s="12" t="s">
        <v>1025</v>
      </c>
      <c r="I163" s="12" t="s">
        <v>1026</v>
      </c>
    </row>
    <row r="164" spans="1:9">
      <c r="A164" s="14">
        <v>10010</v>
      </c>
      <c r="B164" s="14" t="s">
        <v>140</v>
      </c>
      <c r="C164" s="12" t="s">
        <v>129</v>
      </c>
      <c r="D164" s="15" t="str">
        <f t="shared" si="2"/>
        <v>Amazon Kindle - MGT</v>
      </c>
      <c r="E164" s="12" t="s">
        <v>126</v>
      </c>
      <c r="F164" s="12" t="s">
        <v>178</v>
      </c>
      <c r="G164" s="12" t="s">
        <v>128</v>
      </c>
      <c r="H164" s="12" t="s">
        <v>1025</v>
      </c>
      <c r="I164" s="12" t="s">
        <v>1026</v>
      </c>
    </row>
    <row r="165" spans="1:9">
      <c r="A165" s="14">
        <v>10010</v>
      </c>
      <c r="B165" s="14" t="s">
        <v>140</v>
      </c>
      <c r="C165" s="12" t="s">
        <v>116</v>
      </c>
      <c r="D165" s="15" t="str">
        <f t="shared" si="2"/>
        <v>Amazon Kindle - PRD</v>
      </c>
      <c r="E165" s="12" t="s">
        <v>126</v>
      </c>
      <c r="F165" s="12" t="s">
        <v>178</v>
      </c>
      <c r="G165" s="12" t="s">
        <v>128</v>
      </c>
      <c r="H165" s="12" t="s">
        <v>1025</v>
      </c>
      <c r="I165" s="12" t="s">
        <v>1026</v>
      </c>
    </row>
    <row r="166" spans="1:9">
      <c r="A166" s="14">
        <v>10010</v>
      </c>
      <c r="B166" s="14" t="s">
        <v>140</v>
      </c>
      <c r="C166" s="12" t="s">
        <v>111</v>
      </c>
      <c r="D166" s="15" t="str">
        <f t="shared" si="2"/>
        <v>Amazon Kindle - QLY</v>
      </c>
      <c r="E166" s="12" t="s">
        <v>112</v>
      </c>
      <c r="F166" s="12" t="s">
        <v>113</v>
      </c>
      <c r="G166" s="12" t="s">
        <v>114</v>
      </c>
      <c r="H166" s="12" t="s">
        <v>1025</v>
      </c>
      <c r="I166" s="12" t="s">
        <v>1026</v>
      </c>
    </row>
    <row r="167" spans="1:9">
      <c r="A167" s="14">
        <v>10010</v>
      </c>
      <c r="B167" s="14" t="s">
        <v>140</v>
      </c>
      <c r="C167" s="12" t="s">
        <v>172</v>
      </c>
      <c r="D167" s="15" t="str">
        <f t="shared" si="2"/>
        <v>Amazon Kindle - SME</v>
      </c>
      <c r="E167" s="12" t="s">
        <v>126</v>
      </c>
      <c r="F167" s="12" t="s">
        <v>178</v>
      </c>
      <c r="G167" s="12" t="s">
        <v>128</v>
      </c>
      <c r="H167" s="12" t="s">
        <v>1025</v>
      </c>
      <c r="I167" s="12" t="s">
        <v>1026</v>
      </c>
    </row>
    <row r="168" spans="1:9">
      <c r="A168" s="14">
        <v>10010</v>
      </c>
      <c r="B168" s="14" t="s">
        <v>140</v>
      </c>
      <c r="C168" s="12" t="s">
        <v>119</v>
      </c>
      <c r="D168" s="15" t="str">
        <f t="shared" si="2"/>
        <v>Amazon Kindle - SQM</v>
      </c>
      <c r="E168" s="12" t="s">
        <v>112</v>
      </c>
      <c r="F168" s="12" t="s">
        <v>113</v>
      </c>
      <c r="G168" s="12" t="s">
        <v>114</v>
      </c>
      <c r="H168" s="12" t="s">
        <v>1025</v>
      </c>
      <c r="I168" s="12" t="s">
        <v>1026</v>
      </c>
    </row>
    <row r="169" spans="1:9">
      <c r="A169" s="14">
        <v>10010</v>
      </c>
      <c r="B169" s="14" t="s">
        <v>140</v>
      </c>
      <c r="C169" s="12" t="s">
        <v>145</v>
      </c>
      <c r="D169" s="15" t="str">
        <f t="shared" si="2"/>
        <v>Amazon Kindle - SUP</v>
      </c>
      <c r="E169" s="12" t="s">
        <v>126</v>
      </c>
      <c r="F169" s="12" t="s">
        <v>178</v>
      </c>
      <c r="G169" s="12" t="s">
        <v>128</v>
      </c>
      <c r="H169" s="12" t="s">
        <v>1025</v>
      </c>
      <c r="I169" s="12" t="s">
        <v>1026</v>
      </c>
    </row>
    <row r="170" spans="1:9">
      <c r="A170" s="14">
        <v>10010</v>
      </c>
      <c r="B170" s="14" t="s">
        <v>140</v>
      </c>
      <c r="C170" s="12" t="s">
        <v>196</v>
      </c>
      <c r="D170" s="15" t="str">
        <f t="shared" si="2"/>
        <v>Amazon Kindle - SUT</v>
      </c>
      <c r="E170" s="12" t="s">
        <v>126</v>
      </c>
      <c r="F170" s="12" t="s">
        <v>178</v>
      </c>
      <c r="G170" s="12" t="s">
        <v>128</v>
      </c>
      <c r="H170" s="12" t="s">
        <v>1025</v>
      </c>
      <c r="I170" s="12" t="s">
        <v>1026</v>
      </c>
    </row>
    <row r="171" spans="1:9">
      <c r="A171" s="14">
        <v>10010</v>
      </c>
      <c r="B171" s="14" t="s">
        <v>140</v>
      </c>
      <c r="C171" s="12" t="s">
        <v>180</v>
      </c>
      <c r="D171" s="15" t="str">
        <f t="shared" si="2"/>
        <v>Amazon Kindle - TMG</v>
      </c>
      <c r="E171" s="12" t="s">
        <v>126</v>
      </c>
      <c r="F171" s="12" t="s">
        <v>178</v>
      </c>
      <c r="G171" s="12" t="s">
        <v>128</v>
      </c>
      <c r="H171" s="12" t="s">
        <v>1025</v>
      </c>
      <c r="I171" s="12" t="s">
        <v>1026</v>
      </c>
    </row>
    <row r="172" spans="1:9">
      <c r="A172" s="14">
        <v>10010</v>
      </c>
      <c r="B172" s="14" t="s">
        <v>140</v>
      </c>
      <c r="C172" s="12" t="s">
        <v>203</v>
      </c>
      <c r="D172" s="15" t="str">
        <f t="shared" si="2"/>
        <v>Amazon Kindle - TRG</v>
      </c>
      <c r="E172" s="12" t="s">
        <v>112</v>
      </c>
      <c r="F172" s="12" t="s">
        <v>204</v>
      </c>
      <c r="G172" s="12" t="s">
        <v>205</v>
      </c>
      <c r="H172" s="12" t="s">
        <v>1025</v>
      </c>
      <c r="I172" s="12" t="s">
        <v>1026</v>
      </c>
    </row>
    <row r="173" spans="1:9">
      <c r="A173" s="14">
        <v>10010</v>
      </c>
      <c r="B173" s="14" t="s">
        <v>140</v>
      </c>
      <c r="C173" s="12" t="s">
        <v>208</v>
      </c>
      <c r="D173" s="15" t="str">
        <f t="shared" si="2"/>
        <v>Amazon Kindle - TTR</v>
      </c>
      <c r="E173" s="12" t="s">
        <v>112</v>
      </c>
      <c r="F173" s="12" t="s">
        <v>204</v>
      </c>
      <c r="G173" s="12" t="s">
        <v>205</v>
      </c>
      <c r="H173" s="12" t="s">
        <v>1025</v>
      </c>
      <c r="I173" s="12" t="s">
        <v>1026</v>
      </c>
    </row>
    <row r="174" spans="1:9">
      <c r="A174" s="14">
        <v>10730</v>
      </c>
      <c r="B174" s="14" t="s">
        <v>341</v>
      </c>
      <c r="C174" s="12" t="s">
        <v>150</v>
      </c>
      <c r="D174" s="15" t="str">
        <f t="shared" si="2"/>
        <v>Amazon Knowledge Management - CCS</v>
      </c>
      <c r="E174" s="12" t="s">
        <v>126</v>
      </c>
      <c r="F174" s="12" t="s">
        <v>184</v>
      </c>
      <c r="G174" s="12" t="s">
        <v>184</v>
      </c>
      <c r="H174" s="12" t="s">
        <v>1025</v>
      </c>
      <c r="I174" s="12" t="s">
        <v>1026</v>
      </c>
    </row>
    <row r="175" spans="1:9">
      <c r="A175" s="14">
        <v>10730</v>
      </c>
      <c r="B175" s="14" t="s">
        <v>341</v>
      </c>
      <c r="C175" s="12" t="s">
        <v>161</v>
      </c>
      <c r="D175" s="15" t="str">
        <f t="shared" si="2"/>
        <v>Amazon Knowledge Management - ECC</v>
      </c>
      <c r="E175" s="12" t="s">
        <v>126</v>
      </c>
      <c r="F175" s="12" t="s">
        <v>184</v>
      </c>
      <c r="G175" s="12" t="s">
        <v>184</v>
      </c>
      <c r="H175" s="12" t="s">
        <v>1025</v>
      </c>
      <c r="I175" s="12" t="s">
        <v>1026</v>
      </c>
    </row>
    <row r="176" spans="1:9">
      <c r="A176" s="14">
        <v>10730</v>
      </c>
      <c r="B176" s="14" t="s">
        <v>341</v>
      </c>
      <c r="C176" s="12" t="s">
        <v>171</v>
      </c>
      <c r="D176" s="15" t="str">
        <f t="shared" si="2"/>
        <v>Amazon Knowledge Management - ETE</v>
      </c>
      <c r="E176" s="12" t="s">
        <v>126</v>
      </c>
      <c r="F176" s="12" t="s">
        <v>184</v>
      </c>
      <c r="G176" s="12" t="s">
        <v>184</v>
      </c>
      <c r="H176" s="12" t="s">
        <v>1025</v>
      </c>
      <c r="I176" s="12" t="s">
        <v>1026</v>
      </c>
    </row>
    <row r="177" spans="1:9">
      <c r="A177" s="14">
        <v>10730</v>
      </c>
      <c r="B177" s="14" t="s">
        <v>341</v>
      </c>
      <c r="C177" s="12" t="s">
        <v>116</v>
      </c>
      <c r="D177" s="15" t="str">
        <f t="shared" si="2"/>
        <v>Amazon Knowledge Management - PRD</v>
      </c>
      <c r="E177" s="12" t="s">
        <v>126</v>
      </c>
      <c r="F177" s="12" t="s">
        <v>184</v>
      </c>
      <c r="G177" s="12" t="s">
        <v>184</v>
      </c>
      <c r="H177" s="12" t="s">
        <v>1025</v>
      </c>
      <c r="I177" s="12" t="s">
        <v>1026</v>
      </c>
    </row>
    <row r="178" spans="1:9">
      <c r="A178" s="14">
        <v>10730</v>
      </c>
      <c r="B178" s="14" t="s">
        <v>341</v>
      </c>
      <c r="C178" s="12" t="s">
        <v>829</v>
      </c>
      <c r="D178" s="15" t="str">
        <f t="shared" si="2"/>
        <v>Amazon Knowledge Management - RSS</v>
      </c>
      <c r="E178" s="12" t="s">
        <v>126</v>
      </c>
      <c r="F178" s="12" t="s">
        <v>184</v>
      </c>
      <c r="G178" s="12" t="s">
        <v>184</v>
      </c>
      <c r="H178" s="12" t="s">
        <v>1025</v>
      </c>
      <c r="I178" s="12" t="s">
        <v>1026</v>
      </c>
    </row>
    <row r="179" spans="1:9">
      <c r="A179" s="14">
        <v>10730</v>
      </c>
      <c r="B179" s="14" t="s">
        <v>341</v>
      </c>
      <c r="C179" s="12" t="s">
        <v>510</v>
      </c>
      <c r="D179" s="15" t="str">
        <f t="shared" si="2"/>
        <v>Amazon Knowledge Management - RST</v>
      </c>
      <c r="E179" s="12" t="s">
        <v>126</v>
      </c>
      <c r="F179" s="12" t="s">
        <v>184</v>
      </c>
      <c r="G179" s="12" t="s">
        <v>184</v>
      </c>
      <c r="H179" s="12" t="s">
        <v>1025</v>
      </c>
      <c r="I179" s="12" t="s">
        <v>1026</v>
      </c>
    </row>
    <row r="180" spans="1:9">
      <c r="A180" s="14">
        <v>10730</v>
      </c>
      <c r="B180" s="14" t="s">
        <v>341</v>
      </c>
      <c r="C180" s="12" t="s">
        <v>172</v>
      </c>
      <c r="D180" s="15" t="str">
        <f t="shared" si="2"/>
        <v>Amazon Knowledge Management - SME</v>
      </c>
      <c r="E180" s="12" t="s">
        <v>126</v>
      </c>
      <c r="F180" s="12" t="s">
        <v>184</v>
      </c>
      <c r="G180" s="12" t="s">
        <v>184</v>
      </c>
      <c r="H180" s="12" t="s">
        <v>1025</v>
      </c>
      <c r="I180" s="12" t="s">
        <v>1026</v>
      </c>
    </row>
    <row r="181" spans="1:9">
      <c r="A181" s="14">
        <v>10730</v>
      </c>
      <c r="B181" s="14" t="s">
        <v>341</v>
      </c>
      <c r="C181" s="12" t="s">
        <v>145</v>
      </c>
      <c r="D181" s="15" t="str">
        <f t="shared" si="2"/>
        <v>Amazon Knowledge Management - SUP</v>
      </c>
      <c r="E181" s="12" t="s">
        <v>126</v>
      </c>
      <c r="F181" s="12" t="s">
        <v>184</v>
      </c>
      <c r="G181" s="12" t="s">
        <v>184</v>
      </c>
      <c r="H181" s="12" t="s">
        <v>1025</v>
      </c>
      <c r="I181" s="12" t="s">
        <v>1026</v>
      </c>
    </row>
    <row r="182" spans="1:9">
      <c r="A182" s="14">
        <v>10730</v>
      </c>
      <c r="B182" s="14" t="s">
        <v>341</v>
      </c>
      <c r="C182" s="12" t="s">
        <v>198</v>
      </c>
      <c r="D182" s="15" t="str">
        <f t="shared" si="2"/>
        <v>Amazon Knowledge Management - TEC</v>
      </c>
      <c r="E182" s="12" t="s">
        <v>126</v>
      </c>
      <c r="F182" s="12" t="s">
        <v>184</v>
      </c>
      <c r="G182" s="12" t="s">
        <v>184</v>
      </c>
      <c r="H182" s="12" t="s">
        <v>1025</v>
      </c>
      <c r="I182" s="12" t="s">
        <v>1026</v>
      </c>
    </row>
    <row r="183" spans="1:9">
      <c r="A183" s="14">
        <v>10730</v>
      </c>
      <c r="B183" s="14" t="s">
        <v>341</v>
      </c>
      <c r="C183" s="12" t="s">
        <v>180</v>
      </c>
      <c r="D183" s="15" t="str">
        <f t="shared" si="2"/>
        <v>Amazon Knowledge Management - TMG</v>
      </c>
      <c r="E183" s="12" t="s">
        <v>126</v>
      </c>
      <c r="F183" s="12" t="s">
        <v>184</v>
      </c>
      <c r="G183" s="12" t="s">
        <v>184</v>
      </c>
      <c r="H183" s="12" t="s">
        <v>1025</v>
      </c>
      <c r="I183" s="12" t="s">
        <v>1026</v>
      </c>
    </row>
    <row r="184" spans="1:9">
      <c r="A184" s="14">
        <v>10695</v>
      </c>
      <c r="B184" s="14" t="s">
        <v>315</v>
      </c>
      <c r="C184" s="12" t="s">
        <v>133</v>
      </c>
      <c r="D184" s="15" t="str">
        <f t="shared" si="2"/>
        <v>Amazon LifeCycle IND - AMG</v>
      </c>
      <c r="E184" s="12" t="s">
        <v>126</v>
      </c>
      <c r="F184" s="12" t="s">
        <v>127</v>
      </c>
      <c r="G184" s="12" t="s">
        <v>128</v>
      </c>
      <c r="H184" s="12" t="s">
        <v>1025</v>
      </c>
      <c r="I184" s="12" t="s">
        <v>1026</v>
      </c>
    </row>
    <row r="185" spans="1:9">
      <c r="A185" s="14">
        <v>10695</v>
      </c>
      <c r="B185" s="14" t="s">
        <v>315</v>
      </c>
      <c r="C185" s="12" t="s">
        <v>161</v>
      </c>
      <c r="D185" s="15" t="str">
        <f t="shared" si="2"/>
        <v>Amazon LifeCycle IND - ECC</v>
      </c>
      <c r="E185" s="12" t="s">
        <v>126</v>
      </c>
      <c r="F185" s="12" t="s">
        <v>127</v>
      </c>
      <c r="G185" s="12" t="s">
        <v>128</v>
      </c>
      <c r="H185" s="12" t="s">
        <v>1025</v>
      </c>
      <c r="I185" s="12" t="s">
        <v>1026</v>
      </c>
    </row>
    <row r="186" spans="1:9">
      <c r="A186" s="14">
        <v>10695</v>
      </c>
      <c r="B186" s="14" t="s">
        <v>315</v>
      </c>
      <c r="C186" s="12" t="s">
        <v>111</v>
      </c>
      <c r="D186" s="15" t="str">
        <f t="shared" si="2"/>
        <v>Amazon LifeCycle IND - QLY</v>
      </c>
      <c r="E186" s="12" t="s">
        <v>112</v>
      </c>
      <c r="F186" s="12" t="s">
        <v>113</v>
      </c>
      <c r="G186" s="12" t="s">
        <v>114</v>
      </c>
      <c r="H186" s="12" t="s">
        <v>1025</v>
      </c>
      <c r="I186" s="12" t="s">
        <v>1026</v>
      </c>
    </row>
    <row r="187" spans="1:9">
      <c r="A187" s="14">
        <v>10695</v>
      </c>
      <c r="B187" s="14" t="s">
        <v>315</v>
      </c>
      <c r="C187" s="12" t="s">
        <v>172</v>
      </c>
      <c r="D187" s="15" t="str">
        <f t="shared" si="2"/>
        <v>Amazon LifeCycle IND - SME</v>
      </c>
      <c r="E187" s="12" t="s">
        <v>126</v>
      </c>
      <c r="F187" s="12" t="s">
        <v>127</v>
      </c>
      <c r="G187" s="12" t="s">
        <v>128</v>
      </c>
      <c r="H187" s="12" t="s">
        <v>1025</v>
      </c>
      <c r="I187" s="12" t="s">
        <v>1026</v>
      </c>
    </row>
    <row r="188" spans="1:9">
      <c r="A188" s="14">
        <v>10695</v>
      </c>
      <c r="B188" s="14" t="s">
        <v>315</v>
      </c>
      <c r="C188" s="12" t="s">
        <v>145</v>
      </c>
      <c r="D188" s="15" t="str">
        <f t="shared" si="2"/>
        <v>Amazon LifeCycle IND - SUP</v>
      </c>
      <c r="E188" s="12" t="s">
        <v>126</v>
      </c>
      <c r="F188" s="12" t="s">
        <v>127</v>
      </c>
      <c r="G188" s="12" t="s">
        <v>128</v>
      </c>
      <c r="H188" s="12" t="s">
        <v>1025</v>
      </c>
      <c r="I188" s="12" t="s">
        <v>1026</v>
      </c>
    </row>
    <row r="189" spans="1:9">
      <c r="A189" s="14">
        <v>10695</v>
      </c>
      <c r="B189" s="14" t="s">
        <v>315</v>
      </c>
      <c r="C189" s="12" t="s">
        <v>180</v>
      </c>
      <c r="D189" s="15" t="str">
        <f t="shared" si="2"/>
        <v>Amazon LifeCycle IND - TMG</v>
      </c>
      <c r="E189" s="12" t="s">
        <v>126</v>
      </c>
      <c r="F189" s="12" t="s">
        <v>127</v>
      </c>
      <c r="G189" s="12" t="s">
        <v>128</v>
      </c>
      <c r="H189" s="12" t="s">
        <v>1025</v>
      </c>
      <c r="I189" s="12" t="s">
        <v>1026</v>
      </c>
    </row>
    <row r="190" spans="1:9">
      <c r="A190" s="14">
        <v>10695</v>
      </c>
      <c r="B190" s="14" t="s">
        <v>315</v>
      </c>
      <c r="C190" s="12" t="s">
        <v>208</v>
      </c>
      <c r="D190" s="15" t="str">
        <f t="shared" si="2"/>
        <v>Amazon LifeCycle IND - TTR</v>
      </c>
      <c r="E190" s="12" t="s">
        <v>112</v>
      </c>
      <c r="F190" s="12" t="s">
        <v>204</v>
      </c>
      <c r="G190" s="12" t="s">
        <v>205</v>
      </c>
      <c r="H190" s="12" t="s">
        <v>1025</v>
      </c>
      <c r="I190" s="12" t="s">
        <v>1026</v>
      </c>
    </row>
    <row r="191" spans="1:9">
      <c r="A191" s="14">
        <v>10000</v>
      </c>
      <c r="B191" s="14" t="s">
        <v>110</v>
      </c>
      <c r="C191" s="12">
        <v>799999</v>
      </c>
      <c r="D191" s="15" t="str">
        <f t="shared" si="2"/>
        <v>Amazon NA - 799999</v>
      </c>
      <c r="E191" s="12" t="s">
        <v>126</v>
      </c>
      <c r="F191" s="12" t="s">
        <v>127</v>
      </c>
      <c r="G191" s="12" t="s">
        <v>128</v>
      </c>
      <c r="H191" s="12" t="s">
        <v>1025</v>
      </c>
      <c r="I191" s="12" t="s">
        <v>1026</v>
      </c>
    </row>
    <row r="192" spans="1:9">
      <c r="A192" s="14">
        <v>10000</v>
      </c>
      <c r="B192" s="14" t="s">
        <v>110</v>
      </c>
      <c r="C192" s="12" t="s">
        <v>133</v>
      </c>
      <c r="D192" s="15" t="str">
        <f t="shared" si="2"/>
        <v>Amazon NA - AMG</v>
      </c>
      <c r="E192" s="12" t="s">
        <v>126</v>
      </c>
      <c r="F192" s="12" t="s">
        <v>127</v>
      </c>
      <c r="G192" s="12" t="s">
        <v>128</v>
      </c>
      <c r="H192" s="12" t="s">
        <v>1025</v>
      </c>
      <c r="I192" s="12" t="s">
        <v>1026</v>
      </c>
    </row>
    <row r="193" spans="1:9">
      <c r="A193" s="14">
        <v>10000</v>
      </c>
      <c r="B193" s="14" t="s">
        <v>110</v>
      </c>
      <c r="C193" s="12" t="s">
        <v>138</v>
      </c>
      <c r="D193" s="15" t="str">
        <f t="shared" si="2"/>
        <v>Amazon NA - BOS</v>
      </c>
      <c r="E193" s="12" t="s">
        <v>126</v>
      </c>
      <c r="F193" s="12" t="s">
        <v>127</v>
      </c>
      <c r="G193" s="12" t="s">
        <v>128</v>
      </c>
      <c r="H193" s="12" t="s">
        <v>1025</v>
      </c>
      <c r="I193" s="12" t="s">
        <v>1026</v>
      </c>
    </row>
    <row r="194" spans="1:9">
      <c r="A194" s="14">
        <v>10000</v>
      </c>
      <c r="B194" s="14" t="s">
        <v>110</v>
      </c>
      <c r="C194" s="12" t="s">
        <v>144</v>
      </c>
      <c r="D194" s="15" t="str">
        <f t="shared" ref="D194:D257" si="3">B194&amp;" - "&amp;C194</f>
        <v>Amazon NA - CCOD</v>
      </c>
      <c r="E194" s="12" t="s">
        <v>126</v>
      </c>
      <c r="F194" s="12" t="s">
        <v>127</v>
      </c>
      <c r="G194" s="12" t="s">
        <v>128</v>
      </c>
      <c r="H194" s="12" t="s">
        <v>1025</v>
      </c>
      <c r="I194" s="12" t="s">
        <v>1026</v>
      </c>
    </row>
    <row r="195" spans="1:9">
      <c r="A195" s="14">
        <v>10000</v>
      </c>
      <c r="B195" s="14" t="s">
        <v>110</v>
      </c>
      <c r="C195" s="12" t="s">
        <v>150</v>
      </c>
      <c r="D195" s="15" t="str">
        <f t="shared" si="3"/>
        <v>Amazon NA - CCS</v>
      </c>
      <c r="E195" s="12" t="s">
        <v>126</v>
      </c>
      <c r="F195" s="12" t="s">
        <v>127</v>
      </c>
      <c r="G195" s="12" t="s">
        <v>128</v>
      </c>
      <c r="H195" s="12" t="s">
        <v>1025</v>
      </c>
      <c r="I195" s="12" t="s">
        <v>1026</v>
      </c>
    </row>
    <row r="196" spans="1:9">
      <c r="A196" s="14">
        <v>10000</v>
      </c>
      <c r="B196" s="14" t="s">
        <v>110</v>
      </c>
      <c r="C196" s="12" t="s">
        <v>156</v>
      </c>
      <c r="D196" s="15" t="str">
        <f t="shared" si="3"/>
        <v>Amazon NA - CLR</v>
      </c>
      <c r="E196" s="12" t="s">
        <v>126</v>
      </c>
      <c r="F196" s="12" t="s">
        <v>127</v>
      </c>
      <c r="G196" s="12" t="s">
        <v>128</v>
      </c>
      <c r="H196" s="12" t="s">
        <v>1025</v>
      </c>
      <c r="I196" s="12" t="s">
        <v>1026</v>
      </c>
    </row>
    <row r="197" spans="1:9">
      <c r="A197" s="14">
        <v>10000</v>
      </c>
      <c r="B197" s="14" t="s">
        <v>110</v>
      </c>
      <c r="C197" s="12" t="s">
        <v>161</v>
      </c>
      <c r="D197" s="15" t="str">
        <f t="shared" si="3"/>
        <v>Amazon NA - ECC</v>
      </c>
      <c r="E197" s="12" t="s">
        <v>126</v>
      </c>
      <c r="F197" s="12" t="s">
        <v>127</v>
      </c>
      <c r="G197" s="12" t="s">
        <v>128</v>
      </c>
      <c r="H197" s="12" t="s">
        <v>1025</v>
      </c>
      <c r="I197" s="12" t="s">
        <v>1026</v>
      </c>
    </row>
    <row r="198" spans="1:9">
      <c r="A198" s="14">
        <v>10000</v>
      </c>
      <c r="B198" s="14" t="s">
        <v>110</v>
      </c>
      <c r="C198" s="12" t="s">
        <v>168</v>
      </c>
      <c r="D198" s="15" t="str">
        <f t="shared" si="3"/>
        <v>Amazon NA - ESC</v>
      </c>
      <c r="E198" s="12" t="s">
        <v>126</v>
      </c>
      <c r="F198" s="12" t="s">
        <v>127</v>
      </c>
      <c r="G198" s="12" t="s">
        <v>128</v>
      </c>
      <c r="H198" s="12" t="s">
        <v>1025</v>
      </c>
      <c r="I198" s="12" t="s">
        <v>1026</v>
      </c>
    </row>
    <row r="199" spans="1:9">
      <c r="A199" s="14">
        <v>10000</v>
      </c>
      <c r="B199" s="14" t="s">
        <v>110</v>
      </c>
      <c r="C199" s="12" t="s">
        <v>171</v>
      </c>
      <c r="D199" s="15" t="str">
        <f t="shared" si="3"/>
        <v>Amazon NA - ETE</v>
      </c>
      <c r="E199" s="12" t="s">
        <v>126</v>
      </c>
      <c r="F199" s="12" t="s">
        <v>127</v>
      </c>
      <c r="G199" s="12" t="s">
        <v>128</v>
      </c>
      <c r="H199" s="12" t="s">
        <v>1025</v>
      </c>
      <c r="I199" s="12" t="s">
        <v>1026</v>
      </c>
    </row>
    <row r="200" spans="1:9">
      <c r="A200" s="14">
        <v>10000</v>
      </c>
      <c r="B200" s="14" t="s">
        <v>110</v>
      </c>
      <c r="C200" s="12" t="s">
        <v>129</v>
      </c>
      <c r="D200" s="15" t="str">
        <f t="shared" si="3"/>
        <v>Amazon NA - MGT</v>
      </c>
      <c r="E200" s="12" t="s">
        <v>126</v>
      </c>
      <c r="F200" s="12" t="s">
        <v>127</v>
      </c>
      <c r="G200" s="12" t="s">
        <v>128</v>
      </c>
      <c r="H200" s="12" t="s">
        <v>1025</v>
      </c>
      <c r="I200" s="12" t="s">
        <v>1026</v>
      </c>
    </row>
    <row r="201" spans="1:9">
      <c r="A201" s="14">
        <v>10000</v>
      </c>
      <c r="B201" s="14" t="s">
        <v>110</v>
      </c>
      <c r="C201" s="12" t="s">
        <v>177</v>
      </c>
      <c r="D201" s="15" t="str">
        <f t="shared" si="3"/>
        <v>Amazon NA - OPS</v>
      </c>
      <c r="E201" s="12" t="s">
        <v>126</v>
      </c>
      <c r="F201" s="12" t="s">
        <v>178</v>
      </c>
      <c r="G201" s="12" t="s">
        <v>128</v>
      </c>
      <c r="H201" s="12" t="s">
        <v>1025</v>
      </c>
      <c r="I201" s="12" t="s">
        <v>1026</v>
      </c>
    </row>
    <row r="202" spans="1:9">
      <c r="A202" s="14">
        <v>10000</v>
      </c>
      <c r="B202" s="14" t="s">
        <v>110</v>
      </c>
      <c r="C202" s="12" t="s">
        <v>116</v>
      </c>
      <c r="D202" s="15" t="str">
        <f t="shared" si="3"/>
        <v>Amazon NA - PRD</v>
      </c>
      <c r="E202" s="12" t="s">
        <v>126</v>
      </c>
      <c r="F202" s="12" t="s">
        <v>127</v>
      </c>
      <c r="G202" s="12" t="s">
        <v>128</v>
      </c>
      <c r="H202" s="12" t="s">
        <v>1025</v>
      </c>
      <c r="I202" s="12" t="s">
        <v>1026</v>
      </c>
    </row>
    <row r="203" spans="1:9">
      <c r="A203" s="14">
        <v>10000</v>
      </c>
      <c r="B203" s="14" t="s">
        <v>110</v>
      </c>
      <c r="C203" s="12" t="s">
        <v>111</v>
      </c>
      <c r="D203" s="15" t="str">
        <f t="shared" si="3"/>
        <v>Amazon NA - QLY</v>
      </c>
      <c r="E203" s="12" t="s">
        <v>112</v>
      </c>
      <c r="F203" s="12" t="s">
        <v>113</v>
      </c>
      <c r="G203" s="12" t="s">
        <v>114</v>
      </c>
      <c r="H203" s="12" t="s">
        <v>1025</v>
      </c>
      <c r="I203" s="12" t="s">
        <v>1026</v>
      </c>
    </row>
    <row r="204" spans="1:9">
      <c r="A204" s="14">
        <v>10000</v>
      </c>
      <c r="B204" s="14" t="s">
        <v>110</v>
      </c>
      <c r="C204" s="12" t="s">
        <v>172</v>
      </c>
      <c r="D204" s="15" t="str">
        <f t="shared" si="3"/>
        <v>Amazon NA - SME</v>
      </c>
      <c r="E204" s="12" t="s">
        <v>126</v>
      </c>
      <c r="F204" s="12" t="s">
        <v>127</v>
      </c>
      <c r="G204" s="12" t="s">
        <v>128</v>
      </c>
      <c r="H204" s="12" t="s">
        <v>1025</v>
      </c>
      <c r="I204" s="12" t="s">
        <v>1026</v>
      </c>
    </row>
    <row r="205" spans="1:9">
      <c r="A205" s="14">
        <v>10000</v>
      </c>
      <c r="B205" s="14" t="s">
        <v>110</v>
      </c>
      <c r="C205" s="12" t="s">
        <v>139</v>
      </c>
      <c r="D205" s="15" t="str">
        <f t="shared" si="3"/>
        <v>Amazon NA - SMGT</v>
      </c>
      <c r="E205" s="12" t="s">
        <v>126</v>
      </c>
      <c r="F205" s="12" t="s">
        <v>127</v>
      </c>
      <c r="G205" s="12" t="s">
        <v>128</v>
      </c>
      <c r="H205" s="12" t="s">
        <v>1025</v>
      </c>
      <c r="I205" s="12" t="s">
        <v>1026</v>
      </c>
    </row>
    <row r="206" spans="1:9">
      <c r="A206" s="14">
        <v>10000</v>
      </c>
      <c r="B206" s="14" t="s">
        <v>110</v>
      </c>
      <c r="C206" s="12" t="s">
        <v>119</v>
      </c>
      <c r="D206" s="15" t="str">
        <f t="shared" si="3"/>
        <v>Amazon NA - SQM</v>
      </c>
      <c r="E206" s="12" t="s">
        <v>112</v>
      </c>
      <c r="F206" s="12" t="s">
        <v>113</v>
      </c>
      <c r="G206" s="12" t="s">
        <v>114</v>
      </c>
      <c r="H206" s="12" t="s">
        <v>1025</v>
      </c>
      <c r="I206" s="12" t="s">
        <v>1026</v>
      </c>
    </row>
    <row r="207" spans="1:9">
      <c r="A207" s="14">
        <v>10000</v>
      </c>
      <c r="B207" s="14" t="s">
        <v>110</v>
      </c>
      <c r="C207" s="12" t="s">
        <v>145</v>
      </c>
      <c r="D207" s="15" t="str">
        <f t="shared" si="3"/>
        <v>Amazon NA - SUP</v>
      </c>
      <c r="E207" s="12" t="s">
        <v>126</v>
      </c>
      <c r="F207" s="12" t="s">
        <v>178</v>
      </c>
      <c r="G207" s="12" t="s">
        <v>128</v>
      </c>
      <c r="H207" s="12" t="s">
        <v>1025</v>
      </c>
      <c r="I207" s="12" t="s">
        <v>1026</v>
      </c>
    </row>
    <row r="208" spans="1:9">
      <c r="A208" s="14">
        <v>10000</v>
      </c>
      <c r="B208" s="14" t="s">
        <v>110</v>
      </c>
      <c r="C208" s="12" t="s">
        <v>196</v>
      </c>
      <c r="D208" s="15" t="str">
        <f t="shared" si="3"/>
        <v>Amazon NA - SUT</v>
      </c>
      <c r="E208" s="12" t="s">
        <v>126</v>
      </c>
      <c r="F208" s="12" t="s">
        <v>127</v>
      </c>
      <c r="G208" s="12" t="s">
        <v>128</v>
      </c>
      <c r="H208" s="12" t="s">
        <v>1025</v>
      </c>
      <c r="I208" s="12" t="s">
        <v>1026</v>
      </c>
    </row>
    <row r="209" spans="1:9">
      <c r="A209" s="14">
        <v>10000</v>
      </c>
      <c r="B209" s="14" t="s">
        <v>110</v>
      </c>
      <c r="C209" s="12" t="s">
        <v>198</v>
      </c>
      <c r="D209" s="15" t="str">
        <f t="shared" si="3"/>
        <v>Amazon NA - TEC</v>
      </c>
      <c r="E209" s="12" t="s">
        <v>126</v>
      </c>
      <c r="F209" s="12" t="s">
        <v>127</v>
      </c>
      <c r="G209" s="12" t="s">
        <v>128</v>
      </c>
      <c r="H209" s="12" t="s">
        <v>1025</v>
      </c>
      <c r="I209" s="12" t="s">
        <v>1026</v>
      </c>
    </row>
    <row r="210" spans="1:9">
      <c r="A210" s="14">
        <v>10000</v>
      </c>
      <c r="B210" s="14" t="s">
        <v>110</v>
      </c>
      <c r="C210" s="12" t="s">
        <v>180</v>
      </c>
      <c r="D210" s="15" t="str">
        <f t="shared" si="3"/>
        <v>Amazon NA - TMG</v>
      </c>
      <c r="E210" s="12" t="s">
        <v>126</v>
      </c>
      <c r="F210" s="12" t="s">
        <v>127</v>
      </c>
      <c r="G210" s="12" t="s">
        <v>128</v>
      </c>
      <c r="H210" s="12" t="s">
        <v>1025</v>
      </c>
      <c r="I210" s="12" t="s">
        <v>1026</v>
      </c>
    </row>
    <row r="211" spans="1:9">
      <c r="A211" s="14">
        <v>10000</v>
      </c>
      <c r="B211" s="14" t="s">
        <v>110</v>
      </c>
      <c r="C211" s="12" t="s">
        <v>185</v>
      </c>
      <c r="D211" s="15" t="str">
        <f t="shared" si="3"/>
        <v>Amazon NA - TPS</v>
      </c>
      <c r="E211" s="12" t="s">
        <v>126</v>
      </c>
      <c r="F211" s="12" t="s">
        <v>127</v>
      </c>
      <c r="G211" s="12" t="s">
        <v>128</v>
      </c>
      <c r="H211" s="12" t="s">
        <v>1025</v>
      </c>
      <c r="I211" s="12" t="s">
        <v>1026</v>
      </c>
    </row>
    <row r="212" spans="1:9">
      <c r="A212" s="14">
        <v>10000</v>
      </c>
      <c r="B212" s="14" t="s">
        <v>110</v>
      </c>
      <c r="C212" s="12" t="s">
        <v>203</v>
      </c>
      <c r="D212" s="15" t="str">
        <f t="shared" si="3"/>
        <v>Amazon NA - TRG</v>
      </c>
      <c r="E212" s="12" t="s">
        <v>112</v>
      </c>
      <c r="F212" s="12" t="s">
        <v>204</v>
      </c>
      <c r="G212" s="12" t="s">
        <v>205</v>
      </c>
      <c r="H212" s="12" t="s">
        <v>1025</v>
      </c>
      <c r="I212" s="12" t="s">
        <v>1026</v>
      </c>
    </row>
    <row r="213" spans="1:9">
      <c r="A213" s="14">
        <v>10000</v>
      </c>
      <c r="B213" s="14" t="s">
        <v>110</v>
      </c>
      <c r="C213" s="12" t="s">
        <v>208</v>
      </c>
      <c r="D213" s="15" t="str">
        <f t="shared" si="3"/>
        <v>Amazon NA - TTR</v>
      </c>
      <c r="E213" s="12" t="s">
        <v>112</v>
      </c>
      <c r="F213" s="12" t="s">
        <v>204</v>
      </c>
      <c r="G213" s="12" t="s">
        <v>205</v>
      </c>
      <c r="H213" s="12" t="s">
        <v>1025</v>
      </c>
      <c r="I213" s="12" t="s">
        <v>1026</v>
      </c>
    </row>
    <row r="214" spans="1:9">
      <c r="A214" s="14">
        <v>10743</v>
      </c>
      <c r="B214" s="14" t="s">
        <v>356</v>
      </c>
      <c r="C214" s="12" t="s">
        <v>133</v>
      </c>
      <c r="D214" s="15" t="str">
        <f t="shared" si="3"/>
        <v>Amazon NA Voice and MU - AMG</v>
      </c>
      <c r="E214" s="12" t="s">
        <v>126</v>
      </c>
      <c r="F214" s="12" t="s">
        <v>178</v>
      </c>
      <c r="G214" s="12" t="s">
        <v>128</v>
      </c>
      <c r="H214" s="12" t="s">
        <v>1025</v>
      </c>
      <c r="I214" s="12" t="s">
        <v>1026</v>
      </c>
    </row>
    <row r="215" spans="1:9">
      <c r="A215" s="14">
        <v>10743</v>
      </c>
      <c r="B215" s="14" t="s">
        <v>356</v>
      </c>
      <c r="C215" s="12" t="s">
        <v>150</v>
      </c>
      <c r="D215" s="15" t="str">
        <f t="shared" si="3"/>
        <v>Amazon NA Voice and MU - CCS</v>
      </c>
      <c r="E215" s="12" t="s">
        <v>126</v>
      </c>
      <c r="F215" s="12" t="s">
        <v>127</v>
      </c>
      <c r="G215" s="12" t="s">
        <v>128</v>
      </c>
      <c r="H215" s="12" t="s">
        <v>1025</v>
      </c>
      <c r="I215" s="12" t="s">
        <v>1026</v>
      </c>
    </row>
    <row r="216" spans="1:9">
      <c r="A216" s="14">
        <v>10743</v>
      </c>
      <c r="B216" s="14" t="s">
        <v>356</v>
      </c>
      <c r="C216" s="12" t="s">
        <v>161</v>
      </c>
      <c r="D216" s="15" t="str">
        <f t="shared" si="3"/>
        <v>Amazon NA Voice and MU - ECC</v>
      </c>
      <c r="E216" s="12" t="s">
        <v>126</v>
      </c>
      <c r="F216" s="12" t="s">
        <v>127</v>
      </c>
      <c r="G216" s="12" t="s">
        <v>128</v>
      </c>
      <c r="H216" s="12" t="s">
        <v>1025</v>
      </c>
      <c r="I216" s="12" t="s">
        <v>1026</v>
      </c>
    </row>
    <row r="217" spans="1:9">
      <c r="A217" s="14">
        <v>10743</v>
      </c>
      <c r="B217" s="14" t="s">
        <v>356</v>
      </c>
      <c r="C217" s="12" t="s">
        <v>172</v>
      </c>
      <c r="D217" s="15" t="str">
        <f t="shared" si="3"/>
        <v>Amazon NA Voice and MU - SME</v>
      </c>
      <c r="E217" s="12" t="s">
        <v>126</v>
      </c>
      <c r="F217" s="12" t="s">
        <v>127</v>
      </c>
      <c r="G217" s="12" t="s">
        <v>128</v>
      </c>
      <c r="H217" s="12" t="s">
        <v>1025</v>
      </c>
      <c r="I217" s="12" t="s">
        <v>1026</v>
      </c>
    </row>
    <row r="218" spans="1:9">
      <c r="A218" s="14">
        <v>10743</v>
      </c>
      <c r="B218" s="14" t="s">
        <v>356</v>
      </c>
      <c r="C218" s="12" t="s">
        <v>145</v>
      </c>
      <c r="D218" s="15" t="str">
        <f t="shared" si="3"/>
        <v>Amazon NA Voice and MU - SUP</v>
      </c>
      <c r="E218" s="12" t="s">
        <v>126</v>
      </c>
      <c r="F218" s="12" t="s">
        <v>127</v>
      </c>
      <c r="G218" s="12" t="s">
        <v>128</v>
      </c>
      <c r="H218" s="12" t="s">
        <v>1025</v>
      </c>
      <c r="I218" s="12" t="s">
        <v>1026</v>
      </c>
    </row>
    <row r="219" spans="1:9">
      <c r="A219" s="14">
        <v>10743</v>
      </c>
      <c r="B219" s="14" t="s">
        <v>356</v>
      </c>
      <c r="C219" s="12" t="s">
        <v>180</v>
      </c>
      <c r="D219" s="15" t="str">
        <f t="shared" si="3"/>
        <v>Amazon NA Voice and MU - TMG</v>
      </c>
      <c r="E219" s="12" t="s">
        <v>126</v>
      </c>
      <c r="F219" s="12" t="s">
        <v>127</v>
      </c>
      <c r="G219" s="12" t="s">
        <v>128</v>
      </c>
      <c r="H219" s="12" t="s">
        <v>1025</v>
      </c>
      <c r="I219" s="12" t="s">
        <v>1026</v>
      </c>
    </row>
    <row r="220" spans="1:9">
      <c r="A220" s="14">
        <v>10743</v>
      </c>
      <c r="B220" s="14" t="s">
        <v>356</v>
      </c>
      <c r="C220" s="12" t="s">
        <v>203</v>
      </c>
      <c r="D220" s="15" t="str">
        <f t="shared" si="3"/>
        <v>Amazon NA Voice and MU - TRG</v>
      </c>
      <c r="E220" s="12" t="s">
        <v>112</v>
      </c>
      <c r="F220" s="12" t="s">
        <v>204</v>
      </c>
      <c r="G220" s="12" t="s">
        <v>205</v>
      </c>
      <c r="H220" s="12" t="s">
        <v>1025</v>
      </c>
      <c r="I220" s="12" t="s">
        <v>1026</v>
      </c>
    </row>
    <row r="221" spans="1:9">
      <c r="A221" s="14">
        <v>10743</v>
      </c>
      <c r="B221" s="14" t="s">
        <v>356</v>
      </c>
      <c r="C221" s="12" t="s">
        <v>208</v>
      </c>
      <c r="D221" s="15" t="str">
        <f t="shared" si="3"/>
        <v>Amazon NA Voice and MU - TTR</v>
      </c>
      <c r="E221" s="12" t="s">
        <v>112</v>
      </c>
      <c r="F221" s="12" t="s">
        <v>204</v>
      </c>
      <c r="G221" s="12" t="s">
        <v>205</v>
      </c>
      <c r="H221" s="12" t="s">
        <v>1025</v>
      </c>
      <c r="I221" s="12" t="s">
        <v>1026</v>
      </c>
    </row>
    <row r="222" spans="1:9">
      <c r="A222" s="14">
        <v>10723</v>
      </c>
      <c r="B222" s="14" t="s">
        <v>335</v>
      </c>
      <c r="C222" s="12" t="s">
        <v>150</v>
      </c>
      <c r="D222" s="15" t="str">
        <f t="shared" si="3"/>
        <v>Amazon PLS - CCS</v>
      </c>
      <c r="E222" s="12" t="s">
        <v>126</v>
      </c>
      <c r="F222" s="12" t="s">
        <v>127</v>
      </c>
      <c r="G222" s="12" t="s">
        <v>128</v>
      </c>
      <c r="H222" s="12" t="s">
        <v>1025</v>
      </c>
      <c r="I222" s="12" t="s">
        <v>1026</v>
      </c>
    </row>
    <row r="223" spans="1:9">
      <c r="A223" s="14">
        <v>10723</v>
      </c>
      <c r="B223" s="14" t="s">
        <v>335</v>
      </c>
      <c r="C223" s="12" t="s">
        <v>161</v>
      </c>
      <c r="D223" s="15" t="str">
        <f t="shared" si="3"/>
        <v>Amazon PLS - ECC</v>
      </c>
      <c r="E223" s="12" t="s">
        <v>126</v>
      </c>
      <c r="F223" s="12" t="s">
        <v>127</v>
      </c>
      <c r="G223" s="12" t="s">
        <v>128</v>
      </c>
      <c r="H223" s="12" t="s">
        <v>1025</v>
      </c>
      <c r="I223" s="12" t="s">
        <v>1026</v>
      </c>
    </row>
    <row r="224" spans="1:9">
      <c r="A224" s="14">
        <v>10723</v>
      </c>
      <c r="B224" s="14" t="s">
        <v>335</v>
      </c>
      <c r="C224" s="12" t="s">
        <v>168</v>
      </c>
      <c r="D224" s="15" t="str">
        <f t="shared" si="3"/>
        <v>Amazon PLS - ESC</v>
      </c>
      <c r="E224" s="12" t="s">
        <v>126</v>
      </c>
      <c r="F224" s="12" t="s">
        <v>127</v>
      </c>
      <c r="G224" s="12" t="s">
        <v>128</v>
      </c>
      <c r="H224" s="12" t="s">
        <v>1025</v>
      </c>
      <c r="I224" s="12" t="s">
        <v>1026</v>
      </c>
    </row>
    <row r="225" spans="1:9">
      <c r="A225" s="14">
        <v>10723</v>
      </c>
      <c r="B225" s="14" t="s">
        <v>335</v>
      </c>
      <c r="C225" s="12" t="s">
        <v>129</v>
      </c>
      <c r="D225" s="15" t="str">
        <f t="shared" si="3"/>
        <v>Amazon PLS - MGT</v>
      </c>
      <c r="E225" s="12" t="s">
        <v>126</v>
      </c>
      <c r="F225" s="12" t="s">
        <v>127</v>
      </c>
      <c r="G225" s="12" t="s">
        <v>128</v>
      </c>
      <c r="H225" s="12" t="s">
        <v>1025</v>
      </c>
      <c r="I225" s="12" t="s">
        <v>1026</v>
      </c>
    </row>
    <row r="226" spans="1:9">
      <c r="A226" s="14">
        <v>10723</v>
      </c>
      <c r="B226" s="14" t="s">
        <v>335</v>
      </c>
      <c r="C226" s="12" t="s">
        <v>116</v>
      </c>
      <c r="D226" s="15" t="str">
        <f t="shared" si="3"/>
        <v>Amazon PLS - PRD</v>
      </c>
      <c r="E226" s="12" t="s">
        <v>126</v>
      </c>
      <c r="F226" s="12" t="s">
        <v>127</v>
      </c>
      <c r="G226" s="12" t="s">
        <v>128</v>
      </c>
      <c r="H226" s="12" t="s">
        <v>1025</v>
      </c>
      <c r="I226" s="12" t="s">
        <v>1026</v>
      </c>
    </row>
    <row r="227" spans="1:9">
      <c r="A227" s="14">
        <v>10723</v>
      </c>
      <c r="B227" s="14" t="s">
        <v>335</v>
      </c>
      <c r="C227" s="12" t="s">
        <v>111</v>
      </c>
      <c r="D227" s="15" t="str">
        <f t="shared" si="3"/>
        <v>Amazon PLS - QLY</v>
      </c>
      <c r="E227" s="12" t="s">
        <v>112</v>
      </c>
      <c r="F227" s="12" t="s">
        <v>113</v>
      </c>
      <c r="G227" s="12" t="s">
        <v>114</v>
      </c>
      <c r="H227" s="12" t="s">
        <v>1025</v>
      </c>
      <c r="I227" s="12" t="s">
        <v>1026</v>
      </c>
    </row>
    <row r="228" spans="1:9">
      <c r="A228" s="14">
        <v>10723</v>
      </c>
      <c r="B228" s="14" t="s">
        <v>335</v>
      </c>
      <c r="C228" s="12" t="s">
        <v>172</v>
      </c>
      <c r="D228" s="15" t="str">
        <f t="shared" si="3"/>
        <v>Amazon PLS - SME</v>
      </c>
      <c r="E228" s="12" t="s">
        <v>126</v>
      </c>
      <c r="F228" s="12" t="s">
        <v>127</v>
      </c>
      <c r="G228" s="12" t="s">
        <v>128</v>
      </c>
      <c r="H228" s="12" t="s">
        <v>1025</v>
      </c>
      <c r="I228" s="12" t="s">
        <v>1026</v>
      </c>
    </row>
    <row r="229" spans="1:9">
      <c r="A229" s="14">
        <v>10723</v>
      </c>
      <c r="B229" s="14" t="s">
        <v>335</v>
      </c>
      <c r="C229" s="12" t="s">
        <v>119</v>
      </c>
      <c r="D229" s="15" t="str">
        <f t="shared" si="3"/>
        <v>Amazon PLS - SQM</v>
      </c>
      <c r="E229" s="12" t="s">
        <v>112</v>
      </c>
      <c r="F229" s="12" t="s">
        <v>113</v>
      </c>
      <c r="G229" s="12" t="s">
        <v>114</v>
      </c>
      <c r="H229" s="12" t="s">
        <v>1025</v>
      </c>
      <c r="I229" s="12" t="s">
        <v>1026</v>
      </c>
    </row>
    <row r="230" spans="1:9">
      <c r="A230" s="14">
        <v>10723</v>
      </c>
      <c r="B230" s="14" t="s">
        <v>335</v>
      </c>
      <c r="C230" s="12" t="s">
        <v>145</v>
      </c>
      <c r="D230" s="15" t="str">
        <f t="shared" si="3"/>
        <v>Amazon PLS - SUP</v>
      </c>
      <c r="E230" s="12" t="s">
        <v>126</v>
      </c>
      <c r="F230" s="12" t="s">
        <v>127</v>
      </c>
      <c r="G230" s="12" t="s">
        <v>128</v>
      </c>
      <c r="H230" s="12" t="s">
        <v>1025</v>
      </c>
      <c r="I230" s="12" t="s">
        <v>1026</v>
      </c>
    </row>
    <row r="231" spans="1:9">
      <c r="A231" s="14">
        <v>10723</v>
      </c>
      <c r="B231" s="14" t="s">
        <v>335</v>
      </c>
      <c r="C231" s="12" t="s">
        <v>198</v>
      </c>
      <c r="D231" s="15" t="str">
        <f t="shared" si="3"/>
        <v>Amazon PLS - TEC</v>
      </c>
      <c r="E231" s="12" t="s">
        <v>126</v>
      </c>
      <c r="F231" s="12" t="s">
        <v>127</v>
      </c>
      <c r="G231" s="12" t="s">
        <v>128</v>
      </c>
      <c r="H231" s="12" t="s">
        <v>1025</v>
      </c>
      <c r="I231" s="12" t="s">
        <v>1026</v>
      </c>
    </row>
    <row r="232" spans="1:9">
      <c r="A232" s="14">
        <v>10723</v>
      </c>
      <c r="B232" s="14" t="s">
        <v>335</v>
      </c>
      <c r="C232" s="12" t="s">
        <v>180</v>
      </c>
      <c r="D232" s="15" t="str">
        <f t="shared" si="3"/>
        <v>Amazon PLS - TMG</v>
      </c>
      <c r="E232" s="12" t="s">
        <v>126</v>
      </c>
      <c r="F232" s="12" t="s">
        <v>127</v>
      </c>
      <c r="G232" s="12" t="s">
        <v>128</v>
      </c>
      <c r="H232" s="12" t="s">
        <v>1025</v>
      </c>
      <c r="I232" s="12" t="s">
        <v>1026</v>
      </c>
    </row>
    <row r="233" spans="1:9">
      <c r="A233" s="14">
        <v>10723</v>
      </c>
      <c r="B233" s="14" t="s">
        <v>335</v>
      </c>
      <c r="C233" s="12" t="s">
        <v>208</v>
      </c>
      <c r="D233" s="15" t="str">
        <f t="shared" si="3"/>
        <v>Amazon PLS - TTR</v>
      </c>
      <c r="E233" s="12" t="s">
        <v>112</v>
      </c>
      <c r="F233" s="12" t="s">
        <v>204</v>
      </c>
      <c r="G233" s="12" t="s">
        <v>205</v>
      </c>
      <c r="H233" s="12" t="s">
        <v>1025</v>
      </c>
      <c r="I233" s="12" t="s">
        <v>1026</v>
      </c>
    </row>
    <row r="234" spans="1:9">
      <c r="A234" s="14">
        <v>10008</v>
      </c>
      <c r="B234" s="14" t="s">
        <v>130</v>
      </c>
      <c r="C234" s="12" t="s">
        <v>133</v>
      </c>
      <c r="D234" s="15" t="str">
        <f t="shared" si="3"/>
        <v>Amazon Seller Support - AMG</v>
      </c>
      <c r="E234" s="12" t="s">
        <v>126</v>
      </c>
      <c r="F234" s="12" t="s">
        <v>178</v>
      </c>
      <c r="G234" s="12" t="s">
        <v>128</v>
      </c>
      <c r="H234" s="12" t="s">
        <v>1025</v>
      </c>
      <c r="I234" s="12" t="s">
        <v>1026</v>
      </c>
    </row>
    <row r="235" spans="1:9">
      <c r="A235" s="14">
        <v>10008</v>
      </c>
      <c r="B235" s="14" t="s">
        <v>130</v>
      </c>
      <c r="C235" s="12" t="s">
        <v>150</v>
      </c>
      <c r="D235" s="15" t="str">
        <f t="shared" si="3"/>
        <v>Amazon Seller Support - CCS</v>
      </c>
      <c r="E235" s="12" t="s">
        <v>126</v>
      </c>
      <c r="F235" s="12" t="s">
        <v>178</v>
      </c>
      <c r="G235" s="12" t="s">
        <v>128</v>
      </c>
      <c r="H235" s="12" t="s">
        <v>1025</v>
      </c>
      <c r="I235" s="12" t="s">
        <v>1026</v>
      </c>
    </row>
    <row r="236" spans="1:9">
      <c r="A236" s="14">
        <v>10008</v>
      </c>
      <c r="B236" s="14" t="s">
        <v>130</v>
      </c>
      <c r="C236" s="12" t="s">
        <v>161</v>
      </c>
      <c r="D236" s="15" t="str">
        <f t="shared" si="3"/>
        <v>Amazon Seller Support - ECC</v>
      </c>
      <c r="E236" s="12" t="s">
        <v>126</v>
      </c>
      <c r="F236" s="12" t="s">
        <v>178</v>
      </c>
      <c r="G236" s="12" t="s">
        <v>128</v>
      </c>
      <c r="H236" s="12" t="s">
        <v>1025</v>
      </c>
      <c r="I236" s="12" t="s">
        <v>1026</v>
      </c>
    </row>
    <row r="237" spans="1:9">
      <c r="A237" s="14">
        <v>10008</v>
      </c>
      <c r="B237" s="14" t="s">
        <v>130</v>
      </c>
      <c r="C237" s="12" t="s">
        <v>171</v>
      </c>
      <c r="D237" s="15" t="str">
        <f t="shared" si="3"/>
        <v>Amazon Seller Support - ETE</v>
      </c>
      <c r="E237" s="12" t="s">
        <v>126</v>
      </c>
      <c r="F237" s="12" t="s">
        <v>178</v>
      </c>
      <c r="G237" s="12" t="s">
        <v>128</v>
      </c>
      <c r="H237" s="12" t="s">
        <v>1025</v>
      </c>
      <c r="I237" s="12" t="s">
        <v>1026</v>
      </c>
    </row>
    <row r="238" spans="1:9">
      <c r="A238" s="14">
        <v>10008</v>
      </c>
      <c r="B238" s="14" t="s">
        <v>130</v>
      </c>
      <c r="C238" s="12" t="s">
        <v>129</v>
      </c>
      <c r="D238" s="15" t="str">
        <f t="shared" si="3"/>
        <v>Amazon Seller Support - MGT</v>
      </c>
      <c r="E238" s="12" t="s">
        <v>126</v>
      </c>
      <c r="F238" s="12" t="s">
        <v>178</v>
      </c>
      <c r="G238" s="12" t="s">
        <v>128</v>
      </c>
      <c r="H238" s="12" t="s">
        <v>1025</v>
      </c>
      <c r="I238" s="12" t="s">
        <v>1026</v>
      </c>
    </row>
    <row r="239" spans="1:9">
      <c r="A239" s="14">
        <v>10008</v>
      </c>
      <c r="B239" s="14" t="s">
        <v>130</v>
      </c>
      <c r="C239" s="12" t="s">
        <v>177</v>
      </c>
      <c r="D239" s="15" t="str">
        <f t="shared" si="3"/>
        <v>Amazon Seller Support - OPS</v>
      </c>
      <c r="E239" s="12" t="s">
        <v>126</v>
      </c>
      <c r="F239" s="12" t="s">
        <v>178</v>
      </c>
      <c r="G239" s="12" t="s">
        <v>128</v>
      </c>
      <c r="H239" s="12" t="s">
        <v>1025</v>
      </c>
      <c r="I239" s="12" t="s">
        <v>1026</v>
      </c>
    </row>
    <row r="240" spans="1:9">
      <c r="A240" s="14">
        <v>10008</v>
      </c>
      <c r="B240" s="14" t="s">
        <v>130</v>
      </c>
      <c r="C240" s="12" t="s">
        <v>116</v>
      </c>
      <c r="D240" s="15" t="str">
        <f t="shared" si="3"/>
        <v>Amazon Seller Support - PRD</v>
      </c>
      <c r="E240" s="12" t="s">
        <v>126</v>
      </c>
      <c r="F240" s="12" t="s">
        <v>178</v>
      </c>
      <c r="G240" s="12" t="s">
        <v>128</v>
      </c>
      <c r="H240" s="12" t="s">
        <v>1025</v>
      </c>
      <c r="I240" s="12" t="s">
        <v>1026</v>
      </c>
    </row>
    <row r="241" spans="1:9">
      <c r="A241" s="14">
        <v>10008</v>
      </c>
      <c r="B241" s="14" t="s">
        <v>130</v>
      </c>
      <c r="C241" s="12" t="s">
        <v>230</v>
      </c>
      <c r="D241" s="15" t="str">
        <f t="shared" si="3"/>
        <v>Amazon Seller Support - PRSP</v>
      </c>
      <c r="E241" s="12" t="s">
        <v>126</v>
      </c>
      <c r="F241" s="12" t="s">
        <v>178</v>
      </c>
      <c r="G241" s="12" t="s">
        <v>128</v>
      </c>
      <c r="H241" s="12" t="s">
        <v>1025</v>
      </c>
      <c r="I241" s="12" t="s">
        <v>1026</v>
      </c>
    </row>
    <row r="242" spans="1:9">
      <c r="A242" s="14">
        <v>10008</v>
      </c>
      <c r="B242" s="14" t="s">
        <v>130</v>
      </c>
      <c r="C242" s="12" t="s">
        <v>111</v>
      </c>
      <c r="D242" s="15" t="str">
        <f t="shared" si="3"/>
        <v>Amazon Seller Support - QLY</v>
      </c>
      <c r="E242" s="12" t="s">
        <v>112</v>
      </c>
      <c r="F242" s="12" t="s">
        <v>113</v>
      </c>
      <c r="G242" s="12" t="s">
        <v>114</v>
      </c>
      <c r="H242" s="12" t="s">
        <v>1025</v>
      </c>
      <c r="I242" s="12" t="s">
        <v>1026</v>
      </c>
    </row>
    <row r="243" spans="1:9">
      <c r="A243" s="14">
        <v>10008</v>
      </c>
      <c r="B243" s="14" t="s">
        <v>130</v>
      </c>
      <c r="C243" s="12" t="s">
        <v>172</v>
      </c>
      <c r="D243" s="15" t="str">
        <f t="shared" si="3"/>
        <v>Amazon Seller Support - SME</v>
      </c>
      <c r="E243" s="12" t="s">
        <v>126</v>
      </c>
      <c r="F243" s="12" t="s">
        <v>127</v>
      </c>
      <c r="G243" s="12" t="s">
        <v>128</v>
      </c>
      <c r="H243" s="12" t="s">
        <v>1025</v>
      </c>
      <c r="I243" s="12" t="s">
        <v>1026</v>
      </c>
    </row>
    <row r="244" spans="1:9">
      <c r="A244" s="14">
        <v>10008</v>
      </c>
      <c r="B244" s="14" t="s">
        <v>130</v>
      </c>
      <c r="C244" s="12" t="s">
        <v>119</v>
      </c>
      <c r="D244" s="15" t="str">
        <f t="shared" si="3"/>
        <v>Amazon Seller Support - SQM</v>
      </c>
      <c r="E244" s="12" t="s">
        <v>112</v>
      </c>
      <c r="F244" s="12" t="s">
        <v>113</v>
      </c>
      <c r="G244" s="12" t="s">
        <v>114</v>
      </c>
      <c r="H244" s="12" t="s">
        <v>1025</v>
      </c>
      <c r="I244" s="12" t="s">
        <v>1026</v>
      </c>
    </row>
    <row r="245" spans="1:9">
      <c r="A245" s="14">
        <v>10008</v>
      </c>
      <c r="B245" s="14" t="s">
        <v>130</v>
      </c>
      <c r="C245" s="12" t="s">
        <v>145</v>
      </c>
      <c r="D245" s="15" t="str">
        <f t="shared" si="3"/>
        <v>Amazon Seller Support - SUP</v>
      </c>
      <c r="E245" s="12" t="s">
        <v>126</v>
      </c>
      <c r="F245" s="12" t="s">
        <v>178</v>
      </c>
      <c r="G245" s="12" t="s">
        <v>128</v>
      </c>
      <c r="H245" s="12" t="s">
        <v>1025</v>
      </c>
      <c r="I245" s="12" t="s">
        <v>1026</v>
      </c>
    </row>
    <row r="246" spans="1:9">
      <c r="A246" s="14">
        <v>10008</v>
      </c>
      <c r="B246" s="14" t="s">
        <v>130</v>
      </c>
      <c r="C246" s="12" t="s">
        <v>196</v>
      </c>
      <c r="D246" s="15" t="str">
        <f t="shared" si="3"/>
        <v>Amazon Seller Support - SUT</v>
      </c>
      <c r="E246" s="12" t="s">
        <v>126</v>
      </c>
      <c r="F246" s="12" t="s">
        <v>127</v>
      </c>
      <c r="G246" s="12" t="s">
        <v>128</v>
      </c>
      <c r="H246" s="12" t="s">
        <v>1025</v>
      </c>
      <c r="I246" s="12" t="s">
        <v>1026</v>
      </c>
    </row>
    <row r="247" spans="1:9">
      <c r="A247" s="14">
        <v>10008</v>
      </c>
      <c r="B247" s="14" t="s">
        <v>130</v>
      </c>
      <c r="C247" s="12" t="s">
        <v>198</v>
      </c>
      <c r="D247" s="15" t="str">
        <f t="shared" si="3"/>
        <v>Amazon Seller Support - TEC</v>
      </c>
      <c r="E247" s="12" t="s">
        <v>126</v>
      </c>
      <c r="F247" s="12" t="s">
        <v>127</v>
      </c>
      <c r="G247" s="12" t="s">
        <v>128</v>
      </c>
      <c r="H247" s="12" t="s">
        <v>1025</v>
      </c>
      <c r="I247" s="12" t="s">
        <v>1026</v>
      </c>
    </row>
    <row r="248" spans="1:9">
      <c r="A248" s="14">
        <v>10008</v>
      </c>
      <c r="B248" s="14" t="s">
        <v>130</v>
      </c>
      <c r="C248" s="12" t="s">
        <v>180</v>
      </c>
      <c r="D248" s="15" t="str">
        <f t="shared" si="3"/>
        <v>Amazon Seller Support - TMG</v>
      </c>
      <c r="E248" s="12" t="s">
        <v>126</v>
      </c>
      <c r="F248" s="12" t="s">
        <v>127</v>
      </c>
      <c r="G248" s="12" t="s">
        <v>128</v>
      </c>
      <c r="H248" s="12" t="s">
        <v>1025</v>
      </c>
      <c r="I248" s="12" t="s">
        <v>1026</v>
      </c>
    </row>
    <row r="249" spans="1:9">
      <c r="A249" s="14">
        <v>10008</v>
      </c>
      <c r="B249" s="14" t="s">
        <v>130</v>
      </c>
      <c r="C249" s="12" t="s">
        <v>203</v>
      </c>
      <c r="D249" s="15" t="str">
        <f t="shared" si="3"/>
        <v>Amazon Seller Support - TRG</v>
      </c>
      <c r="E249" s="12" t="s">
        <v>112</v>
      </c>
      <c r="F249" s="12" t="s">
        <v>204</v>
      </c>
      <c r="G249" s="12" t="s">
        <v>205</v>
      </c>
      <c r="H249" s="12" t="s">
        <v>1025</v>
      </c>
      <c r="I249" s="12" t="s">
        <v>1026</v>
      </c>
    </row>
    <row r="250" spans="1:9">
      <c r="A250" s="14">
        <v>10008</v>
      </c>
      <c r="B250" s="14" t="s">
        <v>130</v>
      </c>
      <c r="C250" s="12" t="s">
        <v>208</v>
      </c>
      <c r="D250" s="15" t="str">
        <f t="shared" si="3"/>
        <v>Amazon Seller Support - TTR</v>
      </c>
      <c r="E250" s="12" t="s">
        <v>112</v>
      </c>
      <c r="F250" s="12" t="s">
        <v>204</v>
      </c>
      <c r="G250" s="12" t="s">
        <v>205</v>
      </c>
      <c r="H250" s="12" t="s">
        <v>1025</v>
      </c>
      <c r="I250" s="12" t="s">
        <v>1026</v>
      </c>
    </row>
    <row r="251" spans="1:9">
      <c r="A251" s="14">
        <v>10033</v>
      </c>
      <c r="B251" s="14" t="s">
        <v>179</v>
      </c>
      <c r="C251" s="12" t="s">
        <v>180</v>
      </c>
      <c r="D251" s="15" t="str">
        <f t="shared" si="3"/>
        <v>Amazon SIV - TMG</v>
      </c>
      <c r="E251" s="12" t="s">
        <v>126</v>
      </c>
      <c r="F251" s="12" t="s">
        <v>127</v>
      </c>
      <c r="G251" s="12" t="s">
        <v>128</v>
      </c>
      <c r="H251" s="12" t="s">
        <v>1025</v>
      </c>
      <c r="I251" s="12" t="s">
        <v>1026</v>
      </c>
    </row>
    <row r="252" spans="1:9">
      <c r="A252" s="14">
        <v>10707</v>
      </c>
      <c r="B252" s="14" t="s">
        <v>324</v>
      </c>
      <c r="C252" s="12" t="s">
        <v>133</v>
      </c>
      <c r="D252" s="15" t="str">
        <f t="shared" si="3"/>
        <v>Amazon SPS Mandarin - AMG</v>
      </c>
      <c r="E252" s="12" t="s">
        <v>126</v>
      </c>
      <c r="F252" s="12" t="s">
        <v>178</v>
      </c>
      <c r="G252" s="12" t="s">
        <v>128</v>
      </c>
      <c r="H252" s="12" t="s">
        <v>1025</v>
      </c>
      <c r="I252" s="12" t="s">
        <v>1026</v>
      </c>
    </row>
    <row r="253" spans="1:9">
      <c r="A253" s="14">
        <v>10707</v>
      </c>
      <c r="B253" s="14" t="s">
        <v>324</v>
      </c>
      <c r="C253" s="12" t="s">
        <v>161</v>
      </c>
      <c r="D253" s="15" t="str">
        <f t="shared" si="3"/>
        <v>Amazon SPS Mandarin - ECC</v>
      </c>
      <c r="E253" s="12" t="s">
        <v>126</v>
      </c>
      <c r="F253" s="12" t="s">
        <v>178</v>
      </c>
      <c r="G253" s="12" t="s">
        <v>128</v>
      </c>
      <c r="H253" s="12" t="s">
        <v>1025</v>
      </c>
      <c r="I253" s="12" t="s">
        <v>1026</v>
      </c>
    </row>
    <row r="254" spans="1:9">
      <c r="A254" s="14">
        <v>10707</v>
      </c>
      <c r="B254" s="14" t="s">
        <v>324</v>
      </c>
      <c r="C254" s="12" t="s">
        <v>116</v>
      </c>
      <c r="D254" s="15" t="str">
        <f t="shared" si="3"/>
        <v>Amazon SPS Mandarin - PRD</v>
      </c>
      <c r="E254" s="12" t="s">
        <v>126</v>
      </c>
      <c r="F254" s="12" t="s">
        <v>178</v>
      </c>
      <c r="G254" s="12" t="s">
        <v>128</v>
      </c>
      <c r="H254" s="12" t="s">
        <v>1025</v>
      </c>
      <c r="I254" s="12" t="s">
        <v>1026</v>
      </c>
    </row>
    <row r="255" spans="1:9">
      <c r="A255" s="14">
        <v>10707</v>
      </c>
      <c r="B255" s="14" t="s">
        <v>324</v>
      </c>
      <c r="C255" s="12" t="s">
        <v>145</v>
      </c>
      <c r="D255" s="15" t="str">
        <f t="shared" si="3"/>
        <v>Amazon SPS Mandarin - SUP</v>
      </c>
      <c r="E255" s="12" t="s">
        <v>126</v>
      </c>
      <c r="F255" s="12" t="s">
        <v>178</v>
      </c>
      <c r="G255" s="12" t="s">
        <v>128</v>
      </c>
      <c r="H255" s="12" t="s">
        <v>1025</v>
      </c>
      <c r="I255" s="12" t="s">
        <v>1026</v>
      </c>
    </row>
    <row r="256" spans="1:9">
      <c r="A256" s="14">
        <v>10707</v>
      </c>
      <c r="B256" s="14" t="s">
        <v>324</v>
      </c>
      <c r="C256" s="12" t="s">
        <v>180</v>
      </c>
      <c r="D256" s="15" t="str">
        <f t="shared" si="3"/>
        <v>Amazon SPS Mandarin - TMG</v>
      </c>
      <c r="E256" s="12" t="s">
        <v>126</v>
      </c>
      <c r="F256" s="12" t="s">
        <v>178</v>
      </c>
      <c r="G256" s="12" t="s">
        <v>128</v>
      </c>
      <c r="H256" s="12" t="s">
        <v>1025</v>
      </c>
      <c r="I256" s="12" t="s">
        <v>1026</v>
      </c>
    </row>
    <row r="257" spans="1:9">
      <c r="A257" s="14">
        <v>10006</v>
      </c>
      <c r="B257" s="14" t="s">
        <v>123</v>
      </c>
      <c r="C257" s="12" t="s">
        <v>133</v>
      </c>
      <c r="D257" s="15" t="str">
        <f t="shared" si="3"/>
        <v>Amazon UK - AMG</v>
      </c>
      <c r="E257" s="12" t="s">
        <v>126</v>
      </c>
      <c r="F257" s="12" t="s">
        <v>178</v>
      </c>
      <c r="G257" s="12" t="s">
        <v>128</v>
      </c>
      <c r="H257" s="12" t="s">
        <v>1025</v>
      </c>
      <c r="I257" s="12" t="s">
        <v>1026</v>
      </c>
    </row>
    <row r="258" spans="1:9">
      <c r="A258" s="14">
        <v>10006</v>
      </c>
      <c r="B258" s="14" t="s">
        <v>123</v>
      </c>
      <c r="C258" s="12" t="s">
        <v>144</v>
      </c>
      <c r="D258" s="15" t="str">
        <f t="shared" ref="D258:D321" si="4">B258&amp;" - "&amp;C258</f>
        <v>Amazon UK - CCOD</v>
      </c>
      <c r="E258" s="12" t="s">
        <v>126</v>
      </c>
      <c r="F258" s="12" t="s">
        <v>178</v>
      </c>
      <c r="G258" s="12" t="s">
        <v>128</v>
      </c>
      <c r="H258" s="12" t="s">
        <v>1025</v>
      </c>
      <c r="I258" s="12" t="s">
        <v>1026</v>
      </c>
    </row>
    <row r="259" spans="1:9">
      <c r="A259" s="14">
        <v>10006</v>
      </c>
      <c r="B259" s="14" t="s">
        <v>123</v>
      </c>
      <c r="C259" s="12" t="s">
        <v>150</v>
      </c>
      <c r="D259" s="15" t="str">
        <f t="shared" si="4"/>
        <v>Amazon UK - CCS</v>
      </c>
      <c r="E259" s="12" t="s">
        <v>126</v>
      </c>
      <c r="F259" s="12" t="s">
        <v>127</v>
      </c>
      <c r="G259" s="12" t="s">
        <v>128</v>
      </c>
      <c r="H259" s="12" t="s">
        <v>1025</v>
      </c>
      <c r="I259" s="12" t="s">
        <v>1026</v>
      </c>
    </row>
    <row r="260" spans="1:9">
      <c r="A260" s="14">
        <v>10006</v>
      </c>
      <c r="B260" s="14" t="s">
        <v>123</v>
      </c>
      <c r="C260" s="12" t="s">
        <v>161</v>
      </c>
      <c r="D260" s="15" t="str">
        <f t="shared" si="4"/>
        <v>Amazon UK - ECC</v>
      </c>
      <c r="E260" s="12" t="s">
        <v>126</v>
      </c>
      <c r="F260" s="12" t="s">
        <v>178</v>
      </c>
      <c r="G260" s="12" t="s">
        <v>128</v>
      </c>
      <c r="H260" s="12" t="s">
        <v>1025</v>
      </c>
      <c r="I260" s="12" t="s">
        <v>1026</v>
      </c>
    </row>
    <row r="261" spans="1:9">
      <c r="A261" s="14">
        <v>10006</v>
      </c>
      <c r="B261" s="14" t="s">
        <v>123</v>
      </c>
      <c r="C261" s="12" t="s">
        <v>218</v>
      </c>
      <c r="D261" s="15" t="str">
        <f t="shared" si="4"/>
        <v>Amazon UK - EMAIL</v>
      </c>
      <c r="E261" s="12" t="s">
        <v>126</v>
      </c>
      <c r="F261" s="12" t="s">
        <v>178</v>
      </c>
      <c r="G261" s="12" t="s">
        <v>128</v>
      </c>
      <c r="H261" s="12" t="s">
        <v>1025</v>
      </c>
      <c r="I261" s="12" t="s">
        <v>1026</v>
      </c>
    </row>
    <row r="262" spans="1:9">
      <c r="A262" s="14">
        <v>10006</v>
      </c>
      <c r="B262" s="14" t="s">
        <v>123</v>
      </c>
      <c r="C262" s="12" t="s">
        <v>168</v>
      </c>
      <c r="D262" s="15" t="str">
        <f t="shared" si="4"/>
        <v>Amazon UK - ESC</v>
      </c>
      <c r="E262" s="12" t="s">
        <v>126</v>
      </c>
      <c r="F262" s="12" t="s">
        <v>127</v>
      </c>
      <c r="G262" s="12" t="s">
        <v>128</v>
      </c>
      <c r="H262" s="12" t="s">
        <v>1025</v>
      </c>
      <c r="I262" s="12" t="s">
        <v>1026</v>
      </c>
    </row>
    <row r="263" spans="1:9">
      <c r="A263" s="14">
        <v>10006</v>
      </c>
      <c r="B263" s="14" t="s">
        <v>123</v>
      </c>
      <c r="C263" s="12" t="s">
        <v>171</v>
      </c>
      <c r="D263" s="15" t="str">
        <f t="shared" si="4"/>
        <v>Amazon UK - ETE</v>
      </c>
      <c r="E263" s="12" t="s">
        <v>126</v>
      </c>
      <c r="F263" s="12" t="s">
        <v>178</v>
      </c>
      <c r="G263" s="12" t="s">
        <v>128</v>
      </c>
      <c r="H263" s="12" t="s">
        <v>1025</v>
      </c>
      <c r="I263" s="12" t="s">
        <v>1026</v>
      </c>
    </row>
    <row r="264" spans="1:9">
      <c r="A264" s="14">
        <v>10006</v>
      </c>
      <c r="B264" s="14" t="s">
        <v>123</v>
      </c>
      <c r="C264" s="12" t="s">
        <v>129</v>
      </c>
      <c r="D264" s="15" t="str">
        <f t="shared" si="4"/>
        <v>Amazon UK - MGT</v>
      </c>
      <c r="E264" s="12" t="s">
        <v>126</v>
      </c>
      <c r="F264" s="12" t="s">
        <v>178</v>
      </c>
      <c r="G264" s="12" t="s">
        <v>128</v>
      </c>
      <c r="H264" s="12" t="s">
        <v>1025</v>
      </c>
      <c r="I264" s="12" t="s">
        <v>1026</v>
      </c>
    </row>
    <row r="265" spans="1:9">
      <c r="A265" s="14">
        <v>10006</v>
      </c>
      <c r="B265" s="14" t="s">
        <v>123</v>
      </c>
      <c r="C265" s="12" t="s">
        <v>177</v>
      </c>
      <c r="D265" s="15" t="str">
        <f t="shared" si="4"/>
        <v>Amazon UK - OPS</v>
      </c>
      <c r="E265" s="12" t="s">
        <v>126</v>
      </c>
      <c r="F265" s="12" t="s">
        <v>178</v>
      </c>
      <c r="G265" s="12" t="s">
        <v>128</v>
      </c>
      <c r="H265" s="12" t="s">
        <v>1025</v>
      </c>
      <c r="I265" s="12" t="s">
        <v>1026</v>
      </c>
    </row>
    <row r="266" spans="1:9">
      <c r="A266" s="14">
        <v>10006</v>
      </c>
      <c r="B266" s="14" t="s">
        <v>123</v>
      </c>
      <c r="C266" s="12" t="s">
        <v>116</v>
      </c>
      <c r="D266" s="15" t="str">
        <f t="shared" si="4"/>
        <v>Amazon UK - PRD</v>
      </c>
      <c r="E266" s="12" t="s">
        <v>126</v>
      </c>
      <c r="F266" s="12" t="s">
        <v>178</v>
      </c>
      <c r="G266" s="12" t="s">
        <v>128</v>
      </c>
      <c r="H266" s="12" t="s">
        <v>1025</v>
      </c>
      <c r="I266" s="12" t="s">
        <v>1026</v>
      </c>
    </row>
    <row r="267" spans="1:9">
      <c r="A267" s="14">
        <v>10006</v>
      </c>
      <c r="B267" s="14" t="s">
        <v>123</v>
      </c>
      <c r="C267" s="12" t="s">
        <v>111</v>
      </c>
      <c r="D267" s="15" t="str">
        <f t="shared" si="4"/>
        <v>Amazon UK - QLY</v>
      </c>
      <c r="E267" s="12" t="s">
        <v>112</v>
      </c>
      <c r="F267" s="12" t="s">
        <v>113</v>
      </c>
      <c r="G267" s="12" t="s">
        <v>114</v>
      </c>
      <c r="H267" s="12" t="s">
        <v>1025</v>
      </c>
      <c r="I267" s="12" t="s">
        <v>1026</v>
      </c>
    </row>
    <row r="268" spans="1:9">
      <c r="A268" s="14">
        <v>10006</v>
      </c>
      <c r="B268" s="14" t="s">
        <v>123</v>
      </c>
      <c r="C268" s="12" t="s">
        <v>172</v>
      </c>
      <c r="D268" s="15" t="str">
        <f t="shared" si="4"/>
        <v>Amazon UK - SME</v>
      </c>
      <c r="E268" s="12" t="s">
        <v>126</v>
      </c>
      <c r="F268" s="12" t="s">
        <v>178</v>
      </c>
      <c r="G268" s="12" t="s">
        <v>128</v>
      </c>
      <c r="H268" s="12" t="s">
        <v>1025</v>
      </c>
      <c r="I268" s="12" t="s">
        <v>1026</v>
      </c>
    </row>
    <row r="269" spans="1:9">
      <c r="A269" s="14">
        <v>10006</v>
      </c>
      <c r="B269" s="14" t="s">
        <v>123</v>
      </c>
      <c r="C269" s="12" t="s">
        <v>119</v>
      </c>
      <c r="D269" s="15" t="str">
        <f t="shared" si="4"/>
        <v>Amazon UK - SQM</v>
      </c>
      <c r="E269" s="12" t="s">
        <v>112</v>
      </c>
      <c r="F269" s="12" t="s">
        <v>113</v>
      </c>
      <c r="G269" s="12" t="s">
        <v>114</v>
      </c>
      <c r="H269" s="12" t="s">
        <v>1025</v>
      </c>
      <c r="I269" s="12" t="s">
        <v>1026</v>
      </c>
    </row>
    <row r="270" spans="1:9">
      <c r="A270" s="14">
        <v>10006</v>
      </c>
      <c r="B270" s="14" t="s">
        <v>123</v>
      </c>
      <c r="C270" s="12" t="s">
        <v>145</v>
      </c>
      <c r="D270" s="15" t="str">
        <f t="shared" si="4"/>
        <v>Amazon UK - SUP</v>
      </c>
      <c r="E270" s="12" t="s">
        <v>126</v>
      </c>
      <c r="F270" s="12" t="s">
        <v>178</v>
      </c>
      <c r="G270" s="12" t="s">
        <v>128</v>
      </c>
      <c r="H270" s="12" t="s">
        <v>1025</v>
      </c>
      <c r="I270" s="12" t="s">
        <v>1026</v>
      </c>
    </row>
    <row r="271" spans="1:9">
      <c r="A271" s="14">
        <v>10006</v>
      </c>
      <c r="B271" s="14" t="s">
        <v>123</v>
      </c>
      <c r="C271" s="12" t="s">
        <v>196</v>
      </c>
      <c r="D271" s="15" t="str">
        <f t="shared" si="4"/>
        <v>Amazon UK - SUT</v>
      </c>
      <c r="E271" s="12" t="s">
        <v>126</v>
      </c>
      <c r="F271" s="12" t="s">
        <v>178</v>
      </c>
      <c r="G271" s="12" t="s">
        <v>128</v>
      </c>
      <c r="H271" s="12" t="s">
        <v>1025</v>
      </c>
      <c r="I271" s="12" t="s">
        <v>1026</v>
      </c>
    </row>
    <row r="272" spans="1:9">
      <c r="A272" s="14">
        <v>10006</v>
      </c>
      <c r="B272" s="14" t="s">
        <v>123</v>
      </c>
      <c r="C272" s="12" t="s">
        <v>180</v>
      </c>
      <c r="D272" s="15" t="str">
        <f t="shared" si="4"/>
        <v>Amazon UK - TMG</v>
      </c>
      <c r="E272" s="12" t="s">
        <v>126</v>
      </c>
      <c r="F272" s="12" t="s">
        <v>178</v>
      </c>
      <c r="G272" s="12" t="s">
        <v>128</v>
      </c>
      <c r="H272" s="12" t="s">
        <v>1025</v>
      </c>
      <c r="I272" s="12" t="s">
        <v>1026</v>
      </c>
    </row>
    <row r="273" spans="1:9">
      <c r="A273" s="14">
        <v>10006</v>
      </c>
      <c r="B273" s="14" t="s">
        <v>123</v>
      </c>
      <c r="C273" s="12" t="s">
        <v>185</v>
      </c>
      <c r="D273" s="15" t="str">
        <f t="shared" si="4"/>
        <v>Amazon UK - TPS</v>
      </c>
      <c r="E273" s="12" t="s">
        <v>126</v>
      </c>
      <c r="F273" s="12" t="s">
        <v>178</v>
      </c>
      <c r="G273" s="12" t="s">
        <v>128</v>
      </c>
      <c r="H273" s="12" t="s">
        <v>1025</v>
      </c>
      <c r="I273" s="12" t="s">
        <v>1026</v>
      </c>
    </row>
    <row r="274" spans="1:9">
      <c r="A274" s="14">
        <v>10006</v>
      </c>
      <c r="B274" s="14" t="s">
        <v>123</v>
      </c>
      <c r="C274" s="12" t="s">
        <v>203</v>
      </c>
      <c r="D274" s="15" t="str">
        <f t="shared" si="4"/>
        <v>Amazon UK - TRG</v>
      </c>
      <c r="E274" s="12" t="s">
        <v>112</v>
      </c>
      <c r="F274" s="12" t="s">
        <v>204</v>
      </c>
      <c r="G274" s="12" t="s">
        <v>205</v>
      </c>
      <c r="H274" s="12" t="s">
        <v>1025</v>
      </c>
      <c r="I274" s="12" t="s">
        <v>1026</v>
      </c>
    </row>
    <row r="275" spans="1:9">
      <c r="A275" s="14">
        <v>10006</v>
      </c>
      <c r="B275" s="14" t="s">
        <v>123</v>
      </c>
      <c r="C275" s="12" t="s">
        <v>208</v>
      </c>
      <c r="D275" s="15" t="str">
        <f t="shared" si="4"/>
        <v>Amazon UK - TTR</v>
      </c>
      <c r="E275" s="12" t="s">
        <v>112</v>
      </c>
      <c r="F275" s="12" t="s">
        <v>204</v>
      </c>
      <c r="G275" s="12" t="s">
        <v>205</v>
      </c>
      <c r="H275" s="12" t="s">
        <v>1025</v>
      </c>
      <c r="I275" s="12" t="s">
        <v>1026</v>
      </c>
    </row>
    <row r="276" spans="1:9">
      <c r="A276" s="14">
        <v>80006</v>
      </c>
      <c r="B276" s="14" t="s">
        <v>854</v>
      </c>
      <c r="C276" s="12" t="s">
        <v>177</v>
      </c>
      <c r="D276" s="15" t="str">
        <f t="shared" si="4"/>
        <v>Amazon.Com Common - OPS</v>
      </c>
      <c r="E276" s="12" t="s">
        <v>126</v>
      </c>
      <c r="F276" s="12" t="s">
        <v>178</v>
      </c>
      <c r="G276" s="12" t="s">
        <v>128</v>
      </c>
      <c r="H276" s="12" t="s">
        <v>1025</v>
      </c>
      <c r="I276" s="12" t="s">
        <v>1026</v>
      </c>
    </row>
    <row r="277" spans="1:9">
      <c r="A277" s="14">
        <v>80006</v>
      </c>
      <c r="B277" s="14" t="s">
        <v>854</v>
      </c>
      <c r="C277" s="12" t="s">
        <v>139</v>
      </c>
      <c r="D277" s="15" t="str">
        <f t="shared" si="4"/>
        <v>Amazon.Com Common - SMGT</v>
      </c>
      <c r="E277" s="12" t="s">
        <v>126</v>
      </c>
      <c r="F277" s="12" t="s">
        <v>178</v>
      </c>
      <c r="G277" s="12" t="s">
        <v>128</v>
      </c>
      <c r="H277" s="12" t="s">
        <v>1025</v>
      </c>
      <c r="I277" s="12" t="s">
        <v>1026</v>
      </c>
    </row>
    <row r="278" spans="1:9">
      <c r="A278" s="14">
        <v>80006</v>
      </c>
      <c r="B278" s="14" t="s">
        <v>854</v>
      </c>
      <c r="C278" s="12" t="s">
        <v>145</v>
      </c>
      <c r="D278" s="15" t="str">
        <f t="shared" si="4"/>
        <v>Amazon.Com Common - SUP</v>
      </c>
      <c r="E278" s="12" t="s">
        <v>126</v>
      </c>
      <c r="F278" s="12" t="s">
        <v>178</v>
      </c>
      <c r="G278" s="12" t="s">
        <v>128</v>
      </c>
      <c r="H278" s="12" t="s">
        <v>1025</v>
      </c>
      <c r="I278" s="12" t="s">
        <v>1026</v>
      </c>
    </row>
    <row r="279" spans="1:9">
      <c r="A279" s="14">
        <v>80006</v>
      </c>
      <c r="B279" s="14" t="s">
        <v>854</v>
      </c>
      <c r="C279" s="12" t="s">
        <v>203</v>
      </c>
      <c r="D279" s="15" t="str">
        <f t="shared" si="4"/>
        <v>Amazon.Com Common - TRG</v>
      </c>
      <c r="E279" s="12" t="s">
        <v>112</v>
      </c>
      <c r="F279" s="12" t="s">
        <v>204</v>
      </c>
      <c r="G279" s="12" t="s">
        <v>205</v>
      </c>
      <c r="H279" s="12" t="s">
        <v>1025</v>
      </c>
      <c r="I279" s="12" t="s">
        <v>1026</v>
      </c>
    </row>
    <row r="280" spans="1:9">
      <c r="A280" s="14">
        <v>80006</v>
      </c>
      <c r="B280" s="14" t="s">
        <v>854</v>
      </c>
      <c r="C280" s="12" t="s">
        <v>208</v>
      </c>
      <c r="D280" s="15" t="str">
        <f t="shared" si="4"/>
        <v>Amazon.Com Common - TTR</v>
      </c>
      <c r="E280" s="12" t="s">
        <v>112</v>
      </c>
      <c r="F280" s="12" t="s">
        <v>204</v>
      </c>
      <c r="G280" s="12" t="s">
        <v>205</v>
      </c>
      <c r="H280" s="12" t="s">
        <v>1025</v>
      </c>
      <c r="I280" s="12" t="s">
        <v>1026</v>
      </c>
    </row>
    <row r="281" spans="1:9">
      <c r="A281" s="14">
        <v>10914</v>
      </c>
      <c r="B281" s="14" t="s">
        <v>457</v>
      </c>
      <c r="C281" s="12" t="s">
        <v>161</v>
      </c>
      <c r="D281" s="15" t="str">
        <f t="shared" si="4"/>
        <v>American Credit Acceptance BO - ECC</v>
      </c>
      <c r="E281" s="12" t="s">
        <v>126</v>
      </c>
      <c r="F281" s="12" t="s">
        <v>163</v>
      </c>
      <c r="G281" s="12" t="s">
        <v>164</v>
      </c>
      <c r="H281" s="12" t="s">
        <v>1025</v>
      </c>
      <c r="I281" s="12" t="s">
        <v>1026</v>
      </c>
    </row>
    <row r="282" spans="1:9">
      <c r="A282" s="14">
        <v>10823</v>
      </c>
      <c r="B282" s="14" t="s">
        <v>408</v>
      </c>
      <c r="C282" s="12" t="s">
        <v>116</v>
      </c>
      <c r="D282" s="15" t="str">
        <f t="shared" si="4"/>
        <v>American1stFinancial WAH IND - PRD</v>
      </c>
      <c r="E282" s="12" t="s">
        <v>126</v>
      </c>
      <c r="F282" s="12" t="s">
        <v>980</v>
      </c>
      <c r="G282" s="12" t="s">
        <v>981</v>
      </c>
      <c r="H282" s="12" t="s">
        <v>1025</v>
      </c>
      <c r="I282" s="12" t="s">
        <v>1026</v>
      </c>
    </row>
    <row r="283" spans="1:9">
      <c r="A283" s="14">
        <v>10823</v>
      </c>
      <c r="B283" s="14" t="s">
        <v>408</v>
      </c>
      <c r="C283" s="12" t="s">
        <v>145</v>
      </c>
      <c r="D283" s="15" t="str">
        <f t="shared" si="4"/>
        <v>American1stFinancial WAH IND - SUP</v>
      </c>
      <c r="E283" s="12" t="s">
        <v>126</v>
      </c>
      <c r="F283" s="12" t="s">
        <v>980</v>
      </c>
      <c r="G283" s="12" t="s">
        <v>981</v>
      </c>
      <c r="H283" s="12" t="s">
        <v>1025</v>
      </c>
      <c r="I283" s="12" t="s">
        <v>1026</v>
      </c>
    </row>
    <row r="284" spans="1:9">
      <c r="A284" s="14">
        <v>93675</v>
      </c>
      <c r="B284" s="14" t="s">
        <v>256</v>
      </c>
      <c r="C284" s="12" t="s">
        <v>145</v>
      </c>
      <c r="D284" s="15" t="str">
        <f t="shared" si="4"/>
        <v>Analyst &amp; Advisor Relations - SUP</v>
      </c>
      <c r="E284" s="12" t="s">
        <v>104</v>
      </c>
      <c r="F284" s="12" t="s">
        <v>257</v>
      </c>
      <c r="G284" s="12" t="s">
        <v>114</v>
      </c>
      <c r="H284" s="12" t="s">
        <v>1025</v>
      </c>
      <c r="I284" s="12" t="s">
        <v>1026</v>
      </c>
    </row>
    <row r="285" spans="1:9">
      <c r="A285" s="14">
        <v>87103</v>
      </c>
      <c r="B285" s="14" t="s">
        <v>901</v>
      </c>
      <c r="C285" s="12" t="s">
        <v>116</v>
      </c>
      <c r="D285" s="15" t="str">
        <f t="shared" si="4"/>
        <v>Analytics Common JC_93610 - PRD</v>
      </c>
      <c r="E285" s="12" t="s">
        <v>117</v>
      </c>
      <c r="F285" s="12" t="s">
        <v>117</v>
      </c>
      <c r="G285" s="12" t="s">
        <v>117</v>
      </c>
      <c r="H285" s="12" t="s">
        <v>1025</v>
      </c>
      <c r="I285" s="12" t="s">
        <v>1026</v>
      </c>
    </row>
    <row r="286" spans="1:9">
      <c r="A286" s="14">
        <v>87103</v>
      </c>
      <c r="B286" s="14" t="s">
        <v>901</v>
      </c>
      <c r="C286" s="12" t="s">
        <v>139</v>
      </c>
      <c r="D286" s="15" t="str">
        <f t="shared" si="4"/>
        <v>Analytics Common JC_93610 - SMGT</v>
      </c>
      <c r="E286" s="12" t="s">
        <v>117</v>
      </c>
      <c r="F286" s="12" t="s">
        <v>117</v>
      </c>
      <c r="G286" s="12" t="s">
        <v>117</v>
      </c>
      <c r="H286" s="12" t="s">
        <v>1025</v>
      </c>
      <c r="I286" s="12" t="s">
        <v>1026</v>
      </c>
    </row>
    <row r="287" spans="1:9">
      <c r="A287" s="14">
        <v>87103</v>
      </c>
      <c r="B287" s="14" t="s">
        <v>901</v>
      </c>
      <c r="C287" s="12" t="s">
        <v>145</v>
      </c>
      <c r="D287" s="15" t="str">
        <f t="shared" si="4"/>
        <v>Analytics Common JC_93610 - SUP</v>
      </c>
      <c r="E287" s="12" t="s">
        <v>117</v>
      </c>
      <c r="F287" s="12" t="s">
        <v>117</v>
      </c>
      <c r="G287" s="12" t="s">
        <v>117</v>
      </c>
      <c r="H287" s="12" t="s">
        <v>1025</v>
      </c>
      <c r="I287" s="12" t="s">
        <v>1026</v>
      </c>
    </row>
    <row r="288" spans="1:9">
      <c r="A288" s="14">
        <v>87104</v>
      </c>
      <c r="B288" s="14" t="s">
        <v>903</v>
      </c>
      <c r="C288" s="12" t="s">
        <v>129</v>
      </c>
      <c r="D288" s="15" t="str">
        <f t="shared" si="4"/>
        <v>Analytics Common JC_93665 - MGT</v>
      </c>
      <c r="E288" s="12" t="s">
        <v>126</v>
      </c>
      <c r="F288" s="12" t="s">
        <v>890</v>
      </c>
      <c r="G288" s="12" t="s">
        <v>890</v>
      </c>
      <c r="H288" s="12" t="s">
        <v>1025</v>
      </c>
      <c r="I288" s="12" t="s">
        <v>1026</v>
      </c>
    </row>
    <row r="289" spans="1:9">
      <c r="A289" s="14">
        <v>87104</v>
      </c>
      <c r="B289" s="14" t="s">
        <v>903</v>
      </c>
      <c r="C289" s="12" t="s">
        <v>116</v>
      </c>
      <c r="D289" s="15" t="str">
        <f t="shared" si="4"/>
        <v>Analytics Common JC_93665 - PRD</v>
      </c>
      <c r="E289" s="12" t="s">
        <v>126</v>
      </c>
      <c r="F289" s="12" t="s">
        <v>890</v>
      </c>
      <c r="G289" s="12" t="s">
        <v>890</v>
      </c>
      <c r="H289" s="12" t="s">
        <v>1025</v>
      </c>
      <c r="I289" s="12" t="s">
        <v>1026</v>
      </c>
    </row>
    <row r="290" spans="1:9">
      <c r="A290" s="14">
        <v>87104</v>
      </c>
      <c r="B290" s="14" t="s">
        <v>903</v>
      </c>
      <c r="C290" s="12" t="s">
        <v>139</v>
      </c>
      <c r="D290" s="15" t="str">
        <f t="shared" si="4"/>
        <v>Analytics Common JC_93665 - SMGT</v>
      </c>
      <c r="E290" s="12" t="s">
        <v>126</v>
      </c>
      <c r="F290" s="12" t="s">
        <v>890</v>
      </c>
      <c r="G290" s="12" t="s">
        <v>890</v>
      </c>
      <c r="H290" s="12" t="s">
        <v>1025</v>
      </c>
      <c r="I290" s="12" t="s">
        <v>1026</v>
      </c>
    </row>
    <row r="291" spans="1:9">
      <c r="A291" s="14">
        <v>87104</v>
      </c>
      <c r="B291" s="14" t="s">
        <v>903</v>
      </c>
      <c r="C291" s="12" t="s">
        <v>145</v>
      </c>
      <c r="D291" s="15" t="str">
        <f t="shared" si="4"/>
        <v>Analytics Common JC_93665 - SUP</v>
      </c>
      <c r="E291" s="12" t="s">
        <v>126</v>
      </c>
      <c r="F291" s="12" t="s">
        <v>890</v>
      </c>
      <c r="G291" s="12" t="s">
        <v>890</v>
      </c>
      <c r="H291" s="12" t="s">
        <v>1025</v>
      </c>
      <c r="I291" s="12" t="s">
        <v>1026</v>
      </c>
    </row>
    <row r="292" spans="1:9">
      <c r="A292" s="14">
        <v>87107</v>
      </c>
      <c r="B292" s="14" t="s">
        <v>905</v>
      </c>
      <c r="C292" s="12" t="s">
        <v>145</v>
      </c>
      <c r="D292" s="15" t="str">
        <f t="shared" si="4"/>
        <v>Analytics Common_93660_93664 - SUP</v>
      </c>
      <c r="E292" s="12" t="s">
        <v>126</v>
      </c>
      <c r="F292" s="12" t="s">
        <v>890</v>
      </c>
      <c r="G292" s="12" t="s">
        <v>890</v>
      </c>
      <c r="H292" s="12" t="s">
        <v>1025</v>
      </c>
      <c r="I292" s="12" t="s">
        <v>1026</v>
      </c>
    </row>
    <row r="293" spans="1:9">
      <c r="A293" s="14">
        <v>87105</v>
      </c>
      <c r="B293" s="14" t="s">
        <v>904</v>
      </c>
      <c r="C293" s="12" t="s">
        <v>1022</v>
      </c>
      <c r="D293" s="15" t="str">
        <f t="shared" si="4"/>
        <v>Analytics Common_93666_93777 - MKG</v>
      </c>
      <c r="E293" s="12" t="s">
        <v>126</v>
      </c>
      <c r="F293" s="12" t="s">
        <v>890</v>
      </c>
      <c r="G293" s="12" t="s">
        <v>890</v>
      </c>
      <c r="H293" s="12" t="s">
        <v>1025</v>
      </c>
      <c r="I293" s="12" t="s">
        <v>1026</v>
      </c>
    </row>
    <row r="294" spans="1:9">
      <c r="A294" s="14">
        <v>87105</v>
      </c>
      <c r="B294" s="14" t="s">
        <v>904</v>
      </c>
      <c r="C294" s="12" t="s">
        <v>145</v>
      </c>
      <c r="D294" s="15" t="str">
        <f t="shared" si="4"/>
        <v>Analytics Common_93666_93777 - SUP</v>
      </c>
      <c r="E294" s="12" t="s">
        <v>126</v>
      </c>
      <c r="F294" s="12" t="s">
        <v>890</v>
      </c>
      <c r="G294" s="12" t="s">
        <v>890</v>
      </c>
      <c r="H294" s="12" t="s">
        <v>1025</v>
      </c>
      <c r="I294" s="12" t="s">
        <v>1026</v>
      </c>
    </row>
    <row r="295" spans="1:9">
      <c r="A295" s="14">
        <v>93610</v>
      </c>
      <c r="B295" s="14" t="s">
        <v>965</v>
      </c>
      <c r="C295" s="12" t="s">
        <v>129</v>
      </c>
      <c r="D295" s="15" t="str">
        <f t="shared" si="4"/>
        <v>ANALYTICS VERTICAL - MGT</v>
      </c>
      <c r="E295" s="12" t="s">
        <v>126</v>
      </c>
      <c r="F295" s="12" t="s">
        <v>890</v>
      </c>
      <c r="G295" s="12" t="s">
        <v>890</v>
      </c>
      <c r="H295" s="12" t="s">
        <v>1025</v>
      </c>
      <c r="I295" s="12" t="s">
        <v>1026</v>
      </c>
    </row>
    <row r="296" spans="1:9">
      <c r="A296" s="14">
        <v>93610</v>
      </c>
      <c r="B296" s="14" t="s">
        <v>965</v>
      </c>
      <c r="C296" s="12" t="s">
        <v>139</v>
      </c>
      <c r="D296" s="15" t="str">
        <f t="shared" si="4"/>
        <v>ANALYTICS VERTICAL - SMGT</v>
      </c>
      <c r="E296" s="12" t="s">
        <v>126</v>
      </c>
      <c r="F296" s="12" t="s">
        <v>890</v>
      </c>
      <c r="G296" s="12" t="s">
        <v>890</v>
      </c>
      <c r="H296" s="12" t="s">
        <v>1025</v>
      </c>
      <c r="I296" s="12" t="s">
        <v>1026</v>
      </c>
    </row>
    <row r="297" spans="1:9">
      <c r="A297" s="14">
        <v>93610</v>
      </c>
      <c r="B297" s="14" t="s">
        <v>965</v>
      </c>
      <c r="C297" s="12" t="s">
        <v>145</v>
      </c>
      <c r="D297" s="15" t="str">
        <f t="shared" si="4"/>
        <v>ANALYTICS VERTICAL - SUP</v>
      </c>
      <c r="E297" s="12" t="s">
        <v>126</v>
      </c>
      <c r="F297" s="12" t="s">
        <v>890</v>
      </c>
      <c r="G297" s="12" t="s">
        <v>890</v>
      </c>
      <c r="H297" s="12" t="s">
        <v>1025</v>
      </c>
      <c r="I297" s="12" t="s">
        <v>1026</v>
      </c>
    </row>
    <row r="298" spans="1:9">
      <c r="A298" s="14">
        <v>10711</v>
      </c>
      <c r="B298" s="14" t="s">
        <v>328</v>
      </c>
      <c r="C298" s="12" t="s">
        <v>306</v>
      </c>
      <c r="D298" s="15" t="str">
        <f t="shared" si="4"/>
        <v>AP TE Outsource - FAO</v>
      </c>
      <c r="E298" s="12" t="s">
        <v>126</v>
      </c>
      <c r="F298" s="12" t="s">
        <v>163</v>
      </c>
      <c r="G298" s="12" t="s">
        <v>164</v>
      </c>
      <c r="H298" s="12" t="s">
        <v>1025</v>
      </c>
      <c r="I298" s="12" t="s">
        <v>1026</v>
      </c>
    </row>
    <row r="299" spans="1:9">
      <c r="A299" s="14">
        <v>10711</v>
      </c>
      <c r="B299" s="14" t="s">
        <v>328</v>
      </c>
      <c r="C299" s="12" t="s">
        <v>145</v>
      </c>
      <c r="D299" s="15" t="str">
        <f t="shared" si="4"/>
        <v>AP TE Outsource - SUP</v>
      </c>
      <c r="E299" s="12" t="s">
        <v>126</v>
      </c>
      <c r="F299" s="12" t="s">
        <v>163</v>
      </c>
      <c r="G299" s="12" t="s">
        <v>164</v>
      </c>
      <c r="H299" s="12" t="s">
        <v>1025</v>
      </c>
      <c r="I299" s="12" t="s">
        <v>1026</v>
      </c>
    </row>
    <row r="300" spans="1:9">
      <c r="A300" s="14">
        <v>10711</v>
      </c>
      <c r="B300" s="14" t="s">
        <v>328</v>
      </c>
      <c r="C300" s="12" t="s">
        <v>185</v>
      </c>
      <c r="D300" s="15" t="str">
        <f t="shared" si="4"/>
        <v>AP TE Outsource - TPS</v>
      </c>
      <c r="E300" s="12" t="s">
        <v>126</v>
      </c>
      <c r="F300" s="12" t="s">
        <v>163</v>
      </c>
      <c r="G300" s="12" t="s">
        <v>164</v>
      </c>
      <c r="H300" s="12" t="s">
        <v>1025</v>
      </c>
      <c r="I300" s="12" t="s">
        <v>1026</v>
      </c>
    </row>
    <row r="301" spans="1:9">
      <c r="A301" s="14">
        <v>18037</v>
      </c>
      <c r="B301" s="14" t="s">
        <v>619</v>
      </c>
      <c r="C301" s="12" t="s">
        <v>156</v>
      </c>
      <c r="D301" s="15" t="str">
        <f t="shared" si="4"/>
        <v>APMC Mortgage Component Svcs - CLR</v>
      </c>
      <c r="E301" s="12" t="s">
        <v>126</v>
      </c>
      <c r="F301" s="12" t="s">
        <v>163</v>
      </c>
      <c r="G301" s="12" t="s">
        <v>164</v>
      </c>
      <c r="H301" s="12" t="s">
        <v>1025</v>
      </c>
      <c r="I301" s="12" t="s">
        <v>1026</v>
      </c>
    </row>
    <row r="302" spans="1:9">
      <c r="A302" s="14">
        <v>18037</v>
      </c>
      <c r="B302" s="14" t="s">
        <v>619</v>
      </c>
      <c r="C302" s="12" t="s">
        <v>116</v>
      </c>
      <c r="D302" s="15" t="str">
        <f t="shared" si="4"/>
        <v>APMC Mortgage Component Svcs - PRD</v>
      </c>
      <c r="E302" s="12" t="s">
        <v>126</v>
      </c>
      <c r="F302" s="12" t="s">
        <v>163</v>
      </c>
      <c r="G302" s="12" t="s">
        <v>164</v>
      </c>
      <c r="H302" s="12" t="s">
        <v>1025</v>
      </c>
      <c r="I302" s="12" t="s">
        <v>1026</v>
      </c>
    </row>
    <row r="303" spans="1:9">
      <c r="A303" s="14">
        <v>18037</v>
      </c>
      <c r="B303" s="14" t="s">
        <v>619</v>
      </c>
      <c r="C303" s="12" t="s">
        <v>230</v>
      </c>
      <c r="D303" s="15" t="str">
        <f t="shared" si="4"/>
        <v>APMC Mortgage Component Svcs - PRSP</v>
      </c>
      <c r="E303" s="12" t="s">
        <v>126</v>
      </c>
      <c r="F303" s="12" t="s">
        <v>163</v>
      </c>
      <c r="G303" s="12" t="s">
        <v>164</v>
      </c>
      <c r="H303" s="12" t="s">
        <v>1025</v>
      </c>
      <c r="I303" s="12" t="s">
        <v>1026</v>
      </c>
    </row>
    <row r="304" spans="1:9">
      <c r="A304" s="14">
        <v>18037</v>
      </c>
      <c r="B304" s="14" t="s">
        <v>619</v>
      </c>
      <c r="C304" s="12" t="s">
        <v>172</v>
      </c>
      <c r="D304" s="15" t="str">
        <f t="shared" si="4"/>
        <v>APMC Mortgage Component Svcs - SME</v>
      </c>
      <c r="E304" s="12" t="s">
        <v>126</v>
      </c>
      <c r="F304" s="12" t="s">
        <v>163</v>
      </c>
      <c r="G304" s="12" t="s">
        <v>164</v>
      </c>
      <c r="H304" s="12" t="s">
        <v>1025</v>
      </c>
      <c r="I304" s="12" t="s">
        <v>1026</v>
      </c>
    </row>
    <row r="305" spans="1:9">
      <c r="A305" s="14">
        <v>18037</v>
      </c>
      <c r="B305" s="14" t="s">
        <v>619</v>
      </c>
      <c r="C305" s="12" t="s">
        <v>180</v>
      </c>
      <c r="D305" s="15" t="str">
        <f t="shared" si="4"/>
        <v>APMC Mortgage Component Svcs - TMG</v>
      </c>
      <c r="E305" s="12" t="s">
        <v>126</v>
      </c>
      <c r="F305" s="12" t="s">
        <v>163</v>
      </c>
      <c r="G305" s="12" t="s">
        <v>164</v>
      </c>
      <c r="H305" s="12" t="s">
        <v>1025</v>
      </c>
      <c r="I305" s="12" t="s">
        <v>1026</v>
      </c>
    </row>
    <row r="306" spans="1:9">
      <c r="A306" s="14">
        <v>18037</v>
      </c>
      <c r="B306" s="14" t="s">
        <v>619</v>
      </c>
      <c r="C306" s="12" t="s">
        <v>185</v>
      </c>
      <c r="D306" s="15" t="str">
        <f t="shared" si="4"/>
        <v>APMC Mortgage Component Svcs - TPS</v>
      </c>
      <c r="E306" s="12" t="s">
        <v>126</v>
      </c>
      <c r="F306" s="12" t="s">
        <v>163</v>
      </c>
      <c r="G306" s="12" t="s">
        <v>164</v>
      </c>
      <c r="H306" s="12" t="s">
        <v>1025</v>
      </c>
      <c r="I306" s="12" t="s">
        <v>1026</v>
      </c>
    </row>
    <row r="307" spans="1:9">
      <c r="A307" s="14">
        <v>95302</v>
      </c>
      <c r="B307" s="14" t="s">
        <v>261</v>
      </c>
      <c r="C307" s="12" t="s">
        <v>262</v>
      </c>
      <c r="D307" s="15" t="str">
        <f t="shared" si="4"/>
        <v>Application Support - GSI</v>
      </c>
      <c r="E307" s="12" t="s">
        <v>104</v>
      </c>
      <c r="F307" s="12" t="s">
        <v>263</v>
      </c>
      <c r="G307" s="12" t="s">
        <v>264</v>
      </c>
      <c r="H307" s="12" t="s">
        <v>1025</v>
      </c>
      <c r="I307" s="12" t="s">
        <v>1026</v>
      </c>
    </row>
    <row r="308" spans="1:9">
      <c r="A308" s="14">
        <v>95302</v>
      </c>
      <c r="B308" s="14" t="s">
        <v>261</v>
      </c>
      <c r="C308" s="12" t="s">
        <v>177</v>
      </c>
      <c r="D308" s="15" t="str">
        <f t="shared" si="4"/>
        <v>Application Support - OPS</v>
      </c>
      <c r="E308" s="12" t="s">
        <v>104</v>
      </c>
      <c r="F308" s="12" t="s">
        <v>263</v>
      </c>
      <c r="G308" s="12" t="s">
        <v>264</v>
      </c>
      <c r="H308" s="12" t="s">
        <v>1025</v>
      </c>
      <c r="I308" s="12" t="s">
        <v>1026</v>
      </c>
    </row>
    <row r="309" spans="1:9">
      <c r="A309" s="14">
        <v>95302</v>
      </c>
      <c r="B309" s="14" t="s">
        <v>261</v>
      </c>
      <c r="C309" s="12" t="s">
        <v>145</v>
      </c>
      <c r="D309" s="15" t="str">
        <f t="shared" si="4"/>
        <v>Application Support - SUP</v>
      </c>
      <c r="E309" s="12" t="s">
        <v>104</v>
      </c>
      <c r="F309" s="12" t="s">
        <v>263</v>
      </c>
      <c r="G309" s="12" t="s">
        <v>264</v>
      </c>
      <c r="H309" s="12" t="s">
        <v>1025</v>
      </c>
      <c r="I309" s="12" t="s">
        <v>1026</v>
      </c>
    </row>
    <row r="310" spans="1:9">
      <c r="A310" s="14">
        <v>95230</v>
      </c>
      <c r="B310" s="14" t="s">
        <v>268</v>
      </c>
      <c r="C310" s="12" t="s">
        <v>262</v>
      </c>
      <c r="D310" s="15" t="str">
        <f t="shared" si="4"/>
        <v>Application Testing - GSI</v>
      </c>
      <c r="E310" s="12" t="s">
        <v>104</v>
      </c>
      <c r="F310" s="12" t="s">
        <v>263</v>
      </c>
      <c r="G310" s="12" t="s">
        <v>264</v>
      </c>
      <c r="H310" s="12" t="s">
        <v>1025</v>
      </c>
      <c r="I310" s="12" t="s">
        <v>1026</v>
      </c>
    </row>
    <row r="311" spans="1:9">
      <c r="A311" s="14">
        <v>95230</v>
      </c>
      <c r="B311" s="14" t="s">
        <v>268</v>
      </c>
      <c r="C311" s="12" t="s">
        <v>116</v>
      </c>
      <c r="D311" s="15" t="str">
        <f t="shared" si="4"/>
        <v>Application Testing - PRD</v>
      </c>
      <c r="E311" s="12" t="s">
        <v>104</v>
      </c>
      <c r="F311" s="12" t="s">
        <v>263</v>
      </c>
      <c r="G311" s="12" t="s">
        <v>264</v>
      </c>
      <c r="H311" s="12" t="s">
        <v>1025</v>
      </c>
      <c r="I311" s="12" t="s">
        <v>1026</v>
      </c>
    </row>
    <row r="312" spans="1:9">
      <c r="A312" s="14">
        <v>95230</v>
      </c>
      <c r="B312" s="14" t="s">
        <v>268</v>
      </c>
      <c r="C312" s="12" t="s">
        <v>145</v>
      </c>
      <c r="D312" s="15" t="str">
        <f t="shared" si="4"/>
        <v>Application Testing - SUP</v>
      </c>
      <c r="E312" s="12" t="s">
        <v>104</v>
      </c>
      <c r="F312" s="12" t="s">
        <v>263</v>
      </c>
      <c r="G312" s="12" t="s">
        <v>264</v>
      </c>
      <c r="H312" s="12" t="s">
        <v>1025</v>
      </c>
      <c r="I312" s="12" t="s">
        <v>1026</v>
      </c>
    </row>
    <row r="313" spans="1:9">
      <c r="A313" s="14">
        <v>33002</v>
      </c>
      <c r="B313" s="14" t="s">
        <v>272</v>
      </c>
      <c r="C313" s="12" t="s">
        <v>145</v>
      </c>
      <c r="D313" s="15" t="str">
        <f t="shared" si="4"/>
        <v>Aramco - GSBS - SUP</v>
      </c>
      <c r="E313" s="12" t="s">
        <v>117</v>
      </c>
      <c r="F313" s="12" t="s">
        <v>117</v>
      </c>
      <c r="G313" s="12" t="s">
        <v>117</v>
      </c>
      <c r="H313" s="12" t="s">
        <v>1025</v>
      </c>
      <c r="I313" s="12" t="s">
        <v>1026</v>
      </c>
    </row>
    <row r="314" spans="1:9">
      <c r="A314" s="14">
        <v>33011</v>
      </c>
      <c r="B314" s="14" t="s">
        <v>660</v>
      </c>
      <c r="C314" s="12" t="s">
        <v>129</v>
      </c>
      <c r="D314" s="15" t="str">
        <f t="shared" si="4"/>
        <v>Aramco Smart City Brain - MGT</v>
      </c>
      <c r="E314" s="12" t="s">
        <v>117</v>
      </c>
      <c r="F314" s="12" t="s">
        <v>117</v>
      </c>
      <c r="G314" s="12" t="s">
        <v>117</v>
      </c>
      <c r="H314" s="12" t="s">
        <v>1025</v>
      </c>
      <c r="I314" s="12" t="s">
        <v>1026</v>
      </c>
    </row>
    <row r="315" spans="1:9">
      <c r="A315" s="14">
        <v>33003</v>
      </c>
      <c r="B315" s="14" t="s">
        <v>659</v>
      </c>
      <c r="C315" s="12" t="s">
        <v>193</v>
      </c>
      <c r="D315" s="15" t="str">
        <f t="shared" si="4"/>
        <v>Aramco-GSBS for ADC - DEV</v>
      </c>
      <c r="E315" s="12" t="s">
        <v>126</v>
      </c>
      <c r="F315" s="12" t="s">
        <v>163</v>
      </c>
      <c r="G315" s="12" t="s">
        <v>164</v>
      </c>
      <c r="H315" s="12" t="s">
        <v>1025</v>
      </c>
      <c r="I315" s="12" t="s">
        <v>1026</v>
      </c>
    </row>
    <row r="316" spans="1:9">
      <c r="A316" s="14">
        <v>10744</v>
      </c>
      <c r="B316" s="14" t="s">
        <v>357</v>
      </c>
      <c r="C316" s="12" t="s">
        <v>116</v>
      </c>
      <c r="D316" s="15" t="str">
        <f t="shared" si="4"/>
        <v>Arch Capital Services LLC - PRD</v>
      </c>
      <c r="E316" s="12" t="s">
        <v>126</v>
      </c>
      <c r="F316" s="12" t="s">
        <v>890</v>
      </c>
      <c r="G316" s="12" t="s">
        <v>890</v>
      </c>
      <c r="H316" s="12" t="s">
        <v>1025</v>
      </c>
      <c r="I316" s="12" t="s">
        <v>1026</v>
      </c>
    </row>
    <row r="317" spans="1:9">
      <c r="A317" s="14">
        <v>10744</v>
      </c>
      <c r="B317" s="14" t="s">
        <v>357</v>
      </c>
      <c r="C317" s="12" t="s">
        <v>145</v>
      </c>
      <c r="D317" s="15" t="str">
        <f t="shared" si="4"/>
        <v>Arch Capital Services LLC - SUP</v>
      </c>
      <c r="E317" s="12" t="s">
        <v>126</v>
      </c>
      <c r="F317" s="12" t="s">
        <v>890</v>
      </c>
      <c r="G317" s="12" t="s">
        <v>890</v>
      </c>
      <c r="H317" s="12" t="s">
        <v>1025</v>
      </c>
      <c r="I317" s="12" t="s">
        <v>1026</v>
      </c>
    </row>
    <row r="318" spans="1:9">
      <c r="A318" s="14">
        <v>18016</v>
      </c>
      <c r="B318" s="14" t="s">
        <v>615</v>
      </c>
      <c r="C318" s="12" t="s">
        <v>116</v>
      </c>
      <c r="D318" s="15" t="str">
        <f t="shared" si="4"/>
        <v>Arch MI-Contract UW and Review - PRD</v>
      </c>
      <c r="E318" s="12" t="s">
        <v>126</v>
      </c>
      <c r="F318" s="12" t="s">
        <v>163</v>
      </c>
      <c r="G318" s="12" t="s">
        <v>164</v>
      </c>
      <c r="H318" s="12" t="s">
        <v>1025</v>
      </c>
      <c r="I318" s="12" t="s">
        <v>1026</v>
      </c>
    </row>
    <row r="319" spans="1:9">
      <c r="A319" s="14">
        <v>18016</v>
      </c>
      <c r="B319" s="14" t="s">
        <v>615</v>
      </c>
      <c r="C319" s="12" t="s">
        <v>230</v>
      </c>
      <c r="D319" s="15" t="str">
        <f t="shared" si="4"/>
        <v>Arch MI-Contract UW and Review - PRSP</v>
      </c>
      <c r="E319" s="12" t="s">
        <v>126</v>
      </c>
      <c r="F319" s="12" t="s">
        <v>163</v>
      </c>
      <c r="G319" s="12" t="s">
        <v>164</v>
      </c>
      <c r="H319" s="12" t="s">
        <v>1025</v>
      </c>
      <c r="I319" s="12" t="s">
        <v>1026</v>
      </c>
    </row>
    <row r="320" spans="1:9">
      <c r="A320" s="14">
        <v>18016</v>
      </c>
      <c r="B320" s="14" t="s">
        <v>615</v>
      </c>
      <c r="C320" s="12" t="s">
        <v>1014</v>
      </c>
      <c r="D320" s="15" t="str">
        <f t="shared" si="4"/>
        <v>Arch MI-Contract UW and Review - SMSI-A</v>
      </c>
      <c r="E320" s="12" t="s">
        <v>126</v>
      </c>
      <c r="F320" s="12" t="s">
        <v>163</v>
      </c>
      <c r="G320" s="12" t="s">
        <v>164</v>
      </c>
      <c r="H320" s="12" t="s">
        <v>1025</v>
      </c>
      <c r="I320" s="12" t="s">
        <v>1026</v>
      </c>
    </row>
    <row r="321" spans="1:9">
      <c r="A321" s="14">
        <v>18016</v>
      </c>
      <c r="B321" s="14" t="s">
        <v>615</v>
      </c>
      <c r="C321" s="12" t="s">
        <v>1015</v>
      </c>
      <c r="D321" s="15" t="str">
        <f t="shared" si="4"/>
        <v>Arch MI-Contract UW and Review - SMSI-B</v>
      </c>
      <c r="E321" s="12" t="s">
        <v>126</v>
      </c>
      <c r="F321" s="12" t="s">
        <v>163</v>
      </c>
      <c r="G321" s="12" t="s">
        <v>164</v>
      </c>
      <c r="H321" s="12" t="s">
        <v>1025</v>
      </c>
      <c r="I321" s="12" t="s">
        <v>1026</v>
      </c>
    </row>
    <row r="322" spans="1:9">
      <c r="A322" s="14">
        <v>18016</v>
      </c>
      <c r="B322" s="14" t="s">
        <v>615</v>
      </c>
      <c r="C322" s="12" t="s">
        <v>1016</v>
      </c>
      <c r="D322" s="15" t="str">
        <f t="shared" ref="D322:D385" si="5">B322&amp;" - "&amp;C322</f>
        <v>Arch MI-Contract UW and Review - SMSI-C</v>
      </c>
      <c r="E322" s="12" t="s">
        <v>126</v>
      </c>
      <c r="F322" s="12" t="s">
        <v>163</v>
      </c>
      <c r="G322" s="12" t="s">
        <v>164</v>
      </c>
      <c r="H322" s="12" t="s">
        <v>1025</v>
      </c>
      <c r="I322" s="12" t="s">
        <v>1026</v>
      </c>
    </row>
    <row r="323" spans="1:9">
      <c r="A323" s="14">
        <v>18016</v>
      </c>
      <c r="B323" s="14" t="s">
        <v>615</v>
      </c>
      <c r="C323" s="12" t="s">
        <v>1017</v>
      </c>
      <c r="D323" s="15" t="str">
        <f t="shared" si="5"/>
        <v>Arch MI-Contract UW and Review - SMSI-D</v>
      </c>
      <c r="E323" s="12" t="s">
        <v>126</v>
      </c>
      <c r="F323" s="12" t="s">
        <v>163</v>
      </c>
      <c r="G323" s="12" t="s">
        <v>164</v>
      </c>
      <c r="H323" s="12" t="s">
        <v>1025</v>
      </c>
      <c r="I323" s="12" t="s">
        <v>1026</v>
      </c>
    </row>
    <row r="324" spans="1:9">
      <c r="A324" s="14">
        <v>18016</v>
      </c>
      <c r="B324" s="14" t="s">
        <v>615</v>
      </c>
      <c r="C324" s="12" t="s">
        <v>1018</v>
      </c>
      <c r="D324" s="15" t="str">
        <f t="shared" si="5"/>
        <v>Arch MI-Contract UW and Review - SMSI-E</v>
      </c>
      <c r="E324" s="12" t="s">
        <v>126</v>
      </c>
      <c r="F324" s="12" t="s">
        <v>163</v>
      </c>
      <c r="G324" s="12" t="s">
        <v>164</v>
      </c>
      <c r="H324" s="12" t="s">
        <v>1025</v>
      </c>
      <c r="I324" s="12" t="s">
        <v>1026</v>
      </c>
    </row>
    <row r="325" spans="1:9">
      <c r="A325" s="14">
        <v>18016</v>
      </c>
      <c r="B325" s="14" t="s">
        <v>615</v>
      </c>
      <c r="C325" s="12" t="s">
        <v>145</v>
      </c>
      <c r="D325" s="15" t="str">
        <f t="shared" si="5"/>
        <v>Arch MI-Contract UW and Review - SUP</v>
      </c>
      <c r="E325" s="12" t="s">
        <v>126</v>
      </c>
      <c r="F325" s="12" t="s">
        <v>163</v>
      </c>
      <c r="G325" s="12" t="s">
        <v>164</v>
      </c>
      <c r="H325" s="12" t="s">
        <v>1025</v>
      </c>
      <c r="I325" s="12" t="s">
        <v>1026</v>
      </c>
    </row>
    <row r="326" spans="1:9">
      <c r="A326" s="14">
        <v>18016</v>
      </c>
      <c r="B326" s="14" t="s">
        <v>615</v>
      </c>
      <c r="C326" s="12" t="s">
        <v>180</v>
      </c>
      <c r="D326" s="15" t="str">
        <f t="shared" si="5"/>
        <v>Arch MI-Contract UW and Review - TMG</v>
      </c>
      <c r="E326" s="12" t="s">
        <v>126</v>
      </c>
      <c r="F326" s="12" t="s">
        <v>163</v>
      </c>
      <c r="G326" s="12" t="s">
        <v>164</v>
      </c>
      <c r="H326" s="12" t="s">
        <v>1025</v>
      </c>
      <c r="I326" s="12" t="s">
        <v>1026</v>
      </c>
    </row>
    <row r="327" spans="1:9">
      <c r="A327" s="14">
        <v>18016</v>
      </c>
      <c r="B327" s="14" t="s">
        <v>615</v>
      </c>
      <c r="C327" s="12" t="s">
        <v>185</v>
      </c>
      <c r="D327" s="15" t="str">
        <f t="shared" si="5"/>
        <v>Arch MI-Contract UW and Review - TPS</v>
      </c>
      <c r="E327" s="12" t="s">
        <v>126</v>
      </c>
      <c r="F327" s="12" t="s">
        <v>163</v>
      </c>
      <c r="G327" s="12" t="s">
        <v>164</v>
      </c>
      <c r="H327" s="12" t="s">
        <v>1025</v>
      </c>
      <c r="I327" s="12" t="s">
        <v>1026</v>
      </c>
    </row>
    <row r="328" spans="1:9">
      <c r="A328" s="14">
        <v>10957</v>
      </c>
      <c r="B328" s="14" t="s">
        <v>491</v>
      </c>
      <c r="C328" s="12" t="s">
        <v>418</v>
      </c>
      <c r="D328" s="15" t="str">
        <f t="shared" si="5"/>
        <v>Arch Re - BO/TP/Underwriting S - QLC</v>
      </c>
      <c r="E328" s="12" t="s">
        <v>112</v>
      </c>
      <c r="F328" s="12" t="s">
        <v>113</v>
      </c>
      <c r="G328" s="12" t="s">
        <v>114</v>
      </c>
      <c r="H328" s="12" t="s">
        <v>1025</v>
      </c>
      <c r="I328" s="12" t="s">
        <v>1026</v>
      </c>
    </row>
    <row r="329" spans="1:9">
      <c r="A329" s="14">
        <v>10957</v>
      </c>
      <c r="B329" s="14" t="s">
        <v>491</v>
      </c>
      <c r="C329" s="12" t="s">
        <v>111</v>
      </c>
      <c r="D329" s="15" t="str">
        <f t="shared" si="5"/>
        <v>Arch Re - BO/TP/Underwriting S - QLY</v>
      </c>
      <c r="E329" s="12" t="s">
        <v>112</v>
      </c>
      <c r="F329" s="12" t="s">
        <v>113</v>
      </c>
      <c r="G329" s="12" t="s">
        <v>114</v>
      </c>
      <c r="H329" s="12" t="s">
        <v>1025</v>
      </c>
      <c r="I329" s="12" t="s">
        <v>1026</v>
      </c>
    </row>
    <row r="330" spans="1:9">
      <c r="A330" s="14">
        <v>10957</v>
      </c>
      <c r="B330" s="14" t="s">
        <v>491</v>
      </c>
      <c r="C330" s="12" t="s">
        <v>196</v>
      </c>
      <c r="D330" s="15" t="str">
        <f t="shared" si="5"/>
        <v>Arch Re - BO/TP/Underwriting S - SUT</v>
      </c>
      <c r="E330" s="12" t="s">
        <v>126</v>
      </c>
      <c r="F330" s="12" t="s">
        <v>163</v>
      </c>
      <c r="G330" s="12" t="s">
        <v>164</v>
      </c>
      <c r="H330" s="12" t="s">
        <v>1025</v>
      </c>
      <c r="I330" s="12" t="s">
        <v>1026</v>
      </c>
    </row>
    <row r="331" spans="1:9">
      <c r="A331" s="14">
        <v>10957</v>
      </c>
      <c r="B331" s="14" t="s">
        <v>491</v>
      </c>
      <c r="C331" s="12" t="s">
        <v>185</v>
      </c>
      <c r="D331" s="15" t="str">
        <f t="shared" si="5"/>
        <v>Arch Re - BO/TP/Underwriting S - TPS</v>
      </c>
      <c r="E331" s="12" t="s">
        <v>126</v>
      </c>
      <c r="F331" s="12" t="s">
        <v>163</v>
      </c>
      <c r="G331" s="12" t="s">
        <v>164</v>
      </c>
      <c r="H331" s="12" t="s">
        <v>1025</v>
      </c>
      <c r="I331" s="12" t="s">
        <v>1026</v>
      </c>
    </row>
    <row r="332" spans="1:9">
      <c r="A332" s="14">
        <v>10949</v>
      </c>
      <c r="B332" s="14" t="s">
        <v>274</v>
      </c>
      <c r="C332" s="12" t="s">
        <v>145</v>
      </c>
      <c r="D332" s="15" t="str">
        <f t="shared" si="5"/>
        <v>Arch Re Offshore Tech JC - SUP</v>
      </c>
      <c r="E332" s="12" t="s">
        <v>117</v>
      </c>
      <c r="F332" s="12" t="s">
        <v>117</v>
      </c>
      <c r="G332" s="12" t="s">
        <v>117</v>
      </c>
      <c r="H332" s="12" t="s">
        <v>1025</v>
      </c>
      <c r="I332" s="12" t="s">
        <v>1026</v>
      </c>
    </row>
    <row r="333" spans="1:9">
      <c r="A333" s="14">
        <v>10494</v>
      </c>
      <c r="B333" s="14" t="s">
        <v>248</v>
      </c>
      <c r="C333" s="12" t="s">
        <v>138</v>
      </c>
      <c r="D333" s="15" t="str">
        <f t="shared" si="5"/>
        <v>ARGO - Cash Journal Entries - BOS</v>
      </c>
      <c r="E333" s="12" t="s">
        <v>126</v>
      </c>
      <c r="F333" s="12" t="s">
        <v>163</v>
      </c>
      <c r="G333" s="12" t="s">
        <v>164</v>
      </c>
      <c r="H333" s="12" t="s">
        <v>1025</v>
      </c>
      <c r="I333" s="12" t="s">
        <v>1026</v>
      </c>
    </row>
    <row r="334" spans="1:9">
      <c r="A334" s="14">
        <v>10494</v>
      </c>
      <c r="B334" s="14" t="s">
        <v>248</v>
      </c>
      <c r="C334" s="12" t="s">
        <v>180</v>
      </c>
      <c r="D334" s="15" t="str">
        <f t="shared" si="5"/>
        <v>ARGO - Cash Journal Entries - TMG</v>
      </c>
      <c r="E334" s="12" t="s">
        <v>126</v>
      </c>
      <c r="F334" s="12" t="s">
        <v>163</v>
      </c>
      <c r="G334" s="12" t="s">
        <v>164</v>
      </c>
      <c r="H334" s="12" t="s">
        <v>1025</v>
      </c>
      <c r="I334" s="12" t="s">
        <v>1026</v>
      </c>
    </row>
    <row r="335" spans="1:9">
      <c r="A335" s="14">
        <v>10494</v>
      </c>
      <c r="B335" s="14" t="s">
        <v>248</v>
      </c>
      <c r="C335" s="12" t="s">
        <v>185</v>
      </c>
      <c r="D335" s="15" t="str">
        <f t="shared" si="5"/>
        <v>ARGO - Cash Journal Entries - TPS</v>
      </c>
      <c r="E335" s="12" t="s">
        <v>126</v>
      </c>
      <c r="F335" s="12" t="s">
        <v>163</v>
      </c>
      <c r="G335" s="12" t="s">
        <v>164</v>
      </c>
      <c r="H335" s="12" t="s">
        <v>1025</v>
      </c>
      <c r="I335" s="12" t="s">
        <v>1026</v>
      </c>
    </row>
    <row r="336" spans="1:9">
      <c r="A336" s="14">
        <v>10664</v>
      </c>
      <c r="B336" s="14" t="s">
        <v>296</v>
      </c>
      <c r="C336" s="12" t="s">
        <v>161</v>
      </c>
      <c r="D336" s="15" t="str">
        <f t="shared" si="5"/>
        <v>Argo Rater VBA Excel Support - ECC</v>
      </c>
      <c r="E336" s="12" t="s">
        <v>126</v>
      </c>
      <c r="F336" s="12" t="s">
        <v>163</v>
      </c>
      <c r="G336" s="12" t="s">
        <v>164</v>
      </c>
      <c r="H336" s="12" t="s">
        <v>1025</v>
      </c>
      <c r="I336" s="12" t="s">
        <v>1026</v>
      </c>
    </row>
    <row r="337" spans="1:9">
      <c r="A337" s="14">
        <v>10664</v>
      </c>
      <c r="B337" s="14" t="s">
        <v>296</v>
      </c>
      <c r="C337" s="12" t="s">
        <v>185</v>
      </c>
      <c r="D337" s="15" t="str">
        <f t="shared" si="5"/>
        <v>Argo Rater VBA Excel Support - TPS</v>
      </c>
      <c r="E337" s="12" t="s">
        <v>126</v>
      </c>
      <c r="F337" s="12" t="s">
        <v>163</v>
      </c>
      <c r="G337" s="12" t="s">
        <v>164</v>
      </c>
      <c r="H337" s="12" t="s">
        <v>1025</v>
      </c>
      <c r="I337" s="12" t="s">
        <v>1026</v>
      </c>
    </row>
    <row r="338" spans="1:9">
      <c r="A338" s="14">
        <v>10937</v>
      </c>
      <c r="B338" s="14" t="s">
        <v>480</v>
      </c>
      <c r="C338" s="12" t="s">
        <v>185</v>
      </c>
      <c r="D338" s="15" t="str">
        <f t="shared" si="5"/>
        <v>Argo UK Actuaries - TPS</v>
      </c>
      <c r="E338" s="12" t="s">
        <v>126</v>
      </c>
      <c r="F338" s="12" t="s">
        <v>163</v>
      </c>
      <c r="G338" s="12" t="s">
        <v>164</v>
      </c>
      <c r="H338" s="12" t="s">
        <v>1025</v>
      </c>
      <c r="I338" s="12" t="s">
        <v>1026</v>
      </c>
    </row>
    <row r="339" spans="1:9">
      <c r="A339" s="14">
        <v>10929</v>
      </c>
      <c r="B339" s="14" t="s">
        <v>472</v>
      </c>
      <c r="C339" s="12" t="s">
        <v>133</v>
      </c>
      <c r="D339" s="15" t="str">
        <f t="shared" si="5"/>
        <v>Argo US – F&amp;A - AMG</v>
      </c>
      <c r="E339" s="12" t="s">
        <v>126</v>
      </c>
      <c r="F339" s="12" t="s">
        <v>163</v>
      </c>
      <c r="G339" s="12" t="s">
        <v>164</v>
      </c>
      <c r="H339" s="12" t="s">
        <v>1025</v>
      </c>
      <c r="I339" s="12" t="s">
        <v>1026</v>
      </c>
    </row>
    <row r="340" spans="1:9">
      <c r="A340" s="14">
        <v>10929</v>
      </c>
      <c r="B340" s="14" t="s">
        <v>472</v>
      </c>
      <c r="C340" s="12" t="s">
        <v>138</v>
      </c>
      <c r="D340" s="15" t="str">
        <f t="shared" si="5"/>
        <v>Argo US – F&amp;A - BOS</v>
      </c>
      <c r="E340" s="12" t="s">
        <v>126</v>
      </c>
      <c r="F340" s="12" t="s">
        <v>163</v>
      </c>
      <c r="G340" s="12" t="s">
        <v>164</v>
      </c>
      <c r="H340" s="12" t="s">
        <v>1025</v>
      </c>
      <c r="I340" s="12" t="s">
        <v>1026</v>
      </c>
    </row>
    <row r="341" spans="1:9">
      <c r="A341" s="14">
        <v>10929</v>
      </c>
      <c r="B341" s="14" t="s">
        <v>472</v>
      </c>
      <c r="C341" s="12" t="s">
        <v>306</v>
      </c>
      <c r="D341" s="15" t="str">
        <f t="shared" si="5"/>
        <v>Argo US – F&amp;A - FAO</v>
      </c>
      <c r="E341" s="12" t="s">
        <v>126</v>
      </c>
      <c r="F341" s="12" t="s">
        <v>163</v>
      </c>
      <c r="G341" s="12" t="s">
        <v>164</v>
      </c>
      <c r="H341" s="12" t="s">
        <v>1025</v>
      </c>
      <c r="I341" s="12" t="s">
        <v>1026</v>
      </c>
    </row>
    <row r="342" spans="1:9">
      <c r="A342" s="14">
        <v>10929</v>
      </c>
      <c r="B342" s="14" t="s">
        <v>472</v>
      </c>
      <c r="C342" s="12" t="s">
        <v>180</v>
      </c>
      <c r="D342" s="15" t="str">
        <f t="shared" si="5"/>
        <v>Argo US – F&amp;A - TMG</v>
      </c>
      <c r="E342" s="12" t="s">
        <v>126</v>
      </c>
      <c r="F342" s="12" t="s">
        <v>163</v>
      </c>
      <c r="G342" s="12" t="s">
        <v>164</v>
      </c>
      <c r="H342" s="12" t="s">
        <v>1025</v>
      </c>
      <c r="I342" s="12" t="s">
        <v>1026</v>
      </c>
    </row>
    <row r="343" spans="1:9">
      <c r="A343" s="14">
        <v>10929</v>
      </c>
      <c r="B343" s="14" t="s">
        <v>472</v>
      </c>
      <c r="C343" s="12" t="s">
        <v>185</v>
      </c>
      <c r="D343" s="15" t="str">
        <f t="shared" si="5"/>
        <v>Argo US – F&amp;A - TPS</v>
      </c>
      <c r="E343" s="12" t="s">
        <v>126</v>
      </c>
      <c r="F343" s="12" t="s">
        <v>163</v>
      </c>
      <c r="G343" s="12" t="s">
        <v>164</v>
      </c>
      <c r="H343" s="12" t="s">
        <v>1025</v>
      </c>
      <c r="I343" s="12" t="s">
        <v>1026</v>
      </c>
    </row>
    <row r="344" spans="1:9">
      <c r="A344" s="14">
        <v>10931</v>
      </c>
      <c r="B344" s="14" t="s">
        <v>475</v>
      </c>
      <c r="C344" s="12" t="s">
        <v>431</v>
      </c>
      <c r="D344" s="15" t="str">
        <f t="shared" si="5"/>
        <v>Argo US - Insurance - AGA</v>
      </c>
      <c r="E344" s="12" t="s">
        <v>126</v>
      </c>
      <c r="F344" s="12" t="s">
        <v>163</v>
      </c>
      <c r="G344" s="12" t="s">
        <v>164</v>
      </c>
      <c r="H344" s="12" t="s">
        <v>1025</v>
      </c>
      <c r="I344" s="12" t="s">
        <v>1026</v>
      </c>
    </row>
    <row r="345" spans="1:9">
      <c r="A345" s="14">
        <v>10931</v>
      </c>
      <c r="B345" s="14" t="s">
        <v>475</v>
      </c>
      <c r="C345" s="12" t="s">
        <v>719</v>
      </c>
      <c r="D345" s="15" t="str">
        <f t="shared" si="5"/>
        <v>Argo US - Insurance - AGB</v>
      </c>
      <c r="E345" s="12" t="s">
        <v>126</v>
      </c>
      <c r="F345" s="12" t="s">
        <v>163</v>
      </c>
      <c r="G345" s="12" t="s">
        <v>164</v>
      </c>
      <c r="H345" s="12" t="s">
        <v>1025</v>
      </c>
      <c r="I345" s="12" t="s">
        <v>1026</v>
      </c>
    </row>
    <row r="346" spans="1:9">
      <c r="A346" s="14">
        <v>10931</v>
      </c>
      <c r="B346" s="14" t="s">
        <v>475</v>
      </c>
      <c r="C346" s="12" t="s">
        <v>721</v>
      </c>
      <c r="D346" s="15" t="str">
        <f t="shared" si="5"/>
        <v>Argo US - Insurance - AGC</v>
      </c>
      <c r="E346" s="12" t="s">
        <v>126</v>
      </c>
      <c r="F346" s="12" t="s">
        <v>163</v>
      </c>
      <c r="G346" s="12" t="s">
        <v>164</v>
      </c>
      <c r="H346" s="12" t="s">
        <v>1025</v>
      </c>
      <c r="I346" s="12" t="s">
        <v>1026</v>
      </c>
    </row>
    <row r="347" spans="1:9">
      <c r="A347" s="14">
        <v>10931</v>
      </c>
      <c r="B347" s="14" t="s">
        <v>475</v>
      </c>
      <c r="C347" s="12" t="s">
        <v>492</v>
      </c>
      <c r="D347" s="15" t="str">
        <f t="shared" si="5"/>
        <v>Argo US - Insurance - AGD</v>
      </c>
      <c r="E347" s="12" t="s">
        <v>126</v>
      </c>
      <c r="F347" s="12" t="s">
        <v>163</v>
      </c>
      <c r="G347" s="12" t="s">
        <v>164</v>
      </c>
      <c r="H347" s="12" t="s">
        <v>1025</v>
      </c>
      <c r="I347" s="12" t="s">
        <v>1026</v>
      </c>
    </row>
    <row r="348" spans="1:9">
      <c r="A348" s="14">
        <v>10931</v>
      </c>
      <c r="B348" s="14" t="s">
        <v>475</v>
      </c>
      <c r="C348" s="12" t="s">
        <v>133</v>
      </c>
      <c r="D348" s="15" t="str">
        <f t="shared" si="5"/>
        <v>Argo US - Insurance - AMG</v>
      </c>
      <c r="E348" s="12" t="s">
        <v>126</v>
      </c>
      <c r="F348" s="12" t="s">
        <v>163</v>
      </c>
      <c r="G348" s="12" t="s">
        <v>164</v>
      </c>
      <c r="H348" s="12" t="s">
        <v>1025</v>
      </c>
      <c r="I348" s="12" t="s">
        <v>1026</v>
      </c>
    </row>
    <row r="349" spans="1:9">
      <c r="A349" s="14">
        <v>10931</v>
      </c>
      <c r="B349" s="14" t="s">
        <v>475</v>
      </c>
      <c r="C349" s="12" t="s">
        <v>144</v>
      </c>
      <c r="D349" s="15" t="str">
        <f t="shared" si="5"/>
        <v>Argo US - Insurance - CCOD</v>
      </c>
      <c r="E349" s="12" t="s">
        <v>126</v>
      </c>
      <c r="F349" s="12" t="s">
        <v>163</v>
      </c>
      <c r="G349" s="12" t="s">
        <v>164</v>
      </c>
      <c r="H349" s="12" t="s">
        <v>1025</v>
      </c>
      <c r="I349" s="12" t="s">
        <v>1026</v>
      </c>
    </row>
    <row r="350" spans="1:9">
      <c r="A350" s="14">
        <v>10931</v>
      </c>
      <c r="B350" s="14" t="s">
        <v>475</v>
      </c>
      <c r="C350" s="12" t="s">
        <v>150</v>
      </c>
      <c r="D350" s="15" t="str">
        <f t="shared" si="5"/>
        <v>Argo US - Insurance - CCS</v>
      </c>
      <c r="E350" s="12" t="s">
        <v>126</v>
      </c>
      <c r="F350" s="12" t="s">
        <v>163</v>
      </c>
      <c r="G350" s="12" t="s">
        <v>164</v>
      </c>
      <c r="H350" s="12" t="s">
        <v>1025</v>
      </c>
      <c r="I350" s="12" t="s">
        <v>1026</v>
      </c>
    </row>
    <row r="351" spans="1:9">
      <c r="A351" s="14">
        <v>10931</v>
      </c>
      <c r="B351" s="14" t="s">
        <v>475</v>
      </c>
      <c r="C351" s="12" t="s">
        <v>171</v>
      </c>
      <c r="D351" s="15" t="str">
        <f t="shared" si="5"/>
        <v>Argo US - Insurance - ETE</v>
      </c>
      <c r="E351" s="12" t="s">
        <v>126</v>
      </c>
      <c r="F351" s="12" t="s">
        <v>163</v>
      </c>
      <c r="G351" s="12" t="s">
        <v>164</v>
      </c>
      <c r="H351" s="12" t="s">
        <v>1025</v>
      </c>
      <c r="I351" s="12" t="s">
        <v>1026</v>
      </c>
    </row>
    <row r="352" spans="1:9">
      <c r="A352" s="14">
        <v>10931</v>
      </c>
      <c r="B352" s="14" t="s">
        <v>475</v>
      </c>
      <c r="C352" s="12" t="s">
        <v>129</v>
      </c>
      <c r="D352" s="15" t="str">
        <f t="shared" si="5"/>
        <v>Argo US - Insurance - MGT</v>
      </c>
      <c r="E352" s="12" t="s">
        <v>126</v>
      </c>
      <c r="F352" s="12" t="s">
        <v>163</v>
      </c>
      <c r="G352" s="12" t="s">
        <v>164</v>
      </c>
      <c r="H352" s="12" t="s">
        <v>1025</v>
      </c>
      <c r="I352" s="12" t="s">
        <v>1026</v>
      </c>
    </row>
    <row r="353" spans="1:9">
      <c r="A353" s="14">
        <v>10931</v>
      </c>
      <c r="B353" s="14" t="s">
        <v>475</v>
      </c>
      <c r="C353" s="12" t="s">
        <v>177</v>
      </c>
      <c r="D353" s="15" t="str">
        <f t="shared" si="5"/>
        <v>Argo US - Insurance - OPS</v>
      </c>
      <c r="E353" s="12" t="s">
        <v>126</v>
      </c>
      <c r="F353" s="12" t="s">
        <v>163</v>
      </c>
      <c r="G353" s="12" t="s">
        <v>164</v>
      </c>
      <c r="H353" s="12" t="s">
        <v>1025</v>
      </c>
      <c r="I353" s="12" t="s">
        <v>1026</v>
      </c>
    </row>
    <row r="354" spans="1:9">
      <c r="A354" s="14">
        <v>10931</v>
      </c>
      <c r="B354" s="14" t="s">
        <v>475</v>
      </c>
      <c r="C354" s="12" t="s">
        <v>547</v>
      </c>
      <c r="D354" s="15" t="str">
        <f t="shared" si="5"/>
        <v>Argo US - Insurance - PHR</v>
      </c>
      <c r="E354" s="12" t="s">
        <v>126</v>
      </c>
      <c r="F354" s="12" t="s">
        <v>163</v>
      </c>
      <c r="G354" s="12" t="s">
        <v>164</v>
      </c>
      <c r="H354" s="12" t="s">
        <v>1025</v>
      </c>
      <c r="I354" s="12" t="s">
        <v>1026</v>
      </c>
    </row>
    <row r="355" spans="1:9">
      <c r="A355" s="14">
        <v>10931</v>
      </c>
      <c r="B355" s="14" t="s">
        <v>475</v>
      </c>
      <c r="C355" s="12" t="s">
        <v>116</v>
      </c>
      <c r="D355" s="15" t="str">
        <f t="shared" si="5"/>
        <v>Argo US - Insurance - PRD</v>
      </c>
      <c r="E355" s="12" t="s">
        <v>126</v>
      </c>
      <c r="F355" s="12" t="s">
        <v>163</v>
      </c>
      <c r="G355" s="12" t="s">
        <v>164</v>
      </c>
      <c r="H355" s="12" t="s">
        <v>1025</v>
      </c>
      <c r="I355" s="12" t="s">
        <v>1026</v>
      </c>
    </row>
    <row r="356" spans="1:9">
      <c r="A356" s="14">
        <v>10931</v>
      </c>
      <c r="B356" s="14" t="s">
        <v>475</v>
      </c>
      <c r="C356" s="12" t="s">
        <v>111</v>
      </c>
      <c r="D356" s="15" t="str">
        <f t="shared" si="5"/>
        <v>Argo US - Insurance - QLY</v>
      </c>
      <c r="E356" s="12" t="s">
        <v>112</v>
      </c>
      <c r="F356" s="12" t="s">
        <v>113</v>
      </c>
      <c r="G356" s="12" t="s">
        <v>114</v>
      </c>
      <c r="H356" s="12" t="s">
        <v>1025</v>
      </c>
      <c r="I356" s="12" t="s">
        <v>1026</v>
      </c>
    </row>
    <row r="357" spans="1:9">
      <c r="A357" s="14">
        <v>10931</v>
      </c>
      <c r="B357" s="14" t="s">
        <v>475</v>
      </c>
      <c r="C357" s="12" t="s">
        <v>119</v>
      </c>
      <c r="D357" s="15" t="str">
        <f t="shared" si="5"/>
        <v>Argo US - Insurance - SQM</v>
      </c>
      <c r="E357" s="12" t="s">
        <v>112</v>
      </c>
      <c r="F357" s="12" t="s">
        <v>113</v>
      </c>
      <c r="G357" s="12" t="s">
        <v>114</v>
      </c>
      <c r="H357" s="12" t="s">
        <v>1025</v>
      </c>
      <c r="I357" s="12" t="s">
        <v>1026</v>
      </c>
    </row>
    <row r="358" spans="1:9">
      <c r="A358" s="14">
        <v>10931</v>
      </c>
      <c r="B358" s="14" t="s">
        <v>475</v>
      </c>
      <c r="C358" s="12" t="s">
        <v>196</v>
      </c>
      <c r="D358" s="15" t="str">
        <f t="shared" si="5"/>
        <v>Argo US - Insurance - SUT</v>
      </c>
      <c r="E358" s="12" t="s">
        <v>126</v>
      </c>
      <c r="F358" s="12" t="s">
        <v>163</v>
      </c>
      <c r="G358" s="12" t="s">
        <v>164</v>
      </c>
      <c r="H358" s="12" t="s">
        <v>1025</v>
      </c>
      <c r="I358" s="12" t="s">
        <v>1026</v>
      </c>
    </row>
    <row r="359" spans="1:9">
      <c r="A359" s="14">
        <v>10931</v>
      </c>
      <c r="B359" s="14" t="s">
        <v>475</v>
      </c>
      <c r="C359" s="12" t="s">
        <v>180</v>
      </c>
      <c r="D359" s="15" t="str">
        <f t="shared" si="5"/>
        <v>Argo US - Insurance - TMG</v>
      </c>
      <c r="E359" s="12" t="s">
        <v>126</v>
      </c>
      <c r="F359" s="12" t="s">
        <v>163</v>
      </c>
      <c r="G359" s="12" t="s">
        <v>164</v>
      </c>
      <c r="H359" s="12" t="s">
        <v>1025</v>
      </c>
      <c r="I359" s="12" t="s">
        <v>1026</v>
      </c>
    </row>
    <row r="360" spans="1:9">
      <c r="A360" s="14">
        <v>10931</v>
      </c>
      <c r="B360" s="14" t="s">
        <v>475</v>
      </c>
      <c r="C360" s="12" t="s">
        <v>185</v>
      </c>
      <c r="D360" s="15" t="str">
        <f t="shared" si="5"/>
        <v>Argo US - Insurance - TPS</v>
      </c>
      <c r="E360" s="12" t="s">
        <v>126</v>
      </c>
      <c r="F360" s="12" t="s">
        <v>163</v>
      </c>
      <c r="G360" s="12" t="s">
        <v>164</v>
      </c>
      <c r="H360" s="12" t="s">
        <v>1025</v>
      </c>
      <c r="I360" s="12" t="s">
        <v>1026</v>
      </c>
    </row>
    <row r="361" spans="1:9">
      <c r="A361" s="14">
        <v>10931</v>
      </c>
      <c r="B361" s="14" t="s">
        <v>475</v>
      </c>
      <c r="C361" s="12" t="s">
        <v>203</v>
      </c>
      <c r="D361" s="15" t="str">
        <f t="shared" si="5"/>
        <v>Argo US - Insurance - TRG</v>
      </c>
      <c r="E361" s="12" t="s">
        <v>112</v>
      </c>
      <c r="F361" s="12" t="s">
        <v>204</v>
      </c>
      <c r="G361" s="12" t="s">
        <v>205</v>
      </c>
      <c r="H361" s="12" t="s">
        <v>1025</v>
      </c>
      <c r="I361" s="12" t="s">
        <v>1026</v>
      </c>
    </row>
    <row r="362" spans="1:9">
      <c r="A362" s="14">
        <v>10931</v>
      </c>
      <c r="B362" s="14" t="s">
        <v>475</v>
      </c>
      <c r="C362" s="12" t="s">
        <v>208</v>
      </c>
      <c r="D362" s="15" t="str">
        <f t="shared" si="5"/>
        <v>Argo US - Insurance - TTR</v>
      </c>
      <c r="E362" s="12" t="s">
        <v>112</v>
      </c>
      <c r="F362" s="12" t="s">
        <v>204</v>
      </c>
      <c r="G362" s="12" t="s">
        <v>205</v>
      </c>
      <c r="H362" s="12" t="s">
        <v>1025</v>
      </c>
      <c r="I362" s="12" t="s">
        <v>1026</v>
      </c>
    </row>
    <row r="363" spans="1:9">
      <c r="A363" s="14">
        <v>12621</v>
      </c>
      <c r="B363" s="14" t="s">
        <v>276</v>
      </c>
      <c r="C363" s="12" t="s">
        <v>116</v>
      </c>
      <c r="D363" s="15" t="str">
        <f t="shared" si="5"/>
        <v>Arkansas - Report Development - PRD</v>
      </c>
      <c r="E363" s="12" t="s">
        <v>117</v>
      </c>
      <c r="F363" s="12" t="s">
        <v>117</v>
      </c>
      <c r="G363" s="12" t="s">
        <v>117</v>
      </c>
      <c r="H363" s="12" t="s">
        <v>1025</v>
      </c>
      <c r="I363" s="12" t="s">
        <v>1026</v>
      </c>
    </row>
    <row r="364" spans="1:9">
      <c r="A364" s="14">
        <v>51063</v>
      </c>
      <c r="B364" s="14" t="s">
        <v>695</v>
      </c>
      <c r="C364" s="12" t="s">
        <v>116</v>
      </c>
      <c r="D364" s="15" t="str">
        <f t="shared" si="5"/>
        <v>ASTEC-2208-2508-QE-OracleSaaS - PRD</v>
      </c>
      <c r="E364" s="12" t="s">
        <v>117</v>
      </c>
      <c r="F364" s="12" t="s">
        <v>117</v>
      </c>
      <c r="G364" s="12" t="s">
        <v>117</v>
      </c>
      <c r="H364" s="12" t="s">
        <v>1025</v>
      </c>
      <c r="I364" s="12" t="s">
        <v>1026</v>
      </c>
    </row>
    <row r="365" spans="1:9">
      <c r="A365" s="14">
        <v>51423</v>
      </c>
      <c r="B365" s="14" t="s">
        <v>783</v>
      </c>
      <c r="C365" s="12" t="s">
        <v>116</v>
      </c>
      <c r="D365" s="15" t="str">
        <f t="shared" si="5"/>
        <v>ASTEC-2301-2302-Product-Routin - PRD</v>
      </c>
      <c r="E365" s="12" t="s">
        <v>117</v>
      </c>
      <c r="F365" s="12" t="s">
        <v>117</v>
      </c>
      <c r="G365" s="12" t="s">
        <v>117</v>
      </c>
      <c r="H365" s="12" t="s">
        <v>1025</v>
      </c>
      <c r="I365" s="12" t="s">
        <v>1026</v>
      </c>
    </row>
    <row r="366" spans="1:9">
      <c r="A366" s="14">
        <v>10760</v>
      </c>
      <c r="B366" s="14" t="s">
        <v>364</v>
      </c>
      <c r="C366" s="12" t="s">
        <v>133</v>
      </c>
      <c r="D366" s="15" t="str">
        <f t="shared" si="5"/>
        <v>AT&amp;T Broadband Chat - Cochin - AMG</v>
      </c>
      <c r="E366" s="12" t="s">
        <v>126</v>
      </c>
      <c r="F366" s="12" t="s">
        <v>360</v>
      </c>
      <c r="G366" s="12" t="s">
        <v>361</v>
      </c>
      <c r="H366" s="12" t="s">
        <v>1025</v>
      </c>
      <c r="I366" s="12" t="s">
        <v>1026</v>
      </c>
    </row>
    <row r="367" spans="1:9">
      <c r="A367" s="14">
        <v>10760</v>
      </c>
      <c r="B367" s="14" t="s">
        <v>364</v>
      </c>
      <c r="C367" s="12" t="s">
        <v>398</v>
      </c>
      <c r="D367" s="15" t="str">
        <f t="shared" si="5"/>
        <v>AT&amp;T Broadband Chat - Cochin - CBK</v>
      </c>
      <c r="E367" s="12" t="s">
        <v>126</v>
      </c>
      <c r="F367" s="12" t="s">
        <v>360</v>
      </c>
      <c r="G367" s="12" t="s">
        <v>361</v>
      </c>
      <c r="H367" s="12" t="s">
        <v>1025</v>
      </c>
      <c r="I367" s="12" t="s">
        <v>1026</v>
      </c>
    </row>
    <row r="368" spans="1:9">
      <c r="A368" s="14">
        <v>10760</v>
      </c>
      <c r="B368" s="14" t="s">
        <v>364</v>
      </c>
      <c r="C368" s="12" t="s">
        <v>908</v>
      </c>
      <c r="D368" s="15" t="str">
        <f t="shared" si="5"/>
        <v>AT&amp;T Broadband Chat - Cochin - DTANLY</v>
      </c>
      <c r="E368" s="12" t="s">
        <v>126</v>
      </c>
      <c r="F368" s="12" t="s">
        <v>360</v>
      </c>
      <c r="G368" s="12" t="s">
        <v>361</v>
      </c>
      <c r="H368" s="12" t="s">
        <v>1025</v>
      </c>
      <c r="I368" s="12" t="s">
        <v>1026</v>
      </c>
    </row>
    <row r="369" spans="1:9">
      <c r="A369" s="14">
        <v>10760</v>
      </c>
      <c r="B369" s="14" t="s">
        <v>364</v>
      </c>
      <c r="C369" s="12" t="s">
        <v>171</v>
      </c>
      <c r="D369" s="15" t="str">
        <f t="shared" si="5"/>
        <v>AT&amp;T Broadband Chat - Cochin - ETE</v>
      </c>
      <c r="E369" s="12" t="s">
        <v>126</v>
      </c>
      <c r="F369" s="12" t="s">
        <v>360</v>
      </c>
      <c r="G369" s="12" t="s">
        <v>361</v>
      </c>
      <c r="H369" s="12" t="s">
        <v>1025</v>
      </c>
      <c r="I369" s="12" t="s">
        <v>1026</v>
      </c>
    </row>
    <row r="370" spans="1:9">
      <c r="A370" s="14">
        <v>10760</v>
      </c>
      <c r="B370" s="14" t="s">
        <v>364</v>
      </c>
      <c r="C370" s="12" t="s">
        <v>116</v>
      </c>
      <c r="D370" s="15" t="str">
        <f t="shared" si="5"/>
        <v>AT&amp;T Broadband Chat - Cochin - PRD</v>
      </c>
      <c r="E370" s="12" t="s">
        <v>126</v>
      </c>
      <c r="F370" s="12" t="s">
        <v>360</v>
      </c>
      <c r="G370" s="12" t="s">
        <v>361</v>
      </c>
      <c r="H370" s="12" t="s">
        <v>1025</v>
      </c>
      <c r="I370" s="12" t="s">
        <v>1026</v>
      </c>
    </row>
    <row r="371" spans="1:9">
      <c r="A371" s="14">
        <v>10760</v>
      </c>
      <c r="B371" s="14" t="s">
        <v>364</v>
      </c>
      <c r="C371" s="12" t="s">
        <v>111</v>
      </c>
      <c r="D371" s="15" t="str">
        <f t="shared" si="5"/>
        <v>AT&amp;T Broadband Chat - Cochin - QLY</v>
      </c>
      <c r="E371" s="12" t="s">
        <v>112</v>
      </c>
      <c r="F371" s="12" t="s">
        <v>113</v>
      </c>
      <c r="G371" s="12" t="s">
        <v>114</v>
      </c>
      <c r="H371" s="12" t="s">
        <v>1025</v>
      </c>
      <c r="I371" s="12" t="s">
        <v>1026</v>
      </c>
    </row>
    <row r="372" spans="1:9">
      <c r="A372" s="14">
        <v>10760</v>
      </c>
      <c r="B372" s="14" t="s">
        <v>364</v>
      </c>
      <c r="C372" s="12" t="s">
        <v>172</v>
      </c>
      <c r="D372" s="15" t="str">
        <f t="shared" si="5"/>
        <v>AT&amp;T Broadband Chat - Cochin - SME</v>
      </c>
      <c r="E372" s="12" t="s">
        <v>126</v>
      </c>
      <c r="F372" s="12" t="s">
        <v>360</v>
      </c>
      <c r="G372" s="12" t="s">
        <v>361</v>
      </c>
      <c r="H372" s="12" t="s">
        <v>1025</v>
      </c>
      <c r="I372" s="12" t="s">
        <v>1026</v>
      </c>
    </row>
    <row r="373" spans="1:9">
      <c r="A373" s="14">
        <v>10760</v>
      </c>
      <c r="B373" s="14" t="s">
        <v>364</v>
      </c>
      <c r="C373" s="12" t="s">
        <v>119</v>
      </c>
      <c r="D373" s="15" t="str">
        <f t="shared" si="5"/>
        <v>AT&amp;T Broadband Chat - Cochin - SQM</v>
      </c>
      <c r="E373" s="12" t="s">
        <v>112</v>
      </c>
      <c r="F373" s="12" t="s">
        <v>113</v>
      </c>
      <c r="G373" s="12" t="s">
        <v>114</v>
      </c>
      <c r="H373" s="12" t="s">
        <v>1025</v>
      </c>
      <c r="I373" s="12" t="s">
        <v>1026</v>
      </c>
    </row>
    <row r="374" spans="1:9">
      <c r="A374" s="14">
        <v>10760</v>
      </c>
      <c r="B374" s="14" t="s">
        <v>364</v>
      </c>
      <c r="C374" s="12" t="s">
        <v>145</v>
      </c>
      <c r="D374" s="15" t="str">
        <f t="shared" si="5"/>
        <v>AT&amp;T Broadband Chat - Cochin - SUP</v>
      </c>
      <c r="E374" s="12" t="s">
        <v>126</v>
      </c>
      <c r="F374" s="12" t="s">
        <v>360</v>
      </c>
      <c r="G374" s="12" t="s">
        <v>361</v>
      </c>
      <c r="H374" s="12" t="s">
        <v>1025</v>
      </c>
      <c r="I374" s="12" t="s">
        <v>1026</v>
      </c>
    </row>
    <row r="375" spans="1:9">
      <c r="A375" s="14">
        <v>10760</v>
      </c>
      <c r="B375" s="14" t="s">
        <v>364</v>
      </c>
      <c r="C375" s="12" t="s">
        <v>180</v>
      </c>
      <c r="D375" s="15" t="str">
        <f t="shared" si="5"/>
        <v>AT&amp;T Broadband Chat - Cochin - TMG</v>
      </c>
      <c r="E375" s="12" t="s">
        <v>126</v>
      </c>
      <c r="F375" s="12" t="s">
        <v>360</v>
      </c>
      <c r="G375" s="12" t="s">
        <v>361</v>
      </c>
      <c r="H375" s="12" t="s">
        <v>1025</v>
      </c>
      <c r="I375" s="12" t="s">
        <v>1026</v>
      </c>
    </row>
    <row r="376" spans="1:9">
      <c r="A376" s="14">
        <v>10760</v>
      </c>
      <c r="B376" s="14" t="s">
        <v>364</v>
      </c>
      <c r="C376" s="12" t="s">
        <v>203</v>
      </c>
      <c r="D376" s="15" t="str">
        <f t="shared" si="5"/>
        <v>AT&amp;T Broadband Chat - Cochin - TRG</v>
      </c>
      <c r="E376" s="12" t="s">
        <v>112</v>
      </c>
      <c r="F376" s="12" t="s">
        <v>204</v>
      </c>
      <c r="G376" s="12" t="s">
        <v>205</v>
      </c>
      <c r="H376" s="12" t="s">
        <v>1025</v>
      </c>
      <c r="I376" s="12" t="s">
        <v>1026</v>
      </c>
    </row>
    <row r="377" spans="1:9">
      <c r="A377" s="14">
        <v>10760</v>
      </c>
      <c r="B377" s="14" t="s">
        <v>364</v>
      </c>
      <c r="C377" s="12" t="s">
        <v>208</v>
      </c>
      <c r="D377" s="15" t="str">
        <f t="shared" si="5"/>
        <v>AT&amp;T Broadband Chat - Cochin - TTR</v>
      </c>
      <c r="E377" s="12" t="s">
        <v>112</v>
      </c>
      <c r="F377" s="12" t="s">
        <v>204</v>
      </c>
      <c r="G377" s="12" t="s">
        <v>205</v>
      </c>
      <c r="H377" s="12" t="s">
        <v>1025</v>
      </c>
      <c r="I377" s="12" t="s">
        <v>1026</v>
      </c>
    </row>
    <row r="378" spans="1:9">
      <c r="A378" s="14">
        <v>10524</v>
      </c>
      <c r="B378" s="14" t="s">
        <v>269</v>
      </c>
      <c r="C378" s="12" t="s">
        <v>171</v>
      </c>
      <c r="D378" s="15" t="str">
        <f t="shared" si="5"/>
        <v>AT&amp;T DDAC - Airoli - ETE</v>
      </c>
      <c r="E378" s="12" t="s">
        <v>126</v>
      </c>
      <c r="F378" s="12" t="s">
        <v>163</v>
      </c>
      <c r="G378" s="12" t="s">
        <v>164</v>
      </c>
      <c r="H378" s="12" t="s">
        <v>1025</v>
      </c>
      <c r="I378" s="12" t="s">
        <v>1026</v>
      </c>
    </row>
    <row r="379" spans="1:9">
      <c r="A379" s="14">
        <v>10524</v>
      </c>
      <c r="B379" s="14" t="s">
        <v>269</v>
      </c>
      <c r="C379" s="12" t="s">
        <v>145</v>
      </c>
      <c r="D379" s="15" t="str">
        <f t="shared" si="5"/>
        <v>AT&amp;T DDAC - Airoli - SUP</v>
      </c>
      <c r="E379" s="12" t="s">
        <v>126</v>
      </c>
      <c r="F379" s="12" t="s">
        <v>163</v>
      </c>
      <c r="G379" s="12" t="s">
        <v>164</v>
      </c>
      <c r="H379" s="12" t="s">
        <v>1025</v>
      </c>
      <c r="I379" s="12" t="s">
        <v>1026</v>
      </c>
    </row>
    <row r="380" spans="1:9">
      <c r="A380" s="14">
        <v>10524</v>
      </c>
      <c r="B380" s="14" t="s">
        <v>269</v>
      </c>
      <c r="C380" s="12" t="s">
        <v>180</v>
      </c>
      <c r="D380" s="15" t="str">
        <f t="shared" si="5"/>
        <v>AT&amp;T DDAC - Airoli - TMG</v>
      </c>
      <c r="E380" s="12" t="s">
        <v>126</v>
      </c>
      <c r="F380" s="12" t="s">
        <v>163</v>
      </c>
      <c r="G380" s="12" t="s">
        <v>164</v>
      </c>
      <c r="H380" s="12" t="s">
        <v>1025</v>
      </c>
      <c r="I380" s="12" t="s">
        <v>1026</v>
      </c>
    </row>
    <row r="381" spans="1:9">
      <c r="A381" s="14">
        <v>10524</v>
      </c>
      <c r="B381" s="14" t="s">
        <v>269</v>
      </c>
      <c r="C381" s="12" t="s">
        <v>185</v>
      </c>
      <c r="D381" s="15" t="str">
        <f t="shared" si="5"/>
        <v>AT&amp;T DDAC - Airoli - TPS</v>
      </c>
      <c r="E381" s="12" t="s">
        <v>126</v>
      </c>
      <c r="F381" s="12" t="s">
        <v>163</v>
      </c>
      <c r="G381" s="12" t="s">
        <v>164</v>
      </c>
      <c r="H381" s="12" t="s">
        <v>1025</v>
      </c>
      <c r="I381" s="12" t="s">
        <v>1026</v>
      </c>
    </row>
    <row r="382" spans="1:9">
      <c r="A382" s="14">
        <v>10705</v>
      </c>
      <c r="B382" s="14" t="s">
        <v>320</v>
      </c>
      <c r="C382" s="12" t="s">
        <v>133</v>
      </c>
      <c r="D382" s="15" t="str">
        <f t="shared" si="5"/>
        <v>AT&amp;T TV Service Chat - Chennai - AMG</v>
      </c>
      <c r="E382" s="12" t="s">
        <v>126</v>
      </c>
      <c r="F382" s="12" t="s">
        <v>178</v>
      </c>
      <c r="G382" s="12" t="s">
        <v>128</v>
      </c>
      <c r="H382" s="12" t="s">
        <v>1025</v>
      </c>
      <c r="I382" s="12" t="s">
        <v>1026</v>
      </c>
    </row>
    <row r="383" spans="1:9">
      <c r="A383" s="14">
        <v>10705</v>
      </c>
      <c r="B383" s="14" t="s">
        <v>320</v>
      </c>
      <c r="C383" s="12" t="s">
        <v>150</v>
      </c>
      <c r="D383" s="15" t="str">
        <f t="shared" si="5"/>
        <v>AT&amp;T TV Service Chat - Chennai - CCS</v>
      </c>
      <c r="E383" s="12" t="s">
        <v>126</v>
      </c>
      <c r="F383" s="12" t="s">
        <v>178</v>
      </c>
      <c r="G383" s="12" t="s">
        <v>128</v>
      </c>
      <c r="H383" s="12" t="s">
        <v>1025</v>
      </c>
      <c r="I383" s="12" t="s">
        <v>1026</v>
      </c>
    </row>
    <row r="384" spans="1:9">
      <c r="A384" s="14">
        <v>10705</v>
      </c>
      <c r="B384" s="14" t="s">
        <v>320</v>
      </c>
      <c r="C384" s="12" t="s">
        <v>171</v>
      </c>
      <c r="D384" s="15" t="str">
        <f t="shared" si="5"/>
        <v>AT&amp;T TV Service Chat - Chennai - ETE</v>
      </c>
      <c r="E384" s="12" t="s">
        <v>126</v>
      </c>
      <c r="F384" s="12" t="s">
        <v>178</v>
      </c>
      <c r="G384" s="12" t="s">
        <v>128</v>
      </c>
      <c r="H384" s="12" t="s">
        <v>1025</v>
      </c>
      <c r="I384" s="12" t="s">
        <v>1026</v>
      </c>
    </row>
    <row r="385" spans="1:9">
      <c r="A385" s="14">
        <v>10705</v>
      </c>
      <c r="B385" s="14" t="s">
        <v>320</v>
      </c>
      <c r="C385" s="12" t="s">
        <v>230</v>
      </c>
      <c r="D385" s="15" t="str">
        <f t="shared" si="5"/>
        <v>AT&amp;T TV Service Chat - Chennai - PRSP</v>
      </c>
      <c r="E385" s="12" t="s">
        <v>126</v>
      </c>
      <c r="F385" s="12" t="s">
        <v>178</v>
      </c>
      <c r="G385" s="12" t="s">
        <v>128</v>
      </c>
      <c r="H385" s="12" t="s">
        <v>1025</v>
      </c>
      <c r="I385" s="12" t="s">
        <v>1026</v>
      </c>
    </row>
    <row r="386" spans="1:9">
      <c r="A386" s="14">
        <v>10705</v>
      </c>
      <c r="B386" s="14" t="s">
        <v>320</v>
      </c>
      <c r="C386" s="12" t="s">
        <v>172</v>
      </c>
      <c r="D386" s="15" t="str">
        <f t="shared" ref="D386:D449" si="6">B386&amp;" - "&amp;C386</f>
        <v>AT&amp;T TV Service Chat - Chennai - SME</v>
      </c>
      <c r="E386" s="12" t="s">
        <v>126</v>
      </c>
      <c r="F386" s="12" t="s">
        <v>178</v>
      </c>
      <c r="G386" s="12" t="s">
        <v>128</v>
      </c>
      <c r="H386" s="12" t="s">
        <v>1025</v>
      </c>
      <c r="I386" s="12" t="s">
        <v>1026</v>
      </c>
    </row>
    <row r="387" spans="1:9">
      <c r="A387" s="14">
        <v>10705</v>
      </c>
      <c r="B387" s="14" t="s">
        <v>320</v>
      </c>
      <c r="C387" s="12" t="s">
        <v>119</v>
      </c>
      <c r="D387" s="15" t="str">
        <f t="shared" si="6"/>
        <v>AT&amp;T TV Service Chat - Chennai - SQM</v>
      </c>
      <c r="E387" s="12" t="s">
        <v>112</v>
      </c>
      <c r="F387" s="12" t="s">
        <v>113</v>
      </c>
      <c r="G387" s="12" t="s">
        <v>114</v>
      </c>
      <c r="H387" s="12" t="s">
        <v>1025</v>
      </c>
      <c r="I387" s="12" t="s">
        <v>1026</v>
      </c>
    </row>
    <row r="388" spans="1:9">
      <c r="A388" s="14">
        <v>10705</v>
      </c>
      <c r="B388" s="14" t="s">
        <v>320</v>
      </c>
      <c r="C388" s="12" t="s">
        <v>145</v>
      </c>
      <c r="D388" s="15" t="str">
        <f t="shared" si="6"/>
        <v>AT&amp;T TV Service Chat - Chennai - SUP</v>
      </c>
      <c r="E388" s="12" t="s">
        <v>126</v>
      </c>
      <c r="F388" s="12" t="s">
        <v>178</v>
      </c>
      <c r="G388" s="12" t="s">
        <v>128</v>
      </c>
      <c r="H388" s="12" t="s">
        <v>1025</v>
      </c>
      <c r="I388" s="12" t="s">
        <v>1026</v>
      </c>
    </row>
    <row r="389" spans="1:9">
      <c r="A389" s="14">
        <v>10705</v>
      </c>
      <c r="B389" s="14" t="s">
        <v>320</v>
      </c>
      <c r="C389" s="12" t="s">
        <v>196</v>
      </c>
      <c r="D389" s="15" t="str">
        <f t="shared" si="6"/>
        <v>AT&amp;T TV Service Chat - Chennai - SUT</v>
      </c>
      <c r="E389" s="12" t="s">
        <v>126</v>
      </c>
      <c r="F389" s="12" t="s">
        <v>178</v>
      </c>
      <c r="G389" s="12" t="s">
        <v>128</v>
      </c>
      <c r="H389" s="12" t="s">
        <v>1025</v>
      </c>
      <c r="I389" s="12" t="s">
        <v>1026</v>
      </c>
    </row>
    <row r="390" spans="1:9">
      <c r="A390" s="14">
        <v>10705</v>
      </c>
      <c r="B390" s="14" t="s">
        <v>320</v>
      </c>
      <c r="C390" s="12" t="s">
        <v>180</v>
      </c>
      <c r="D390" s="15" t="str">
        <f t="shared" si="6"/>
        <v>AT&amp;T TV Service Chat - Chennai - TMG</v>
      </c>
      <c r="E390" s="12" t="s">
        <v>126</v>
      </c>
      <c r="F390" s="12" t="s">
        <v>178</v>
      </c>
      <c r="G390" s="12" t="s">
        <v>128</v>
      </c>
      <c r="H390" s="12" t="s">
        <v>1025</v>
      </c>
      <c r="I390" s="12" t="s">
        <v>1026</v>
      </c>
    </row>
    <row r="391" spans="1:9">
      <c r="A391" s="14">
        <v>10705</v>
      </c>
      <c r="B391" s="14" t="s">
        <v>320</v>
      </c>
      <c r="C391" s="12" t="s">
        <v>208</v>
      </c>
      <c r="D391" s="15" t="str">
        <f t="shared" si="6"/>
        <v>AT&amp;T TV Service Chat - Chennai - TTR</v>
      </c>
      <c r="E391" s="12" t="s">
        <v>112</v>
      </c>
      <c r="F391" s="12" t="s">
        <v>204</v>
      </c>
      <c r="G391" s="12" t="s">
        <v>205</v>
      </c>
      <c r="H391" s="12" t="s">
        <v>1025</v>
      </c>
      <c r="I391" s="12" t="s">
        <v>1026</v>
      </c>
    </row>
    <row r="392" spans="1:9">
      <c r="A392" s="14">
        <v>10992</v>
      </c>
      <c r="B392" s="14" t="s">
        <v>501</v>
      </c>
      <c r="C392" s="12" t="s">
        <v>133</v>
      </c>
      <c r="D392" s="15" t="str">
        <f t="shared" si="6"/>
        <v>AT&amp;T UCSDC - Airoli - AMG</v>
      </c>
      <c r="E392" s="12" t="s">
        <v>126</v>
      </c>
      <c r="F392" s="12" t="s">
        <v>360</v>
      </c>
      <c r="G392" s="12" t="s">
        <v>361</v>
      </c>
      <c r="H392" s="12" t="s">
        <v>1025</v>
      </c>
      <c r="I392" s="12" t="s">
        <v>1026</v>
      </c>
    </row>
    <row r="393" spans="1:9">
      <c r="A393" s="14">
        <v>10992</v>
      </c>
      <c r="B393" s="14" t="s">
        <v>501</v>
      </c>
      <c r="C393" s="12" t="s">
        <v>138</v>
      </c>
      <c r="D393" s="15" t="str">
        <f t="shared" si="6"/>
        <v>AT&amp;T UCSDC - Airoli - BOS</v>
      </c>
      <c r="E393" s="12" t="s">
        <v>126</v>
      </c>
      <c r="F393" s="12" t="s">
        <v>360</v>
      </c>
      <c r="G393" s="12" t="s">
        <v>361</v>
      </c>
      <c r="H393" s="12" t="s">
        <v>1025</v>
      </c>
      <c r="I393" s="12" t="s">
        <v>1026</v>
      </c>
    </row>
    <row r="394" spans="1:9">
      <c r="A394" s="14">
        <v>10992</v>
      </c>
      <c r="B394" s="14" t="s">
        <v>501</v>
      </c>
      <c r="C394" s="12" t="s">
        <v>150</v>
      </c>
      <c r="D394" s="15" t="str">
        <f t="shared" si="6"/>
        <v>AT&amp;T UCSDC - Airoli - CCS</v>
      </c>
      <c r="E394" s="12" t="s">
        <v>126</v>
      </c>
      <c r="F394" s="12" t="s">
        <v>360</v>
      </c>
      <c r="G394" s="12" t="s">
        <v>361</v>
      </c>
      <c r="H394" s="12" t="s">
        <v>1025</v>
      </c>
      <c r="I394" s="12" t="s">
        <v>1026</v>
      </c>
    </row>
    <row r="395" spans="1:9">
      <c r="A395" s="14">
        <v>10992</v>
      </c>
      <c r="B395" s="14" t="s">
        <v>501</v>
      </c>
      <c r="C395" s="12" t="s">
        <v>171</v>
      </c>
      <c r="D395" s="15" t="str">
        <f t="shared" si="6"/>
        <v>AT&amp;T UCSDC - Airoli - ETE</v>
      </c>
      <c r="E395" s="12" t="s">
        <v>126</v>
      </c>
      <c r="F395" s="12" t="s">
        <v>360</v>
      </c>
      <c r="G395" s="12" t="s">
        <v>361</v>
      </c>
      <c r="H395" s="12" t="s">
        <v>1025</v>
      </c>
      <c r="I395" s="12" t="s">
        <v>1026</v>
      </c>
    </row>
    <row r="396" spans="1:9">
      <c r="A396" s="14">
        <v>10992</v>
      </c>
      <c r="B396" s="14" t="s">
        <v>501</v>
      </c>
      <c r="C396" s="12" t="s">
        <v>116</v>
      </c>
      <c r="D396" s="15" t="str">
        <f t="shared" si="6"/>
        <v>AT&amp;T UCSDC - Airoli - PRD</v>
      </c>
      <c r="E396" s="12" t="s">
        <v>126</v>
      </c>
      <c r="F396" s="12" t="s">
        <v>360</v>
      </c>
      <c r="G396" s="12" t="s">
        <v>361</v>
      </c>
      <c r="H396" s="12" t="s">
        <v>1025</v>
      </c>
      <c r="I396" s="12" t="s">
        <v>1026</v>
      </c>
    </row>
    <row r="397" spans="1:9">
      <c r="A397" s="14">
        <v>10992</v>
      </c>
      <c r="B397" s="14" t="s">
        <v>501</v>
      </c>
      <c r="C397" s="12" t="s">
        <v>111</v>
      </c>
      <c r="D397" s="15" t="str">
        <f t="shared" si="6"/>
        <v>AT&amp;T UCSDC - Airoli - QLY</v>
      </c>
      <c r="E397" s="12" t="s">
        <v>112</v>
      </c>
      <c r="F397" s="12" t="s">
        <v>113</v>
      </c>
      <c r="G397" s="12" t="s">
        <v>114</v>
      </c>
      <c r="H397" s="12" t="s">
        <v>1025</v>
      </c>
      <c r="I397" s="12" t="s">
        <v>1026</v>
      </c>
    </row>
    <row r="398" spans="1:9">
      <c r="A398" s="14">
        <v>10992</v>
      </c>
      <c r="B398" s="14" t="s">
        <v>501</v>
      </c>
      <c r="C398" s="12" t="s">
        <v>145</v>
      </c>
      <c r="D398" s="15" t="str">
        <f t="shared" si="6"/>
        <v>AT&amp;T UCSDC - Airoli - SUP</v>
      </c>
      <c r="E398" s="12" t="s">
        <v>126</v>
      </c>
      <c r="F398" s="12" t="s">
        <v>360</v>
      </c>
      <c r="G398" s="12" t="s">
        <v>361</v>
      </c>
      <c r="H398" s="12" t="s">
        <v>1025</v>
      </c>
      <c r="I398" s="12" t="s">
        <v>1026</v>
      </c>
    </row>
    <row r="399" spans="1:9">
      <c r="A399" s="14">
        <v>10992</v>
      </c>
      <c r="B399" s="14" t="s">
        <v>501</v>
      </c>
      <c r="C399" s="12" t="s">
        <v>196</v>
      </c>
      <c r="D399" s="15" t="str">
        <f t="shared" si="6"/>
        <v>AT&amp;T UCSDC - Airoli - SUT</v>
      </c>
      <c r="E399" s="12" t="s">
        <v>126</v>
      </c>
      <c r="F399" s="12" t="s">
        <v>360</v>
      </c>
      <c r="G399" s="12" t="s">
        <v>361</v>
      </c>
      <c r="H399" s="12" t="s">
        <v>1025</v>
      </c>
      <c r="I399" s="12" t="s">
        <v>1026</v>
      </c>
    </row>
    <row r="400" spans="1:9">
      <c r="A400" s="14">
        <v>10992</v>
      </c>
      <c r="B400" s="14" t="s">
        <v>501</v>
      </c>
      <c r="C400" s="12" t="s">
        <v>198</v>
      </c>
      <c r="D400" s="15" t="str">
        <f t="shared" si="6"/>
        <v>AT&amp;T UCSDC - Airoli - TEC</v>
      </c>
      <c r="E400" s="12" t="s">
        <v>126</v>
      </c>
      <c r="F400" s="12" t="s">
        <v>360</v>
      </c>
      <c r="G400" s="12" t="s">
        <v>361</v>
      </c>
      <c r="H400" s="12" t="s">
        <v>1025</v>
      </c>
      <c r="I400" s="12" t="s">
        <v>1026</v>
      </c>
    </row>
    <row r="401" spans="1:9">
      <c r="A401" s="14">
        <v>10992</v>
      </c>
      <c r="B401" s="14" t="s">
        <v>501</v>
      </c>
      <c r="C401" s="12" t="s">
        <v>180</v>
      </c>
      <c r="D401" s="15" t="str">
        <f t="shared" si="6"/>
        <v>AT&amp;T UCSDC - Airoli - TMG</v>
      </c>
      <c r="E401" s="12" t="s">
        <v>126</v>
      </c>
      <c r="F401" s="12" t="s">
        <v>360</v>
      </c>
      <c r="G401" s="12" t="s">
        <v>361</v>
      </c>
      <c r="H401" s="12" t="s">
        <v>1025</v>
      </c>
      <c r="I401" s="12" t="s">
        <v>1026</v>
      </c>
    </row>
    <row r="402" spans="1:9">
      <c r="A402" s="14">
        <v>10992</v>
      </c>
      <c r="B402" s="14" t="s">
        <v>501</v>
      </c>
      <c r="C402" s="12" t="s">
        <v>185</v>
      </c>
      <c r="D402" s="15" t="str">
        <f t="shared" si="6"/>
        <v>AT&amp;T UCSDC - Airoli - TPS</v>
      </c>
      <c r="E402" s="12" t="s">
        <v>126</v>
      </c>
      <c r="F402" s="12" t="s">
        <v>360</v>
      </c>
      <c r="G402" s="12" t="s">
        <v>361</v>
      </c>
      <c r="H402" s="12" t="s">
        <v>1025</v>
      </c>
      <c r="I402" s="12" t="s">
        <v>1026</v>
      </c>
    </row>
    <row r="403" spans="1:9">
      <c r="A403" s="14">
        <v>10992</v>
      </c>
      <c r="B403" s="14" t="s">
        <v>501</v>
      </c>
      <c r="C403" s="12" t="s">
        <v>208</v>
      </c>
      <c r="D403" s="15" t="str">
        <f t="shared" si="6"/>
        <v>AT&amp;T UCSDC - Airoli - TTR</v>
      </c>
      <c r="E403" s="12" t="s">
        <v>112</v>
      </c>
      <c r="F403" s="12" t="s">
        <v>204</v>
      </c>
      <c r="G403" s="12" t="s">
        <v>205</v>
      </c>
      <c r="H403" s="12" t="s">
        <v>1025</v>
      </c>
      <c r="I403" s="12" t="s">
        <v>1026</v>
      </c>
    </row>
    <row r="404" spans="1:9">
      <c r="A404" s="14">
        <v>10993</v>
      </c>
      <c r="B404" s="14" t="s">
        <v>502</v>
      </c>
      <c r="C404" s="12" t="s">
        <v>133</v>
      </c>
      <c r="D404" s="15" t="str">
        <f t="shared" si="6"/>
        <v>AT&amp;T UFO Chat &amp; Voice - Airoli - AMG</v>
      </c>
      <c r="E404" s="12" t="s">
        <v>126</v>
      </c>
      <c r="F404" s="12" t="s">
        <v>178</v>
      </c>
      <c r="G404" s="12" t="s">
        <v>128</v>
      </c>
      <c r="H404" s="12" t="s">
        <v>1025</v>
      </c>
      <c r="I404" s="12" t="s">
        <v>1026</v>
      </c>
    </row>
    <row r="405" spans="1:9">
      <c r="A405" s="14">
        <v>10993</v>
      </c>
      <c r="B405" s="14" t="s">
        <v>502</v>
      </c>
      <c r="C405" s="12" t="s">
        <v>150</v>
      </c>
      <c r="D405" s="15" t="str">
        <f t="shared" si="6"/>
        <v>AT&amp;T UFO Chat &amp; Voice - Airoli - CCS</v>
      </c>
      <c r="E405" s="12" t="s">
        <v>126</v>
      </c>
      <c r="F405" s="12" t="s">
        <v>178</v>
      </c>
      <c r="G405" s="12" t="s">
        <v>128</v>
      </c>
      <c r="H405" s="12" t="s">
        <v>1025</v>
      </c>
      <c r="I405" s="12" t="s">
        <v>1026</v>
      </c>
    </row>
    <row r="406" spans="1:9">
      <c r="A406" s="14">
        <v>10993</v>
      </c>
      <c r="B406" s="14" t="s">
        <v>502</v>
      </c>
      <c r="C406" s="12" t="s">
        <v>171</v>
      </c>
      <c r="D406" s="15" t="str">
        <f t="shared" si="6"/>
        <v>AT&amp;T UFO Chat &amp; Voice - Airoli - ETE</v>
      </c>
      <c r="E406" s="12" t="s">
        <v>126</v>
      </c>
      <c r="F406" s="12" t="s">
        <v>178</v>
      </c>
      <c r="G406" s="12" t="s">
        <v>128</v>
      </c>
      <c r="H406" s="12" t="s">
        <v>1025</v>
      </c>
      <c r="I406" s="12" t="s">
        <v>1026</v>
      </c>
    </row>
    <row r="407" spans="1:9">
      <c r="A407" s="14">
        <v>10993</v>
      </c>
      <c r="B407" s="14" t="s">
        <v>502</v>
      </c>
      <c r="C407" s="12" t="s">
        <v>129</v>
      </c>
      <c r="D407" s="15" t="str">
        <f t="shared" si="6"/>
        <v>AT&amp;T UFO Chat &amp; Voice - Airoli - MGT</v>
      </c>
      <c r="E407" s="12" t="s">
        <v>126</v>
      </c>
      <c r="F407" s="12" t="s">
        <v>178</v>
      </c>
      <c r="G407" s="12" t="s">
        <v>128</v>
      </c>
      <c r="H407" s="12" t="s">
        <v>1025</v>
      </c>
      <c r="I407" s="12" t="s">
        <v>1026</v>
      </c>
    </row>
    <row r="408" spans="1:9">
      <c r="A408" s="14">
        <v>10993</v>
      </c>
      <c r="B408" s="14" t="s">
        <v>502</v>
      </c>
      <c r="C408" s="12" t="s">
        <v>177</v>
      </c>
      <c r="D408" s="15" t="str">
        <f t="shared" si="6"/>
        <v>AT&amp;T UFO Chat &amp; Voice - Airoli - OPS</v>
      </c>
      <c r="E408" s="12" t="s">
        <v>126</v>
      </c>
      <c r="F408" s="12" t="s">
        <v>178</v>
      </c>
      <c r="G408" s="12" t="s">
        <v>128</v>
      </c>
      <c r="H408" s="12" t="s">
        <v>1025</v>
      </c>
      <c r="I408" s="12" t="s">
        <v>1026</v>
      </c>
    </row>
    <row r="409" spans="1:9">
      <c r="A409" s="14">
        <v>10993</v>
      </c>
      <c r="B409" s="14" t="s">
        <v>502</v>
      </c>
      <c r="C409" s="12" t="s">
        <v>230</v>
      </c>
      <c r="D409" s="15" t="str">
        <f t="shared" si="6"/>
        <v>AT&amp;T UFO Chat &amp; Voice - Airoli - PRSP</v>
      </c>
      <c r="E409" s="12" t="s">
        <v>126</v>
      </c>
      <c r="F409" s="12" t="s">
        <v>178</v>
      </c>
      <c r="G409" s="12" t="s">
        <v>128</v>
      </c>
      <c r="H409" s="12" t="s">
        <v>1025</v>
      </c>
      <c r="I409" s="12" t="s">
        <v>1026</v>
      </c>
    </row>
    <row r="410" spans="1:9">
      <c r="A410" s="14">
        <v>10993</v>
      </c>
      <c r="B410" s="14" t="s">
        <v>502</v>
      </c>
      <c r="C410" s="12" t="s">
        <v>111</v>
      </c>
      <c r="D410" s="15" t="str">
        <f t="shared" si="6"/>
        <v>AT&amp;T UFO Chat &amp; Voice - Airoli - QLY</v>
      </c>
      <c r="E410" s="12" t="s">
        <v>112</v>
      </c>
      <c r="F410" s="12" t="s">
        <v>113</v>
      </c>
      <c r="G410" s="12" t="s">
        <v>114</v>
      </c>
      <c r="H410" s="12" t="s">
        <v>1025</v>
      </c>
      <c r="I410" s="12" t="s">
        <v>1026</v>
      </c>
    </row>
    <row r="411" spans="1:9">
      <c r="A411" s="14">
        <v>10993</v>
      </c>
      <c r="B411" s="14" t="s">
        <v>502</v>
      </c>
      <c r="C411" s="12" t="s">
        <v>172</v>
      </c>
      <c r="D411" s="15" t="str">
        <f t="shared" si="6"/>
        <v>AT&amp;T UFO Chat &amp; Voice - Airoli - SME</v>
      </c>
      <c r="E411" s="12" t="s">
        <v>126</v>
      </c>
      <c r="F411" s="12" t="s">
        <v>178</v>
      </c>
      <c r="G411" s="12" t="s">
        <v>128</v>
      </c>
      <c r="H411" s="12" t="s">
        <v>1025</v>
      </c>
      <c r="I411" s="12" t="s">
        <v>1026</v>
      </c>
    </row>
    <row r="412" spans="1:9">
      <c r="A412" s="14">
        <v>10993</v>
      </c>
      <c r="B412" s="14" t="s">
        <v>502</v>
      </c>
      <c r="C412" s="12" t="s">
        <v>119</v>
      </c>
      <c r="D412" s="15" t="str">
        <f t="shared" si="6"/>
        <v>AT&amp;T UFO Chat &amp; Voice - Airoli - SQM</v>
      </c>
      <c r="E412" s="12" t="s">
        <v>112</v>
      </c>
      <c r="F412" s="12" t="s">
        <v>113</v>
      </c>
      <c r="G412" s="12" t="s">
        <v>114</v>
      </c>
      <c r="H412" s="12" t="s">
        <v>1025</v>
      </c>
      <c r="I412" s="12" t="s">
        <v>1026</v>
      </c>
    </row>
    <row r="413" spans="1:9">
      <c r="A413" s="14">
        <v>10993</v>
      </c>
      <c r="B413" s="14" t="s">
        <v>502</v>
      </c>
      <c r="C413" s="12" t="s">
        <v>145</v>
      </c>
      <c r="D413" s="15" t="str">
        <f t="shared" si="6"/>
        <v>AT&amp;T UFO Chat &amp; Voice - Airoli - SUP</v>
      </c>
      <c r="E413" s="12" t="s">
        <v>126</v>
      </c>
      <c r="F413" s="12" t="s">
        <v>178</v>
      </c>
      <c r="G413" s="12" t="s">
        <v>128</v>
      </c>
      <c r="H413" s="12" t="s">
        <v>1025</v>
      </c>
      <c r="I413" s="12" t="s">
        <v>1026</v>
      </c>
    </row>
    <row r="414" spans="1:9">
      <c r="A414" s="14">
        <v>10993</v>
      </c>
      <c r="B414" s="14" t="s">
        <v>502</v>
      </c>
      <c r="C414" s="12" t="s">
        <v>198</v>
      </c>
      <c r="D414" s="15" t="str">
        <f t="shared" si="6"/>
        <v>AT&amp;T UFO Chat &amp; Voice - Airoli - TEC</v>
      </c>
      <c r="E414" s="12" t="s">
        <v>126</v>
      </c>
      <c r="F414" s="12" t="s">
        <v>178</v>
      </c>
      <c r="G414" s="12" t="s">
        <v>128</v>
      </c>
      <c r="H414" s="12" t="s">
        <v>1025</v>
      </c>
      <c r="I414" s="12" t="s">
        <v>1026</v>
      </c>
    </row>
    <row r="415" spans="1:9">
      <c r="A415" s="14">
        <v>10993</v>
      </c>
      <c r="B415" s="14" t="s">
        <v>502</v>
      </c>
      <c r="C415" s="12" t="s">
        <v>180</v>
      </c>
      <c r="D415" s="15" t="str">
        <f t="shared" si="6"/>
        <v>AT&amp;T UFO Chat &amp; Voice - Airoli - TMG</v>
      </c>
      <c r="E415" s="12" t="s">
        <v>126</v>
      </c>
      <c r="F415" s="12" t="s">
        <v>178</v>
      </c>
      <c r="G415" s="12" t="s">
        <v>128</v>
      </c>
      <c r="H415" s="12" t="s">
        <v>1025</v>
      </c>
      <c r="I415" s="12" t="s">
        <v>1026</v>
      </c>
    </row>
    <row r="416" spans="1:9">
      <c r="A416" s="14">
        <v>10993</v>
      </c>
      <c r="B416" s="14" t="s">
        <v>502</v>
      </c>
      <c r="C416" s="12" t="s">
        <v>185</v>
      </c>
      <c r="D416" s="15" t="str">
        <f t="shared" si="6"/>
        <v>AT&amp;T UFO Chat &amp; Voice - Airoli - TPS</v>
      </c>
      <c r="E416" s="12" t="s">
        <v>126</v>
      </c>
      <c r="F416" s="12" t="s">
        <v>178</v>
      </c>
      <c r="G416" s="12" t="s">
        <v>128</v>
      </c>
      <c r="H416" s="12" t="s">
        <v>1025</v>
      </c>
      <c r="I416" s="12" t="s">
        <v>1026</v>
      </c>
    </row>
    <row r="417" spans="1:9">
      <c r="A417" s="14">
        <v>10993</v>
      </c>
      <c r="B417" s="14" t="s">
        <v>502</v>
      </c>
      <c r="C417" s="12" t="s">
        <v>208</v>
      </c>
      <c r="D417" s="15" t="str">
        <f t="shared" si="6"/>
        <v>AT&amp;T UFO Chat &amp; Voice - Airoli - TTR</v>
      </c>
      <c r="E417" s="12" t="s">
        <v>112</v>
      </c>
      <c r="F417" s="12" t="s">
        <v>204</v>
      </c>
      <c r="G417" s="12" t="s">
        <v>205</v>
      </c>
      <c r="H417" s="12" t="s">
        <v>1025</v>
      </c>
      <c r="I417" s="12" t="s">
        <v>1026</v>
      </c>
    </row>
    <row r="418" spans="1:9">
      <c r="A418" s="14">
        <v>10979</v>
      </c>
      <c r="B418" s="14" t="s">
        <v>497</v>
      </c>
      <c r="C418" s="12" t="s">
        <v>133</v>
      </c>
      <c r="D418" s="15" t="str">
        <f t="shared" si="6"/>
        <v>AT&amp;T U-verse Chat - Chennai - AMG</v>
      </c>
      <c r="E418" s="12" t="s">
        <v>126</v>
      </c>
      <c r="F418" s="12" t="s">
        <v>360</v>
      </c>
      <c r="G418" s="12" t="s">
        <v>361</v>
      </c>
      <c r="H418" s="12" t="s">
        <v>1025</v>
      </c>
      <c r="I418" s="12" t="s">
        <v>1026</v>
      </c>
    </row>
    <row r="419" spans="1:9">
      <c r="A419" s="14">
        <v>10979</v>
      </c>
      <c r="B419" s="14" t="s">
        <v>497</v>
      </c>
      <c r="C419" s="12" t="s">
        <v>398</v>
      </c>
      <c r="D419" s="15" t="str">
        <f t="shared" si="6"/>
        <v>AT&amp;T U-verse Chat - Chennai - CBK</v>
      </c>
      <c r="E419" s="12" t="s">
        <v>126</v>
      </c>
      <c r="F419" s="12" t="s">
        <v>360</v>
      </c>
      <c r="G419" s="12" t="s">
        <v>361</v>
      </c>
      <c r="H419" s="12" t="s">
        <v>1025</v>
      </c>
      <c r="I419" s="12" t="s">
        <v>1026</v>
      </c>
    </row>
    <row r="420" spans="1:9">
      <c r="A420" s="14">
        <v>10979</v>
      </c>
      <c r="B420" s="14" t="s">
        <v>497</v>
      </c>
      <c r="C420" s="12" t="s">
        <v>144</v>
      </c>
      <c r="D420" s="15" t="str">
        <f t="shared" si="6"/>
        <v>AT&amp;T U-verse Chat - Chennai - CCOD</v>
      </c>
      <c r="E420" s="12" t="s">
        <v>126</v>
      </c>
      <c r="F420" s="12" t="s">
        <v>360</v>
      </c>
      <c r="G420" s="12" t="s">
        <v>361</v>
      </c>
      <c r="H420" s="12" t="s">
        <v>1025</v>
      </c>
      <c r="I420" s="12" t="s">
        <v>1026</v>
      </c>
    </row>
    <row r="421" spans="1:9">
      <c r="A421" s="14">
        <v>10979</v>
      </c>
      <c r="B421" s="14" t="s">
        <v>497</v>
      </c>
      <c r="C421" s="12" t="s">
        <v>150</v>
      </c>
      <c r="D421" s="15" t="str">
        <f t="shared" si="6"/>
        <v>AT&amp;T U-verse Chat - Chennai - CCS</v>
      </c>
      <c r="E421" s="12" t="s">
        <v>126</v>
      </c>
      <c r="F421" s="12" t="s">
        <v>360</v>
      </c>
      <c r="G421" s="12" t="s">
        <v>361</v>
      </c>
      <c r="H421" s="12" t="s">
        <v>1025</v>
      </c>
      <c r="I421" s="12" t="s">
        <v>1026</v>
      </c>
    </row>
    <row r="422" spans="1:9">
      <c r="A422" s="14">
        <v>10979</v>
      </c>
      <c r="B422" s="14" t="s">
        <v>497</v>
      </c>
      <c r="C422" s="12" t="s">
        <v>161</v>
      </c>
      <c r="D422" s="15" t="str">
        <f t="shared" si="6"/>
        <v>AT&amp;T U-verse Chat - Chennai - ECC</v>
      </c>
      <c r="E422" s="12" t="s">
        <v>126</v>
      </c>
      <c r="F422" s="12" t="s">
        <v>360</v>
      </c>
      <c r="G422" s="12" t="s">
        <v>361</v>
      </c>
      <c r="H422" s="12" t="s">
        <v>1025</v>
      </c>
      <c r="I422" s="12" t="s">
        <v>1026</v>
      </c>
    </row>
    <row r="423" spans="1:9">
      <c r="A423" s="14">
        <v>10979</v>
      </c>
      <c r="B423" s="14" t="s">
        <v>497</v>
      </c>
      <c r="C423" s="12" t="s">
        <v>168</v>
      </c>
      <c r="D423" s="15" t="str">
        <f t="shared" si="6"/>
        <v>AT&amp;T U-verse Chat - Chennai - ESC</v>
      </c>
      <c r="E423" s="12" t="s">
        <v>126</v>
      </c>
      <c r="F423" s="12" t="s">
        <v>360</v>
      </c>
      <c r="G423" s="12" t="s">
        <v>361</v>
      </c>
      <c r="H423" s="12" t="s">
        <v>1025</v>
      </c>
      <c r="I423" s="12" t="s">
        <v>1026</v>
      </c>
    </row>
    <row r="424" spans="1:9">
      <c r="A424" s="14">
        <v>10979</v>
      </c>
      <c r="B424" s="14" t="s">
        <v>497</v>
      </c>
      <c r="C424" s="12" t="s">
        <v>171</v>
      </c>
      <c r="D424" s="15" t="str">
        <f t="shared" si="6"/>
        <v>AT&amp;T U-verse Chat - Chennai - ETE</v>
      </c>
      <c r="E424" s="12" t="s">
        <v>126</v>
      </c>
      <c r="F424" s="12" t="s">
        <v>360</v>
      </c>
      <c r="G424" s="12" t="s">
        <v>361</v>
      </c>
      <c r="H424" s="12" t="s">
        <v>1025</v>
      </c>
      <c r="I424" s="12" t="s">
        <v>1026</v>
      </c>
    </row>
    <row r="425" spans="1:9">
      <c r="A425" s="14">
        <v>10979</v>
      </c>
      <c r="B425" s="14" t="s">
        <v>497</v>
      </c>
      <c r="C425" s="12" t="s">
        <v>306</v>
      </c>
      <c r="D425" s="15" t="str">
        <f t="shared" si="6"/>
        <v>AT&amp;T U-verse Chat - Chennai - FAO</v>
      </c>
      <c r="E425" s="12" t="s">
        <v>126</v>
      </c>
      <c r="F425" s="12" t="s">
        <v>360</v>
      </c>
      <c r="G425" s="12" t="s">
        <v>361</v>
      </c>
      <c r="H425" s="12" t="s">
        <v>1025</v>
      </c>
      <c r="I425" s="12" t="s">
        <v>1026</v>
      </c>
    </row>
    <row r="426" spans="1:9">
      <c r="A426" s="14">
        <v>10979</v>
      </c>
      <c r="B426" s="14" t="s">
        <v>497</v>
      </c>
      <c r="C426" s="12" t="s">
        <v>177</v>
      </c>
      <c r="D426" s="15" t="str">
        <f t="shared" si="6"/>
        <v>AT&amp;T U-verse Chat - Chennai - OPS</v>
      </c>
      <c r="E426" s="12" t="s">
        <v>126</v>
      </c>
      <c r="F426" s="12" t="s">
        <v>360</v>
      </c>
      <c r="G426" s="12" t="s">
        <v>361</v>
      </c>
      <c r="H426" s="12" t="s">
        <v>1025</v>
      </c>
      <c r="I426" s="12" t="s">
        <v>1026</v>
      </c>
    </row>
    <row r="427" spans="1:9">
      <c r="A427" s="14">
        <v>10979</v>
      </c>
      <c r="B427" s="14" t="s">
        <v>497</v>
      </c>
      <c r="C427" s="12" t="s">
        <v>1013</v>
      </c>
      <c r="D427" s="15" t="str">
        <f t="shared" si="6"/>
        <v>AT&amp;T U-verse Chat - Chennai - PAT</v>
      </c>
      <c r="E427" s="12" t="s">
        <v>126</v>
      </c>
      <c r="F427" s="12" t="s">
        <v>360</v>
      </c>
      <c r="G427" s="12" t="s">
        <v>361</v>
      </c>
      <c r="H427" s="12" t="s">
        <v>1025</v>
      </c>
      <c r="I427" s="12" t="s">
        <v>1026</v>
      </c>
    </row>
    <row r="428" spans="1:9">
      <c r="A428" s="14">
        <v>10979</v>
      </c>
      <c r="B428" s="14" t="s">
        <v>497</v>
      </c>
      <c r="C428" s="12" t="s">
        <v>111</v>
      </c>
      <c r="D428" s="15" t="str">
        <f t="shared" si="6"/>
        <v>AT&amp;T U-verse Chat - Chennai - QLY</v>
      </c>
      <c r="E428" s="12" t="s">
        <v>112</v>
      </c>
      <c r="F428" s="12" t="s">
        <v>113</v>
      </c>
      <c r="G428" s="12" t="s">
        <v>114</v>
      </c>
      <c r="H428" s="12" t="s">
        <v>1025</v>
      </c>
      <c r="I428" s="12" t="s">
        <v>1026</v>
      </c>
    </row>
    <row r="429" spans="1:9">
      <c r="A429" s="14">
        <v>10979</v>
      </c>
      <c r="B429" s="14" t="s">
        <v>497</v>
      </c>
      <c r="C429" s="12" t="s">
        <v>172</v>
      </c>
      <c r="D429" s="15" t="str">
        <f t="shared" si="6"/>
        <v>AT&amp;T U-verse Chat - Chennai - SME</v>
      </c>
      <c r="E429" s="12" t="s">
        <v>126</v>
      </c>
      <c r="F429" s="12" t="s">
        <v>360</v>
      </c>
      <c r="G429" s="12" t="s">
        <v>361</v>
      </c>
      <c r="H429" s="12" t="s">
        <v>1025</v>
      </c>
      <c r="I429" s="12" t="s">
        <v>1026</v>
      </c>
    </row>
    <row r="430" spans="1:9">
      <c r="A430" s="14">
        <v>10979</v>
      </c>
      <c r="B430" s="14" t="s">
        <v>497</v>
      </c>
      <c r="C430" s="12" t="s">
        <v>119</v>
      </c>
      <c r="D430" s="15" t="str">
        <f t="shared" si="6"/>
        <v>AT&amp;T U-verse Chat - Chennai - SQM</v>
      </c>
      <c r="E430" s="12" t="s">
        <v>112</v>
      </c>
      <c r="F430" s="12" t="s">
        <v>113</v>
      </c>
      <c r="G430" s="12" t="s">
        <v>114</v>
      </c>
      <c r="H430" s="12" t="s">
        <v>1025</v>
      </c>
      <c r="I430" s="12" t="s">
        <v>1026</v>
      </c>
    </row>
    <row r="431" spans="1:9">
      <c r="A431" s="14">
        <v>10979</v>
      </c>
      <c r="B431" s="14" t="s">
        <v>497</v>
      </c>
      <c r="C431" s="12" t="s">
        <v>145</v>
      </c>
      <c r="D431" s="15" t="str">
        <f t="shared" si="6"/>
        <v>AT&amp;T U-verse Chat - Chennai - SUP</v>
      </c>
      <c r="E431" s="12" t="s">
        <v>126</v>
      </c>
      <c r="F431" s="12" t="s">
        <v>360</v>
      </c>
      <c r="G431" s="12" t="s">
        <v>361</v>
      </c>
      <c r="H431" s="12" t="s">
        <v>1025</v>
      </c>
      <c r="I431" s="12" t="s">
        <v>1026</v>
      </c>
    </row>
    <row r="432" spans="1:9">
      <c r="A432" s="14">
        <v>10979</v>
      </c>
      <c r="B432" s="14" t="s">
        <v>497</v>
      </c>
      <c r="C432" s="12" t="s">
        <v>196</v>
      </c>
      <c r="D432" s="15" t="str">
        <f t="shared" si="6"/>
        <v>AT&amp;T U-verse Chat - Chennai - SUT</v>
      </c>
      <c r="E432" s="12" t="s">
        <v>126</v>
      </c>
      <c r="F432" s="12" t="s">
        <v>360</v>
      </c>
      <c r="G432" s="12" t="s">
        <v>361</v>
      </c>
      <c r="H432" s="12" t="s">
        <v>1025</v>
      </c>
      <c r="I432" s="12" t="s">
        <v>1026</v>
      </c>
    </row>
    <row r="433" spans="1:9">
      <c r="A433" s="14">
        <v>10979</v>
      </c>
      <c r="B433" s="14" t="s">
        <v>497</v>
      </c>
      <c r="C433" s="12" t="s">
        <v>198</v>
      </c>
      <c r="D433" s="15" t="str">
        <f t="shared" si="6"/>
        <v>AT&amp;T U-verse Chat - Chennai - TEC</v>
      </c>
      <c r="E433" s="12" t="s">
        <v>126</v>
      </c>
      <c r="F433" s="12" t="s">
        <v>360</v>
      </c>
      <c r="G433" s="12" t="s">
        <v>361</v>
      </c>
      <c r="H433" s="12" t="s">
        <v>1025</v>
      </c>
      <c r="I433" s="12" t="s">
        <v>1026</v>
      </c>
    </row>
    <row r="434" spans="1:9">
      <c r="A434" s="14">
        <v>10979</v>
      </c>
      <c r="B434" s="14" t="s">
        <v>497</v>
      </c>
      <c r="C434" s="12" t="s">
        <v>180</v>
      </c>
      <c r="D434" s="15" t="str">
        <f t="shared" si="6"/>
        <v>AT&amp;T U-verse Chat - Chennai - TMG</v>
      </c>
      <c r="E434" s="12" t="s">
        <v>126</v>
      </c>
      <c r="F434" s="12" t="s">
        <v>360</v>
      </c>
      <c r="G434" s="12" t="s">
        <v>361</v>
      </c>
      <c r="H434" s="12" t="s">
        <v>1025</v>
      </c>
      <c r="I434" s="12" t="s">
        <v>1026</v>
      </c>
    </row>
    <row r="435" spans="1:9">
      <c r="A435" s="14">
        <v>10979</v>
      </c>
      <c r="B435" s="14" t="s">
        <v>497</v>
      </c>
      <c r="C435" s="12" t="s">
        <v>185</v>
      </c>
      <c r="D435" s="15" t="str">
        <f t="shared" si="6"/>
        <v>AT&amp;T U-verse Chat - Chennai - TPS</v>
      </c>
      <c r="E435" s="12" t="s">
        <v>126</v>
      </c>
      <c r="F435" s="12" t="s">
        <v>360</v>
      </c>
      <c r="G435" s="12" t="s">
        <v>361</v>
      </c>
      <c r="H435" s="12" t="s">
        <v>1025</v>
      </c>
      <c r="I435" s="12" t="s">
        <v>1026</v>
      </c>
    </row>
    <row r="436" spans="1:9">
      <c r="A436" s="14">
        <v>10979</v>
      </c>
      <c r="B436" s="14" t="s">
        <v>497</v>
      </c>
      <c r="C436" s="12" t="s">
        <v>203</v>
      </c>
      <c r="D436" s="15" t="str">
        <f t="shared" si="6"/>
        <v>AT&amp;T U-verse Chat - Chennai - TRG</v>
      </c>
      <c r="E436" s="12" t="s">
        <v>112</v>
      </c>
      <c r="F436" s="12" t="s">
        <v>204</v>
      </c>
      <c r="G436" s="12" t="s">
        <v>205</v>
      </c>
      <c r="H436" s="12" t="s">
        <v>1025</v>
      </c>
      <c r="I436" s="12" t="s">
        <v>1026</v>
      </c>
    </row>
    <row r="437" spans="1:9">
      <c r="A437" s="14">
        <v>10979</v>
      </c>
      <c r="B437" s="14" t="s">
        <v>497</v>
      </c>
      <c r="C437" s="12" t="s">
        <v>208</v>
      </c>
      <c r="D437" s="15" t="str">
        <f t="shared" si="6"/>
        <v>AT&amp;T U-verse Chat - Chennai - TTR</v>
      </c>
      <c r="E437" s="12" t="s">
        <v>112</v>
      </c>
      <c r="F437" s="12" t="s">
        <v>204</v>
      </c>
      <c r="G437" s="12" t="s">
        <v>205</v>
      </c>
      <c r="H437" s="12" t="s">
        <v>1025</v>
      </c>
      <c r="I437" s="12" t="s">
        <v>1026</v>
      </c>
    </row>
    <row r="438" spans="1:9">
      <c r="A438" s="14">
        <v>10990</v>
      </c>
      <c r="B438" s="14" t="s">
        <v>499</v>
      </c>
      <c r="C438" s="12" t="s">
        <v>133</v>
      </c>
      <c r="D438" s="15" t="str">
        <f t="shared" si="6"/>
        <v>AT&amp;T U-verse Voice - Airoli - AMG</v>
      </c>
      <c r="E438" s="12" t="s">
        <v>126</v>
      </c>
      <c r="F438" s="12" t="s">
        <v>360</v>
      </c>
      <c r="G438" s="12" t="s">
        <v>361</v>
      </c>
      <c r="H438" s="12" t="s">
        <v>1025</v>
      </c>
      <c r="I438" s="12" t="s">
        <v>1026</v>
      </c>
    </row>
    <row r="439" spans="1:9">
      <c r="A439" s="14">
        <v>10990</v>
      </c>
      <c r="B439" s="14" t="s">
        <v>499</v>
      </c>
      <c r="C439" s="12" t="s">
        <v>398</v>
      </c>
      <c r="D439" s="15" t="str">
        <f t="shared" si="6"/>
        <v>AT&amp;T U-verse Voice - Airoli - CBK</v>
      </c>
      <c r="E439" s="12" t="s">
        <v>126</v>
      </c>
      <c r="F439" s="12" t="s">
        <v>360</v>
      </c>
      <c r="G439" s="12" t="s">
        <v>361</v>
      </c>
      <c r="H439" s="12" t="s">
        <v>1025</v>
      </c>
      <c r="I439" s="12" t="s">
        <v>1026</v>
      </c>
    </row>
    <row r="440" spans="1:9">
      <c r="A440" s="14">
        <v>10990</v>
      </c>
      <c r="B440" s="14" t="s">
        <v>499</v>
      </c>
      <c r="C440" s="12" t="s">
        <v>144</v>
      </c>
      <c r="D440" s="15" t="str">
        <f t="shared" si="6"/>
        <v>AT&amp;T U-verse Voice - Airoli - CCOD</v>
      </c>
      <c r="E440" s="12" t="s">
        <v>126</v>
      </c>
      <c r="F440" s="12" t="s">
        <v>360</v>
      </c>
      <c r="G440" s="12" t="s">
        <v>361</v>
      </c>
      <c r="H440" s="12" t="s">
        <v>1025</v>
      </c>
      <c r="I440" s="12" t="s">
        <v>1026</v>
      </c>
    </row>
    <row r="441" spans="1:9">
      <c r="A441" s="14">
        <v>10990</v>
      </c>
      <c r="B441" s="14" t="s">
        <v>499</v>
      </c>
      <c r="C441" s="12" t="s">
        <v>150</v>
      </c>
      <c r="D441" s="15" t="str">
        <f t="shared" si="6"/>
        <v>AT&amp;T U-verse Voice - Airoli - CCS</v>
      </c>
      <c r="E441" s="12" t="s">
        <v>126</v>
      </c>
      <c r="F441" s="12" t="s">
        <v>360</v>
      </c>
      <c r="G441" s="12" t="s">
        <v>361</v>
      </c>
      <c r="H441" s="12" t="s">
        <v>1025</v>
      </c>
      <c r="I441" s="12" t="s">
        <v>1026</v>
      </c>
    </row>
    <row r="442" spans="1:9">
      <c r="A442" s="14">
        <v>10990</v>
      </c>
      <c r="B442" s="14" t="s">
        <v>499</v>
      </c>
      <c r="C442" s="12" t="s">
        <v>161</v>
      </c>
      <c r="D442" s="15" t="str">
        <f t="shared" si="6"/>
        <v>AT&amp;T U-verse Voice - Airoli - ECC</v>
      </c>
      <c r="E442" s="12" t="s">
        <v>126</v>
      </c>
      <c r="F442" s="12" t="s">
        <v>360</v>
      </c>
      <c r="G442" s="12" t="s">
        <v>361</v>
      </c>
      <c r="H442" s="12" t="s">
        <v>1025</v>
      </c>
      <c r="I442" s="12" t="s">
        <v>1026</v>
      </c>
    </row>
    <row r="443" spans="1:9">
      <c r="A443" s="14">
        <v>10990</v>
      </c>
      <c r="B443" s="14" t="s">
        <v>499</v>
      </c>
      <c r="C443" s="12" t="s">
        <v>168</v>
      </c>
      <c r="D443" s="15" t="str">
        <f t="shared" si="6"/>
        <v>AT&amp;T U-verse Voice - Airoli - ESC</v>
      </c>
      <c r="E443" s="12" t="s">
        <v>126</v>
      </c>
      <c r="F443" s="12" t="s">
        <v>360</v>
      </c>
      <c r="G443" s="12" t="s">
        <v>361</v>
      </c>
      <c r="H443" s="12" t="s">
        <v>1025</v>
      </c>
      <c r="I443" s="12" t="s">
        <v>1026</v>
      </c>
    </row>
    <row r="444" spans="1:9">
      <c r="A444" s="14">
        <v>10990</v>
      </c>
      <c r="B444" s="14" t="s">
        <v>499</v>
      </c>
      <c r="C444" s="12" t="s">
        <v>171</v>
      </c>
      <c r="D444" s="15" t="str">
        <f t="shared" si="6"/>
        <v>AT&amp;T U-verse Voice - Airoli - ETE</v>
      </c>
      <c r="E444" s="12" t="s">
        <v>126</v>
      </c>
      <c r="F444" s="12" t="s">
        <v>360</v>
      </c>
      <c r="G444" s="12" t="s">
        <v>361</v>
      </c>
      <c r="H444" s="12" t="s">
        <v>1025</v>
      </c>
      <c r="I444" s="12" t="s">
        <v>1026</v>
      </c>
    </row>
    <row r="445" spans="1:9">
      <c r="A445" s="14">
        <v>10990</v>
      </c>
      <c r="B445" s="14" t="s">
        <v>499</v>
      </c>
      <c r="C445" s="12" t="s">
        <v>422</v>
      </c>
      <c r="D445" s="15" t="str">
        <f t="shared" si="6"/>
        <v>AT&amp;T U-verse Voice - Airoli - FMEA</v>
      </c>
      <c r="E445" s="12" t="s">
        <v>126</v>
      </c>
      <c r="F445" s="12" t="s">
        <v>360</v>
      </c>
      <c r="G445" s="12" t="s">
        <v>361</v>
      </c>
      <c r="H445" s="12" t="s">
        <v>1025</v>
      </c>
      <c r="I445" s="12" t="s">
        <v>1026</v>
      </c>
    </row>
    <row r="446" spans="1:9">
      <c r="A446" s="14">
        <v>10990</v>
      </c>
      <c r="B446" s="14" t="s">
        <v>499</v>
      </c>
      <c r="C446" s="12" t="s">
        <v>129</v>
      </c>
      <c r="D446" s="15" t="str">
        <f t="shared" si="6"/>
        <v>AT&amp;T U-verse Voice - Airoli - MGT</v>
      </c>
      <c r="E446" s="12" t="s">
        <v>126</v>
      </c>
      <c r="F446" s="12" t="s">
        <v>360</v>
      </c>
      <c r="G446" s="12" t="s">
        <v>361</v>
      </c>
      <c r="H446" s="12" t="s">
        <v>1025</v>
      </c>
      <c r="I446" s="12" t="s">
        <v>1026</v>
      </c>
    </row>
    <row r="447" spans="1:9">
      <c r="A447" s="14">
        <v>10990</v>
      </c>
      <c r="B447" s="14" t="s">
        <v>499</v>
      </c>
      <c r="C447" s="12" t="s">
        <v>177</v>
      </c>
      <c r="D447" s="15" t="str">
        <f t="shared" si="6"/>
        <v>AT&amp;T U-verse Voice - Airoli - OPS</v>
      </c>
      <c r="E447" s="12" t="s">
        <v>126</v>
      </c>
      <c r="F447" s="12" t="s">
        <v>360</v>
      </c>
      <c r="G447" s="12" t="s">
        <v>361</v>
      </c>
      <c r="H447" s="12" t="s">
        <v>1025</v>
      </c>
      <c r="I447" s="12" t="s">
        <v>1026</v>
      </c>
    </row>
    <row r="448" spans="1:9">
      <c r="A448" s="14">
        <v>10990</v>
      </c>
      <c r="B448" s="14" t="s">
        <v>499</v>
      </c>
      <c r="C448" s="12" t="s">
        <v>116</v>
      </c>
      <c r="D448" s="15" t="str">
        <f t="shared" si="6"/>
        <v>AT&amp;T U-verse Voice - Airoli - PRD</v>
      </c>
      <c r="E448" s="12" t="s">
        <v>126</v>
      </c>
      <c r="F448" s="12" t="s">
        <v>360</v>
      </c>
      <c r="G448" s="12" t="s">
        <v>361</v>
      </c>
      <c r="H448" s="12" t="s">
        <v>1025</v>
      </c>
      <c r="I448" s="12" t="s">
        <v>1026</v>
      </c>
    </row>
    <row r="449" spans="1:9">
      <c r="A449" s="14">
        <v>10990</v>
      </c>
      <c r="B449" s="14" t="s">
        <v>499</v>
      </c>
      <c r="C449" s="12" t="s">
        <v>111</v>
      </c>
      <c r="D449" s="15" t="str">
        <f t="shared" si="6"/>
        <v>AT&amp;T U-verse Voice - Airoli - QLY</v>
      </c>
      <c r="E449" s="12" t="s">
        <v>112</v>
      </c>
      <c r="F449" s="12" t="s">
        <v>113</v>
      </c>
      <c r="G449" s="12" t="s">
        <v>114</v>
      </c>
      <c r="H449" s="12" t="s">
        <v>1025</v>
      </c>
      <c r="I449" s="12" t="s">
        <v>1026</v>
      </c>
    </row>
    <row r="450" spans="1:9">
      <c r="A450" s="14">
        <v>10990</v>
      </c>
      <c r="B450" s="14" t="s">
        <v>499</v>
      </c>
      <c r="C450" s="12" t="s">
        <v>119</v>
      </c>
      <c r="D450" s="15" t="str">
        <f t="shared" ref="D450:D513" si="7">B450&amp;" - "&amp;C450</f>
        <v>AT&amp;T U-verse Voice - Airoli - SQM</v>
      </c>
      <c r="E450" s="12" t="s">
        <v>112</v>
      </c>
      <c r="F450" s="12" t="s">
        <v>113</v>
      </c>
      <c r="G450" s="12" t="s">
        <v>114</v>
      </c>
      <c r="H450" s="12" t="s">
        <v>1025</v>
      </c>
      <c r="I450" s="12" t="s">
        <v>1026</v>
      </c>
    </row>
    <row r="451" spans="1:9">
      <c r="A451" s="14">
        <v>10990</v>
      </c>
      <c r="B451" s="14" t="s">
        <v>499</v>
      </c>
      <c r="C451" s="12" t="s">
        <v>145</v>
      </c>
      <c r="D451" s="15" t="str">
        <f t="shared" si="7"/>
        <v>AT&amp;T U-verse Voice - Airoli - SUP</v>
      </c>
      <c r="E451" s="12" t="s">
        <v>126</v>
      </c>
      <c r="F451" s="12" t="s">
        <v>360</v>
      </c>
      <c r="G451" s="12" t="s">
        <v>361</v>
      </c>
      <c r="H451" s="12" t="s">
        <v>1025</v>
      </c>
      <c r="I451" s="12" t="s">
        <v>1026</v>
      </c>
    </row>
    <row r="452" spans="1:9">
      <c r="A452" s="14">
        <v>10990</v>
      </c>
      <c r="B452" s="14" t="s">
        <v>499</v>
      </c>
      <c r="C452" s="12" t="s">
        <v>196</v>
      </c>
      <c r="D452" s="15" t="str">
        <f t="shared" si="7"/>
        <v>AT&amp;T U-verse Voice - Airoli - SUT</v>
      </c>
      <c r="E452" s="12" t="s">
        <v>126</v>
      </c>
      <c r="F452" s="12" t="s">
        <v>360</v>
      </c>
      <c r="G452" s="12" t="s">
        <v>361</v>
      </c>
      <c r="H452" s="12" t="s">
        <v>1025</v>
      </c>
      <c r="I452" s="12" t="s">
        <v>1026</v>
      </c>
    </row>
    <row r="453" spans="1:9">
      <c r="A453" s="14">
        <v>10990</v>
      </c>
      <c r="B453" s="14" t="s">
        <v>499</v>
      </c>
      <c r="C453" s="12" t="s">
        <v>198</v>
      </c>
      <c r="D453" s="15" t="str">
        <f t="shared" si="7"/>
        <v>AT&amp;T U-verse Voice - Airoli - TEC</v>
      </c>
      <c r="E453" s="12" t="s">
        <v>126</v>
      </c>
      <c r="F453" s="12" t="s">
        <v>360</v>
      </c>
      <c r="G453" s="12" t="s">
        <v>361</v>
      </c>
      <c r="H453" s="12" t="s">
        <v>1025</v>
      </c>
      <c r="I453" s="12" t="s">
        <v>1026</v>
      </c>
    </row>
    <row r="454" spans="1:9">
      <c r="A454" s="14">
        <v>10990</v>
      </c>
      <c r="B454" s="14" t="s">
        <v>499</v>
      </c>
      <c r="C454" s="12" t="s">
        <v>180</v>
      </c>
      <c r="D454" s="15" t="str">
        <f t="shared" si="7"/>
        <v>AT&amp;T U-verse Voice - Airoli - TMG</v>
      </c>
      <c r="E454" s="12" t="s">
        <v>126</v>
      </c>
      <c r="F454" s="12" t="s">
        <v>360</v>
      </c>
      <c r="G454" s="12" t="s">
        <v>361</v>
      </c>
      <c r="H454" s="12" t="s">
        <v>1025</v>
      </c>
      <c r="I454" s="12" t="s">
        <v>1026</v>
      </c>
    </row>
    <row r="455" spans="1:9">
      <c r="A455" s="14">
        <v>10990</v>
      </c>
      <c r="B455" s="14" t="s">
        <v>499</v>
      </c>
      <c r="C455" s="12" t="s">
        <v>203</v>
      </c>
      <c r="D455" s="15" t="str">
        <f t="shared" si="7"/>
        <v>AT&amp;T U-verse Voice - Airoli - TRG</v>
      </c>
      <c r="E455" s="12" t="s">
        <v>112</v>
      </c>
      <c r="F455" s="12" t="s">
        <v>204</v>
      </c>
      <c r="G455" s="12" t="s">
        <v>205</v>
      </c>
      <c r="H455" s="12" t="s">
        <v>1025</v>
      </c>
      <c r="I455" s="12" t="s">
        <v>1026</v>
      </c>
    </row>
    <row r="456" spans="1:9">
      <c r="A456" s="14">
        <v>10990</v>
      </c>
      <c r="B456" s="14" t="s">
        <v>499</v>
      </c>
      <c r="C456" s="12" t="s">
        <v>546</v>
      </c>
      <c r="D456" s="15" t="str">
        <f t="shared" si="7"/>
        <v>AT&amp;T U-verse Voice - Airoli - TRN</v>
      </c>
      <c r="E456" s="12" t="s">
        <v>112</v>
      </c>
      <c r="F456" s="12" t="s">
        <v>204</v>
      </c>
      <c r="G456" s="12" t="s">
        <v>205</v>
      </c>
      <c r="H456" s="12" t="s">
        <v>1025</v>
      </c>
      <c r="I456" s="12" t="s">
        <v>1026</v>
      </c>
    </row>
    <row r="457" spans="1:9">
      <c r="A457" s="14">
        <v>10990</v>
      </c>
      <c r="B457" s="14" t="s">
        <v>499</v>
      </c>
      <c r="C457" s="12" t="s">
        <v>208</v>
      </c>
      <c r="D457" s="15" t="str">
        <f t="shared" si="7"/>
        <v>AT&amp;T U-verse Voice - Airoli - TTR</v>
      </c>
      <c r="E457" s="12" t="s">
        <v>112</v>
      </c>
      <c r="F457" s="12" t="s">
        <v>204</v>
      </c>
      <c r="G457" s="12" t="s">
        <v>205</v>
      </c>
      <c r="H457" s="12" t="s">
        <v>1025</v>
      </c>
      <c r="I457" s="12" t="s">
        <v>1026</v>
      </c>
    </row>
    <row r="458" spans="1:9">
      <c r="A458" s="14">
        <v>10706</v>
      </c>
      <c r="B458" s="14" t="s">
        <v>321</v>
      </c>
      <c r="C458" s="12" t="s">
        <v>133</v>
      </c>
      <c r="D458" s="15" t="str">
        <f t="shared" si="7"/>
        <v>AT&amp;T Video Chat - Chennai - AMG</v>
      </c>
      <c r="E458" s="12" t="s">
        <v>126</v>
      </c>
      <c r="F458" s="12" t="s">
        <v>178</v>
      </c>
      <c r="G458" s="12" t="s">
        <v>128</v>
      </c>
      <c r="H458" s="12" t="s">
        <v>1025</v>
      </c>
      <c r="I458" s="12" t="s">
        <v>1026</v>
      </c>
    </row>
    <row r="459" spans="1:9">
      <c r="A459" s="14">
        <v>10706</v>
      </c>
      <c r="B459" s="14" t="s">
        <v>321</v>
      </c>
      <c r="C459" s="12" t="s">
        <v>398</v>
      </c>
      <c r="D459" s="15" t="str">
        <f t="shared" si="7"/>
        <v>AT&amp;T Video Chat - Chennai - CBK</v>
      </c>
      <c r="E459" s="12" t="s">
        <v>126</v>
      </c>
      <c r="F459" s="12" t="s">
        <v>178</v>
      </c>
      <c r="G459" s="12" t="s">
        <v>128</v>
      </c>
      <c r="H459" s="12" t="s">
        <v>1025</v>
      </c>
      <c r="I459" s="12" t="s">
        <v>1026</v>
      </c>
    </row>
    <row r="460" spans="1:9">
      <c r="A460" s="14">
        <v>10706</v>
      </c>
      <c r="B460" s="14" t="s">
        <v>321</v>
      </c>
      <c r="C460" s="12" t="s">
        <v>144</v>
      </c>
      <c r="D460" s="15" t="str">
        <f t="shared" si="7"/>
        <v>AT&amp;T Video Chat - Chennai - CCOD</v>
      </c>
      <c r="E460" s="12" t="s">
        <v>126</v>
      </c>
      <c r="F460" s="12" t="s">
        <v>178</v>
      </c>
      <c r="G460" s="12" t="s">
        <v>128</v>
      </c>
      <c r="H460" s="12" t="s">
        <v>1025</v>
      </c>
      <c r="I460" s="12" t="s">
        <v>1026</v>
      </c>
    </row>
    <row r="461" spans="1:9">
      <c r="A461" s="14">
        <v>10706</v>
      </c>
      <c r="B461" s="14" t="s">
        <v>321</v>
      </c>
      <c r="C461" s="12" t="s">
        <v>150</v>
      </c>
      <c r="D461" s="15" t="str">
        <f t="shared" si="7"/>
        <v>AT&amp;T Video Chat - Chennai - CCS</v>
      </c>
      <c r="E461" s="12" t="s">
        <v>126</v>
      </c>
      <c r="F461" s="12" t="s">
        <v>178</v>
      </c>
      <c r="G461" s="12" t="s">
        <v>128</v>
      </c>
      <c r="H461" s="12" t="s">
        <v>1025</v>
      </c>
      <c r="I461" s="12" t="s">
        <v>1026</v>
      </c>
    </row>
    <row r="462" spans="1:9">
      <c r="A462" s="14">
        <v>10706</v>
      </c>
      <c r="B462" s="14" t="s">
        <v>321</v>
      </c>
      <c r="C462" s="12" t="s">
        <v>171</v>
      </c>
      <c r="D462" s="15" t="str">
        <f t="shared" si="7"/>
        <v>AT&amp;T Video Chat - Chennai - ETE</v>
      </c>
      <c r="E462" s="12" t="s">
        <v>126</v>
      </c>
      <c r="F462" s="12" t="s">
        <v>178</v>
      </c>
      <c r="G462" s="12" t="s">
        <v>128</v>
      </c>
      <c r="H462" s="12" t="s">
        <v>1025</v>
      </c>
      <c r="I462" s="12" t="s">
        <v>1026</v>
      </c>
    </row>
    <row r="463" spans="1:9">
      <c r="A463" s="14">
        <v>10706</v>
      </c>
      <c r="B463" s="14" t="s">
        <v>321</v>
      </c>
      <c r="C463" s="12" t="s">
        <v>177</v>
      </c>
      <c r="D463" s="15" t="str">
        <f t="shared" si="7"/>
        <v>AT&amp;T Video Chat - Chennai - OPS</v>
      </c>
      <c r="E463" s="12" t="s">
        <v>126</v>
      </c>
      <c r="F463" s="12" t="s">
        <v>178</v>
      </c>
      <c r="G463" s="12" t="s">
        <v>128</v>
      </c>
      <c r="H463" s="12" t="s">
        <v>1025</v>
      </c>
      <c r="I463" s="12" t="s">
        <v>1026</v>
      </c>
    </row>
    <row r="464" spans="1:9">
      <c r="A464" s="14">
        <v>10706</v>
      </c>
      <c r="B464" s="14" t="s">
        <v>321</v>
      </c>
      <c r="C464" s="12" t="s">
        <v>116</v>
      </c>
      <c r="D464" s="15" t="str">
        <f t="shared" si="7"/>
        <v>AT&amp;T Video Chat - Chennai - PRD</v>
      </c>
      <c r="E464" s="12" t="s">
        <v>126</v>
      </c>
      <c r="F464" s="12" t="s">
        <v>178</v>
      </c>
      <c r="G464" s="12" t="s">
        <v>128</v>
      </c>
      <c r="H464" s="12" t="s">
        <v>1025</v>
      </c>
      <c r="I464" s="12" t="s">
        <v>1026</v>
      </c>
    </row>
    <row r="465" spans="1:9">
      <c r="A465" s="14">
        <v>10706</v>
      </c>
      <c r="B465" s="14" t="s">
        <v>321</v>
      </c>
      <c r="C465" s="12" t="s">
        <v>230</v>
      </c>
      <c r="D465" s="15" t="str">
        <f t="shared" si="7"/>
        <v>AT&amp;T Video Chat - Chennai - PRSP</v>
      </c>
      <c r="E465" s="12" t="s">
        <v>126</v>
      </c>
      <c r="F465" s="12" t="s">
        <v>178</v>
      </c>
      <c r="G465" s="12" t="s">
        <v>128</v>
      </c>
      <c r="H465" s="12" t="s">
        <v>1025</v>
      </c>
      <c r="I465" s="12" t="s">
        <v>1026</v>
      </c>
    </row>
    <row r="466" spans="1:9">
      <c r="A466" s="14">
        <v>10706</v>
      </c>
      <c r="B466" s="14" t="s">
        <v>321</v>
      </c>
      <c r="C466" s="12" t="s">
        <v>172</v>
      </c>
      <c r="D466" s="15" t="str">
        <f t="shared" si="7"/>
        <v>AT&amp;T Video Chat - Chennai - SME</v>
      </c>
      <c r="E466" s="12" t="s">
        <v>126</v>
      </c>
      <c r="F466" s="12" t="s">
        <v>178</v>
      </c>
      <c r="G466" s="12" t="s">
        <v>128</v>
      </c>
      <c r="H466" s="12" t="s">
        <v>1025</v>
      </c>
      <c r="I466" s="12" t="s">
        <v>1026</v>
      </c>
    </row>
    <row r="467" spans="1:9">
      <c r="A467" s="14">
        <v>10706</v>
      </c>
      <c r="B467" s="14" t="s">
        <v>321</v>
      </c>
      <c r="C467" s="12" t="s">
        <v>119</v>
      </c>
      <c r="D467" s="15" t="str">
        <f t="shared" si="7"/>
        <v>AT&amp;T Video Chat - Chennai - SQM</v>
      </c>
      <c r="E467" s="12" t="s">
        <v>112</v>
      </c>
      <c r="F467" s="12" t="s">
        <v>113</v>
      </c>
      <c r="G467" s="12" t="s">
        <v>114</v>
      </c>
      <c r="H467" s="12" t="s">
        <v>1025</v>
      </c>
      <c r="I467" s="12" t="s">
        <v>1026</v>
      </c>
    </row>
    <row r="468" spans="1:9">
      <c r="A468" s="14">
        <v>10706</v>
      </c>
      <c r="B468" s="14" t="s">
        <v>321</v>
      </c>
      <c r="C468" s="12" t="s">
        <v>145</v>
      </c>
      <c r="D468" s="15" t="str">
        <f t="shared" si="7"/>
        <v>AT&amp;T Video Chat - Chennai - SUP</v>
      </c>
      <c r="E468" s="12" t="s">
        <v>126</v>
      </c>
      <c r="F468" s="12" t="s">
        <v>178</v>
      </c>
      <c r="G468" s="12" t="s">
        <v>128</v>
      </c>
      <c r="H468" s="12" t="s">
        <v>1025</v>
      </c>
      <c r="I468" s="12" t="s">
        <v>1026</v>
      </c>
    </row>
    <row r="469" spans="1:9">
      <c r="A469" s="14">
        <v>10706</v>
      </c>
      <c r="B469" s="14" t="s">
        <v>321</v>
      </c>
      <c r="C469" s="12" t="s">
        <v>196</v>
      </c>
      <c r="D469" s="15" t="str">
        <f t="shared" si="7"/>
        <v>AT&amp;T Video Chat - Chennai - SUT</v>
      </c>
      <c r="E469" s="12" t="s">
        <v>126</v>
      </c>
      <c r="F469" s="12" t="s">
        <v>178</v>
      </c>
      <c r="G469" s="12" t="s">
        <v>128</v>
      </c>
      <c r="H469" s="12" t="s">
        <v>1025</v>
      </c>
      <c r="I469" s="12" t="s">
        <v>1026</v>
      </c>
    </row>
    <row r="470" spans="1:9">
      <c r="A470" s="14">
        <v>10706</v>
      </c>
      <c r="B470" s="14" t="s">
        <v>321</v>
      </c>
      <c r="C470" s="12" t="s">
        <v>198</v>
      </c>
      <c r="D470" s="15" t="str">
        <f t="shared" si="7"/>
        <v>AT&amp;T Video Chat - Chennai - TEC</v>
      </c>
      <c r="E470" s="12" t="s">
        <v>126</v>
      </c>
      <c r="F470" s="12" t="s">
        <v>178</v>
      </c>
      <c r="G470" s="12" t="s">
        <v>128</v>
      </c>
      <c r="H470" s="12" t="s">
        <v>1025</v>
      </c>
      <c r="I470" s="12" t="s">
        <v>1026</v>
      </c>
    </row>
    <row r="471" spans="1:9">
      <c r="A471" s="14">
        <v>10706</v>
      </c>
      <c r="B471" s="14" t="s">
        <v>321</v>
      </c>
      <c r="C471" s="12" t="s">
        <v>180</v>
      </c>
      <c r="D471" s="15" t="str">
        <f t="shared" si="7"/>
        <v>AT&amp;T Video Chat - Chennai - TMG</v>
      </c>
      <c r="E471" s="12" t="s">
        <v>126</v>
      </c>
      <c r="F471" s="12" t="s">
        <v>178</v>
      </c>
      <c r="G471" s="12" t="s">
        <v>128</v>
      </c>
      <c r="H471" s="12" t="s">
        <v>1025</v>
      </c>
      <c r="I471" s="12" t="s">
        <v>1026</v>
      </c>
    </row>
    <row r="472" spans="1:9">
      <c r="A472" s="14">
        <v>10706</v>
      </c>
      <c r="B472" s="14" t="s">
        <v>321</v>
      </c>
      <c r="C472" s="12" t="s">
        <v>203</v>
      </c>
      <c r="D472" s="15" t="str">
        <f t="shared" si="7"/>
        <v>AT&amp;T Video Chat - Chennai - TRG</v>
      </c>
      <c r="E472" s="12" t="s">
        <v>112</v>
      </c>
      <c r="F472" s="12" t="s">
        <v>204</v>
      </c>
      <c r="G472" s="12" t="s">
        <v>205</v>
      </c>
      <c r="H472" s="12" t="s">
        <v>1025</v>
      </c>
      <c r="I472" s="12" t="s">
        <v>1026</v>
      </c>
    </row>
    <row r="473" spans="1:9">
      <c r="A473" s="14">
        <v>10706</v>
      </c>
      <c r="B473" s="14" t="s">
        <v>321</v>
      </c>
      <c r="C473" s="12" t="s">
        <v>208</v>
      </c>
      <c r="D473" s="15" t="str">
        <f t="shared" si="7"/>
        <v>AT&amp;T Video Chat - Chennai - TTR</v>
      </c>
      <c r="E473" s="12" t="s">
        <v>112</v>
      </c>
      <c r="F473" s="12" t="s">
        <v>204</v>
      </c>
      <c r="G473" s="12" t="s">
        <v>205</v>
      </c>
      <c r="H473" s="12" t="s">
        <v>1025</v>
      </c>
      <c r="I473" s="12" t="s">
        <v>1026</v>
      </c>
    </row>
    <row r="474" spans="1:9">
      <c r="A474" s="14">
        <v>12524</v>
      </c>
      <c r="B474" s="14" t="s">
        <v>292</v>
      </c>
      <c r="C474" s="12" t="s">
        <v>198</v>
      </c>
      <c r="D474" s="15" t="str">
        <f t="shared" si="7"/>
        <v>Athena - RPA - TEC</v>
      </c>
      <c r="E474" s="12" t="s">
        <v>104</v>
      </c>
      <c r="F474" s="12" t="s">
        <v>117</v>
      </c>
      <c r="G474" s="12" t="s">
        <v>117</v>
      </c>
      <c r="H474" s="12" t="s">
        <v>1025</v>
      </c>
      <c r="I474" s="12" t="s">
        <v>1026</v>
      </c>
    </row>
    <row r="475" spans="1:9">
      <c r="A475" s="14">
        <v>10510</v>
      </c>
      <c r="B475" s="14" t="s">
        <v>260</v>
      </c>
      <c r="C475" s="12" t="s">
        <v>306</v>
      </c>
      <c r="D475" s="15" t="str">
        <f t="shared" si="7"/>
        <v>ATI AP TE - FAO</v>
      </c>
      <c r="E475" s="12" t="s">
        <v>126</v>
      </c>
      <c r="F475" s="12" t="s">
        <v>163</v>
      </c>
      <c r="G475" s="12" t="s">
        <v>164</v>
      </c>
      <c r="H475" s="12" t="s">
        <v>1025</v>
      </c>
      <c r="I475" s="12" t="s">
        <v>1026</v>
      </c>
    </row>
    <row r="476" spans="1:9">
      <c r="A476" s="14">
        <v>10510</v>
      </c>
      <c r="B476" s="14" t="s">
        <v>260</v>
      </c>
      <c r="C476" s="12" t="s">
        <v>129</v>
      </c>
      <c r="D476" s="15" t="str">
        <f t="shared" si="7"/>
        <v>ATI AP TE - MGT</v>
      </c>
      <c r="E476" s="12" t="s">
        <v>126</v>
      </c>
      <c r="F476" s="12" t="s">
        <v>163</v>
      </c>
      <c r="G476" s="12" t="s">
        <v>164</v>
      </c>
      <c r="H476" s="12" t="s">
        <v>1025</v>
      </c>
      <c r="I476" s="12" t="s">
        <v>1026</v>
      </c>
    </row>
    <row r="477" spans="1:9">
      <c r="A477" s="14">
        <v>10510</v>
      </c>
      <c r="B477" s="14" t="s">
        <v>260</v>
      </c>
      <c r="C477" s="12" t="s">
        <v>180</v>
      </c>
      <c r="D477" s="15" t="str">
        <f t="shared" si="7"/>
        <v>ATI AP TE - TMG</v>
      </c>
      <c r="E477" s="12" t="s">
        <v>126</v>
      </c>
      <c r="F477" s="12" t="s">
        <v>163</v>
      </c>
      <c r="G477" s="12" t="s">
        <v>164</v>
      </c>
      <c r="H477" s="12" t="s">
        <v>1025</v>
      </c>
      <c r="I477" s="12" t="s">
        <v>1026</v>
      </c>
    </row>
    <row r="478" spans="1:9">
      <c r="A478" s="14">
        <v>10510</v>
      </c>
      <c r="B478" s="14" t="s">
        <v>260</v>
      </c>
      <c r="C478" s="12" t="s">
        <v>185</v>
      </c>
      <c r="D478" s="15" t="str">
        <f t="shared" si="7"/>
        <v>ATI AP TE - TPS</v>
      </c>
      <c r="E478" s="12" t="s">
        <v>126</v>
      </c>
      <c r="F478" s="12" t="s">
        <v>163</v>
      </c>
      <c r="G478" s="12" t="s">
        <v>164</v>
      </c>
      <c r="H478" s="12" t="s">
        <v>1025</v>
      </c>
      <c r="I478" s="12" t="s">
        <v>1026</v>
      </c>
    </row>
    <row r="479" spans="1:9">
      <c r="A479" s="14">
        <v>95505</v>
      </c>
      <c r="B479" s="14" t="s">
        <v>996</v>
      </c>
      <c r="C479" s="12" t="s">
        <v>145</v>
      </c>
      <c r="D479" s="15" t="str">
        <f t="shared" si="7"/>
        <v>Audits, Assurance and Awarenes - SUP</v>
      </c>
      <c r="E479" s="12" t="s">
        <v>104</v>
      </c>
      <c r="F479" s="12" t="s">
        <v>263</v>
      </c>
      <c r="G479" s="12" t="s">
        <v>264</v>
      </c>
      <c r="H479" s="12" t="s">
        <v>1025</v>
      </c>
      <c r="I479" s="12" t="s">
        <v>1026</v>
      </c>
    </row>
    <row r="480" spans="1:9">
      <c r="A480" s="14">
        <v>10811</v>
      </c>
      <c r="B480" s="14" t="s">
        <v>393</v>
      </c>
      <c r="C480" s="12" t="s">
        <v>138</v>
      </c>
      <c r="D480" s="15" t="str">
        <f t="shared" si="7"/>
        <v>Avaya CMD - BOS</v>
      </c>
      <c r="E480" s="12" t="s">
        <v>126</v>
      </c>
      <c r="F480" s="12" t="s">
        <v>163</v>
      </c>
      <c r="G480" s="12" t="s">
        <v>164</v>
      </c>
      <c r="H480" s="12" t="s">
        <v>1025</v>
      </c>
      <c r="I480" s="12" t="s">
        <v>1026</v>
      </c>
    </row>
    <row r="481" spans="1:9">
      <c r="A481" s="14">
        <v>10881</v>
      </c>
      <c r="B481" s="14" t="s">
        <v>437</v>
      </c>
      <c r="C481" s="12" t="s">
        <v>133</v>
      </c>
      <c r="D481" s="15" t="str">
        <f t="shared" si="7"/>
        <v>Avaya FAO - AMG</v>
      </c>
      <c r="E481" s="12" t="s">
        <v>126</v>
      </c>
      <c r="F481" s="12" t="s">
        <v>163</v>
      </c>
      <c r="G481" s="12" t="s">
        <v>164</v>
      </c>
      <c r="H481" s="12" t="s">
        <v>1025</v>
      </c>
      <c r="I481" s="12" t="s">
        <v>1026</v>
      </c>
    </row>
    <row r="482" spans="1:9">
      <c r="A482" s="14">
        <v>10881</v>
      </c>
      <c r="B482" s="14" t="s">
        <v>437</v>
      </c>
      <c r="C482" s="12" t="s">
        <v>138</v>
      </c>
      <c r="D482" s="15" t="str">
        <f t="shared" si="7"/>
        <v>Avaya FAO - BOS</v>
      </c>
      <c r="E482" s="12" t="s">
        <v>126</v>
      </c>
      <c r="F482" s="12" t="s">
        <v>163</v>
      </c>
      <c r="G482" s="12" t="s">
        <v>164</v>
      </c>
      <c r="H482" s="12" t="s">
        <v>1025</v>
      </c>
      <c r="I482" s="12" t="s">
        <v>1026</v>
      </c>
    </row>
    <row r="483" spans="1:9">
      <c r="A483" s="14">
        <v>10881</v>
      </c>
      <c r="B483" s="14" t="s">
        <v>437</v>
      </c>
      <c r="C483" s="12" t="s">
        <v>306</v>
      </c>
      <c r="D483" s="15" t="str">
        <f t="shared" si="7"/>
        <v>Avaya FAO - FAO</v>
      </c>
      <c r="E483" s="12" t="s">
        <v>126</v>
      </c>
      <c r="F483" s="12" t="s">
        <v>163</v>
      </c>
      <c r="G483" s="12" t="s">
        <v>164</v>
      </c>
      <c r="H483" s="12" t="s">
        <v>1025</v>
      </c>
      <c r="I483" s="12" t="s">
        <v>1026</v>
      </c>
    </row>
    <row r="484" spans="1:9">
      <c r="A484" s="14">
        <v>10881</v>
      </c>
      <c r="B484" s="14" t="s">
        <v>437</v>
      </c>
      <c r="C484" s="12" t="s">
        <v>129</v>
      </c>
      <c r="D484" s="15" t="str">
        <f t="shared" si="7"/>
        <v>Avaya FAO - MGT</v>
      </c>
      <c r="E484" s="12" t="s">
        <v>126</v>
      </c>
      <c r="F484" s="12" t="s">
        <v>163</v>
      </c>
      <c r="G484" s="12" t="s">
        <v>164</v>
      </c>
      <c r="H484" s="12" t="s">
        <v>1025</v>
      </c>
      <c r="I484" s="12" t="s">
        <v>1026</v>
      </c>
    </row>
    <row r="485" spans="1:9">
      <c r="A485" s="14">
        <v>10881</v>
      </c>
      <c r="B485" s="14" t="s">
        <v>437</v>
      </c>
      <c r="C485" s="12" t="s">
        <v>177</v>
      </c>
      <c r="D485" s="15" t="str">
        <f t="shared" si="7"/>
        <v>Avaya FAO - OPS</v>
      </c>
      <c r="E485" s="12" t="s">
        <v>126</v>
      </c>
      <c r="F485" s="12" t="s">
        <v>163</v>
      </c>
      <c r="G485" s="12" t="s">
        <v>164</v>
      </c>
      <c r="H485" s="12" t="s">
        <v>1025</v>
      </c>
      <c r="I485" s="12" t="s">
        <v>1026</v>
      </c>
    </row>
    <row r="486" spans="1:9">
      <c r="A486" s="14">
        <v>10881</v>
      </c>
      <c r="B486" s="14" t="s">
        <v>437</v>
      </c>
      <c r="C486" s="12" t="s">
        <v>145</v>
      </c>
      <c r="D486" s="15" t="str">
        <f t="shared" si="7"/>
        <v>Avaya FAO - SUP</v>
      </c>
      <c r="E486" s="12" t="s">
        <v>126</v>
      </c>
      <c r="F486" s="12" t="s">
        <v>163</v>
      </c>
      <c r="G486" s="12" t="s">
        <v>164</v>
      </c>
      <c r="H486" s="12" t="s">
        <v>1025</v>
      </c>
      <c r="I486" s="12" t="s">
        <v>1026</v>
      </c>
    </row>
    <row r="487" spans="1:9">
      <c r="A487" s="14">
        <v>10881</v>
      </c>
      <c r="B487" s="14" t="s">
        <v>437</v>
      </c>
      <c r="C487" s="12" t="s">
        <v>180</v>
      </c>
      <c r="D487" s="15" t="str">
        <f t="shared" si="7"/>
        <v>Avaya FAO - TMG</v>
      </c>
      <c r="E487" s="12" t="s">
        <v>126</v>
      </c>
      <c r="F487" s="12" t="s">
        <v>163</v>
      </c>
      <c r="G487" s="12" t="s">
        <v>164</v>
      </c>
      <c r="H487" s="12" t="s">
        <v>1025</v>
      </c>
      <c r="I487" s="12" t="s">
        <v>1026</v>
      </c>
    </row>
    <row r="488" spans="1:9">
      <c r="A488" s="14">
        <v>10881</v>
      </c>
      <c r="B488" s="14" t="s">
        <v>437</v>
      </c>
      <c r="C488" s="12" t="s">
        <v>203</v>
      </c>
      <c r="D488" s="15" t="str">
        <f t="shared" si="7"/>
        <v>Avaya FAO - TRG</v>
      </c>
      <c r="E488" s="12" t="s">
        <v>112</v>
      </c>
      <c r="F488" s="12" t="s">
        <v>204</v>
      </c>
      <c r="G488" s="12" t="s">
        <v>205</v>
      </c>
      <c r="H488" s="12" t="s">
        <v>1025</v>
      </c>
      <c r="I488" s="12" t="s">
        <v>1026</v>
      </c>
    </row>
    <row r="489" spans="1:9">
      <c r="A489" s="14">
        <v>10637</v>
      </c>
      <c r="B489" s="14" t="s">
        <v>277</v>
      </c>
      <c r="C489" s="12" t="s">
        <v>138</v>
      </c>
      <c r="D489" s="15" t="str">
        <f t="shared" si="7"/>
        <v>Avaya Inventory Assurance - BOS</v>
      </c>
      <c r="E489" s="12" t="s">
        <v>126</v>
      </c>
      <c r="F489" s="12" t="s">
        <v>163</v>
      </c>
      <c r="G489" s="12" t="s">
        <v>164</v>
      </c>
      <c r="H489" s="12" t="s">
        <v>1025</v>
      </c>
      <c r="I489" s="12" t="s">
        <v>1026</v>
      </c>
    </row>
    <row r="490" spans="1:9">
      <c r="A490" s="14">
        <v>10640</v>
      </c>
      <c r="B490" s="14" t="s">
        <v>279</v>
      </c>
      <c r="C490" s="12" t="s">
        <v>138</v>
      </c>
      <c r="D490" s="15" t="str">
        <f t="shared" si="7"/>
        <v>Avaya Quote to order - BOS</v>
      </c>
      <c r="E490" s="12" t="s">
        <v>126</v>
      </c>
      <c r="F490" s="12" t="s">
        <v>565</v>
      </c>
      <c r="G490" s="12" t="s">
        <v>114</v>
      </c>
      <c r="H490" s="12" t="s">
        <v>1025</v>
      </c>
      <c r="I490" s="12" t="s">
        <v>1026</v>
      </c>
    </row>
    <row r="491" spans="1:9">
      <c r="A491" s="14">
        <v>10640</v>
      </c>
      <c r="B491" s="14" t="s">
        <v>279</v>
      </c>
      <c r="C491" s="12" t="s">
        <v>306</v>
      </c>
      <c r="D491" s="15" t="str">
        <f t="shared" si="7"/>
        <v>Avaya Quote to order - FAO</v>
      </c>
      <c r="E491" s="12" t="s">
        <v>126</v>
      </c>
      <c r="F491" s="12" t="s">
        <v>565</v>
      </c>
      <c r="G491" s="12" t="s">
        <v>114</v>
      </c>
      <c r="H491" s="12" t="s">
        <v>1025</v>
      </c>
      <c r="I491" s="12" t="s">
        <v>1026</v>
      </c>
    </row>
    <row r="492" spans="1:9">
      <c r="A492" s="14">
        <v>10640</v>
      </c>
      <c r="B492" s="14" t="s">
        <v>279</v>
      </c>
      <c r="C492" s="12" t="s">
        <v>129</v>
      </c>
      <c r="D492" s="15" t="str">
        <f t="shared" si="7"/>
        <v>Avaya Quote to order - MGT</v>
      </c>
      <c r="E492" s="12" t="s">
        <v>126</v>
      </c>
      <c r="F492" s="12" t="s">
        <v>565</v>
      </c>
      <c r="G492" s="12" t="s">
        <v>114</v>
      </c>
      <c r="H492" s="12" t="s">
        <v>1025</v>
      </c>
      <c r="I492" s="12" t="s">
        <v>1026</v>
      </c>
    </row>
    <row r="493" spans="1:9">
      <c r="A493" s="14">
        <v>10640</v>
      </c>
      <c r="B493" s="14" t="s">
        <v>279</v>
      </c>
      <c r="C493" s="12" t="s">
        <v>116</v>
      </c>
      <c r="D493" s="15" t="str">
        <f t="shared" si="7"/>
        <v>Avaya Quote to order - PRD</v>
      </c>
      <c r="E493" s="12" t="s">
        <v>126</v>
      </c>
      <c r="F493" s="12" t="s">
        <v>565</v>
      </c>
      <c r="G493" s="12" t="s">
        <v>114</v>
      </c>
      <c r="H493" s="12" t="s">
        <v>1025</v>
      </c>
      <c r="I493" s="12" t="s">
        <v>1026</v>
      </c>
    </row>
    <row r="494" spans="1:9">
      <c r="A494" s="14">
        <v>10640</v>
      </c>
      <c r="B494" s="14" t="s">
        <v>279</v>
      </c>
      <c r="C494" s="12" t="s">
        <v>198</v>
      </c>
      <c r="D494" s="15" t="str">
        <f t="shared" si="7"/>
        <v>Avaya Quote to order - TEC</v>
      </c>
      <c r="E494" s="12" t="s">
        <v>126</v>
      </c>
      <c r="F494" s="12" t="s">
        <v>565</v>
      </c>
      <c r="G494" s="12" t="s">
        <v>114</v>
      </c>
      <c r="H494" s="12" t="s">
        <v>1025</v>
      </c>
      <c r="I494" s="12" t="s">
        <v>1026</v>
      </c>
    </row>
    <row r="495" spans="1:9">
      <c r="A495" s="14">
        <v>10891</v>
      </c>
      <c r="B495" s="14" t="s">
        <v>439</v>
      </c>
      <c r="C495" s="12" t="s">
        <v>138</v>
      </c>
      <c r="D495" s="15" t="str">
        <f t="shared" si="7"/>
        <v>Avaya RMA - BOS</v>
      </c>
      <c r="E495" s="12" t="s">
        <v>126</v>
      </c>
      <c r="F495" s="12" t="s">
        <v>360</v>
      </c>
      <c r="G495" s="12" t="s">
        <v>361</v>
      </c>
      <c r="H495" s="12" t="s">
        <v>1025</v>
      </c>
      <c r="I495" s="12" t="s">
        <v>1026</v>
      </c>
    </row>
    <row r="496" spans="1:9">
      <c r="A496" s="14">
        <v>10891</v>
      </c>
      <c r="B496" s="14" t="s">
        <v>439</v>
      </c>
      <c r="C496" s="12" t="s">
        <v>150</v>
      </c>
      <c r="D496" s="15" t="str">
        <f t="shared" si="7"/>
        <v>Avaya RMA - CCS</v>
      </c>
      <c r="E496" s="12" t="s">
        <v>126</v>
      </c>
      <c r="F496" s="12" t="s">
        <v>360</v>
      </c>
      <c r="G496" s="12" t="s">
        <v>361</v>
      </c>
      <c r="H496" s="12" t="s">
        <v>1025</v>
      </c>
      <c r="I496" s="12" t="s">
        <v>1026</v>
      </c>
    </row>
    <row r="497" spans="1:9">
      <c r="A497" s="14">
        <v>10891</v>
      </c>
      <c r="B497" s="14" t="s">
        <v>439</v>
      </c>
      <c r="C497" s="12" t="s">
        <v>306</v>
      </c>
      <c r="D497" s="15" t="str">
        <f t="shared" si="7"/>
        <v>Avaya RMA - FAO</v>
      </c>
      <c r="E497" s="12" t="s">
        <v>126</v>
      </c>
      <c r="F497" s="12" t="s">
        <v>360</v>
      </c>
      <c r="G497" s="12" t="s">
        <v>361</v>
      </c>
      <c r="H497" s="12" t="s">
        <v>1025</v>
      </c>
      <c r="I497" s="12" t="s">
        <v>1026</v>
      </c>
    </row>
    <row r="498" spans="1:9">
      <c r="A498" s="14">
        <v>20496</v>
      </c>
      <c r="B498" s="14" t="s">
        <v>439</v>
      </c>
      <c r="C498" s="12" t="s">
        <v>116</v>
      </c>
      <c r="D498" s="15" t="str">
        <f t="shared" si="7"/>
        <v>Avaya RMA - PRD</v>
      </c>
      <c r="E498" s="12" t="s">
        <v>117</v>
      </c>
      <c r="F498" s="12" t="s">
        <v>117</v>
      </c>
      <c r="G498" s="12" t="s">
        <v>117</v>
      </c>
      <c r="H498" s="12" t="s">
        <v>1025</v>
      </c>
      <c r="I498" s="12" t="s">
        <v>1026</v>
      </c>
    </row>
    <row r="499" spans="1:9">
      <c r="A499" s="14">
        <v>10891</v>
      </c>
      <c r="B499" s="14" t="s">
        <v>439</v>
      </c>
      <c r="C499" s="12" t="s">
        <v>145</v>
      </c>
      <c r="D499" s="15" t="str">
        <f t="shared" si="7"/>
        <v>Avaya RMA - SUP</v>
      </c>
      <c r="E499" s="12" t="s">
        <v>126</v>
      </c>
      <c r="F499" s="12" t="s">
        <v>360</v>
      </c>
      <c r="G499" s="12" t="s">
        <v>361</v>
      </c>
      <c r="H499" s="12" t="s">
        <v>1025</v>
      </c>
      <c r="I499" s="12" t="s">
        <v>1026</v>
      </c>
    </row>
    <row r="500" spans="1:9">
      <c r="A500" s="14">
        <v>10891</v>
      </c>
      <c r="B500" s="14" t="s">
        <v>439</v>
      </c>
      <c r="C500" s="12" t="s">
        <v>180</v>
      </c>
      <c r="D500" s="15" t="str">
        <f t="shared" si="7"/>
        <v>Avaya RMA - TMG</v>
      </c>
      <c r="E500" s="12" t="s">
        <v>126</v>
      </c>
      <c r="F500" s="12" t="s">
        <v>360</v>
      </c>
      <c r="G500" s="12" t="s">
        <v>361</v>
      </c>
      <c r="H500" s="12" t="s">
        <v>1025</v>
      </c>
      <c r="I500" s="12" t="s">
        <v>1026</v>
      </c>
    </row>
    <row r="501" spans="1:9">
      <c r="A501" s="14">
        <v>25497</v>
      </c>
      <c r="B501" s="14" t="s">
        <v>650</v>
      </c>
      <c r="C501" s="12" t="s">
        <v>121</v>
      </c>
      <c r="D501" s="15" t="str">
        <f t="shared" si="7"/>
        <v>Back Office Support - F&amp;A</v>
      </c>
      <c r="E501" s="12" t="s">
        <v>104</v>
      </c>
      <c r="F501" s="12" t="s">
        <v>122</v>
      </c>
      <c r="G501" s="12" t="s">
        <v>114</v>
      </c>
      <c r="H501" s="12" t="s">
        <v>1025</v>
      </c>
      <c r="I501" s="12" t="s">
        <v>1026</v>
      </c>
    </row>
    <row r="502" spans="1:9">
      <c r="A502" s="14">
        <v>40184</v>
      </c>
      <c r="B502" s="14" t="s">
        <v>679</v>
      </c>
      <c r="C502" s="12" t="s">
        <v>230</v>
      </c>
      <c r="D502" s="15" t="str">
        <f t="shared" si="7"/>
        <v>Bank_Axis_AssetOps - PRSP</v>
      </c>
      <c r="E502" s="12" t="s">
        <v>126</v>
      </c>
      <c r="F502" s="12" t="s">
        <v>163</v>
      </c>
      <c r="G502" s="12" t="s">
        <v>164</v>
      </c>
      <c r="H502" s="12" t="s">
        <v>1025</v>
      </c>
      <c r="I502" s="12" t="s">
        <v>1026</v>
      </c>
    </row>
    <row r="503" spans="1:9">
      <c r="A503" s="14">
        <v>40184</v>
      </c>
      <c r="B503" s="14" t="s">
        <v>679</v>
      </c>
      <c r="C503" s="12" t="s">
        <v>180</v>
      </c>
      <c r="D503" s="15" t="str">
        <f t="shared" si="7"/>
        <v>Bank_Axis_AssetOps - TMG</v>
      </c>
      <c r="E503" s="12" t="s">
        <v>126</v>
      </c>
      <c r="F503" s="12" t="s">
        <v>163</v>
      </c>
      <c r="G503" s="12" t="s">
        <v>164</v>
      </c>
      <c r="H503" s="12" t="s">
        <v>1025</v>
      </c>
      <c r="I503" s="12" t="s">
        <v>1026</v>
      </c>
    </row>
    <row r="504" spans="1:9">
      <c r="A504" s="14">
        <v>40184</v>
      </c>
      <c r="B504" s="14" t="s">
        <v>679</v>
      </c>
      <c r="C504" s="12" t="s">
        <v>185</v>
      </c>
      <c r="D504" s="15" t="str">
        <f t="shared" si="7"/>
        <v>Bank_Axis_AssetOps - TPS</v>
      </c>
      <c r="E504" s="12" t="s">
        <v>126</v>
      </c>
      <c r="F504" s="12" t="s">
        <v>163</v>
      </c>
      <c r="G504" s="12" t="s">
        <v>164</v>
      </c>
      <c r="H504" s="12" t="s">
        <v>1025</v>
      </c>
      <c r="I504" s="12" t="s">
        <v>1026</v>
      </c>
    </row>
    <row r="505" spans="1:9">
      <c r="A505" s="14">
        <v>93250</v>
      </c>
      <c r="B505" s="14" t="s">
        <v>959</v>
      </c>
      <c r="C505" s="12" t="s">
        <v>1022</v>
      </c>
      <c r="D505" s="15" t="str">
        <f t="shared" si="7"/>
        <v>Banking - MKG</v>
      </c>
      <c r="E505" s="12" t="s">
        <v>104</v>
      </c>
      <c r="F505" s="12" t="s">
        <v>163</v>
      </c>
      <c r="G505" s="12" t="s">
        <v>164</v>
      </c>
      <c r="H505" s="12" t="s">
        <v>1025</v>
      </c>
      <c r="I505" s="12" t="s">
        <v>1026</v>
      </c>
    </row>
    <row r="506" spans="1:9">
      <c r="A506" s="14">
        <v>93250</v>
      </c>
      <c r="B506" s="14" t="s">
        <v>959</v>
      </c>
      <c r="C506" s="12" t="s">
        <v>145</v>
      </c>
      <c r="D506" s="15" t="str">
        <f t="shared" si="7"/>
        <v>Banking - SUP</v>
      </c>
      <c r="E506" s="12" t="s">
        <v>104</v>
      </c>
      <c r="F506" s="12" t="s">
        <v>163</v>
      </c>
      <c r="G506" s="12" t="s">
        <v>164</v>
      </c>
      <c r="H506" s="12" t="s">
        <v>1025</v>
      </c>
      <c r="I506" s="12" t="s">
        <v>1026</v>
      </c>
    </row>
    <row r="507" spans="1:9">
      <c r="A507" s="14">
        <v>91322</v>
      </c>
      <c r="B507" s="14" t="s">
        <v>940</v>
      </c>
      <c r="C507" s="12" t="s">
        <v>150</v>
      </c>
      <c r="D507" s="15" t="str">
        <f t="shared" si="7"/>
        <v>Banking SD - CCS</v>
      </c>
      <c r="E507" s="12" t="s">
        <v>104</v>
      </c>
      <c r="F507" s="12" t="s">
        <v>980</v>
      </c>
      <c r="G507" s="12" t="s">
        <v>981</v>
      </c>
      <c r="H507" s="12" t="s">
        <v>1025</v>
      </c>
      <c r="I507" s="12" t="s">
        <v>1026</v>
      </c>
    </row>
    <row r="508" spans="1:9">
      <c r="A508" s="14">
        <v>91322</v>
      </c>
      <c r="B508" s="14" t="s">
        <v>940</v>
      </c>
      <c r="C508" s="12" t="s">
        <v>145</v>
      </c>
      <c r="D508" s="15" t="str">
        <f t="shared" si="7"/>
        <v>Banking SD - SUP</v>
      </c>
      <c r="E508" s="12" t="s">
        <v>104</v>
      </c>
      <c r="F508" s="12" t="s">
        <v>980</v>
      </c>
      <c r="G508" s="12" t="s">
        <v>981</v>
      </c>
      <c r="H508" s="12" t="s">
        <v>1025</v>
      </c>
      <c r="I508" s="12" t="s">
        <v>1026</v>
      </c>
    </row>
    <row r="509" spans="1:9">
      <c r="A509" s="14">
        <v>88010</v>
      </c>
      <c r="B509" s="14" t="s">
        <v>906</v>
      </c>
      <c r="C509" s="12" t="s">
        <v>185</v>
      </c>
      <c r="D509" s="15" t="str">
        <f t="shared" si="7"/>
        <v>Bankops Common - TPS</v>
      </c>
      <c r="E509" s="12" t="s">
        <v>126</v>
      </c>
      <c r="F509" s="12" t="s">
        <v>163</v>
      </c>
      <c r="G509" s="12" t="s">
        <v>164</v>
      </c>
      <c r="H509" s="12" t="s">
        <v>1025</v>
      </c>
      <c r="I509" s="12" t="s">
        <v>1026</v>
      </c>
    </row>
    <row r="510" spans="1:9">
      <c r="A510" s="14">
        <v>12029</v>
      </c>
      <c r="B510" s="14" t="s">
        <v>300</v>
      </c>
      <c r="C510" s="12" t="s">
        <v>185</v>
      </c>
      <c r="D510" s="15" t="str">
        <f t="shared" si="7"/>
        <v>BCBS-AZ SOW 2-Credentialling - TPS</v>
      </c>
      <c r="E510" s="12" t="s">
        <v>126</v>
      </c>
      <c r="F510" s="12" t="s">
        <v>163</v>
      </c>
      <c r="G510" s="12" t="s">
        <v>164</v>
      </c>
      <c r="H510" s="12" t="s">
        <v>1025</v>
      </c>
      <c r="I510" s="12" t="s">
        <v>1026</v>
      </c>
    </row>
    <row r="511" spans="1:9">
      <c r="A511" s="14">
        <v>95507</v>
      </c>
      <c r="B511" s="14" t="s">
        <v>998</v>
      </c>
      <c r="C511" s="12" t="s">
        <v>145</v>
      </c>
      <c r="D511" s="15" t="str">
        <f t="shared" si="7"/>
        <v>BCP/DR - SUP</v>
      </c>
      <c r="E511" s="12" t="s">
        <v>104</v>
      </c>
      <c r="F511" s="12" t="s">
        <v>263</v>
      </c>
      <c r="G511" s="12" t="s">
        <v>264</v>
      </c>
      <c r="H511" s="12" t="s">
        <v>1025</v>
      </c>
      <c r="I511" s="12" t="s">
        <v>1026</v>
      </c>
    </row>
    <row r="512" spans="1:9">
      <c r="A512" s="14">
        <v>93621</v>
      </c>
      <c r="B512" s="14" t="s">
        <v>302</v>
      </c>
      <c r="C512" s="12" t="s">
        <v>145</v>
      </c>
      <c r="D512" s="15" t="str">
        <f t="shared" si="7"/>
        <v>BD - Sales team/ Compensation - SUP</v>
      </c>
      <c r="E512" s="12" t="s">
        <v>104</v>
      </c>
      <c r="F512" s="12" t="s">
        <v>303</v>
      </c>
      <c r="G512" s="12" t="s">
        <v>114</v>
      </c>
      <c r="H512" s="12" t="s">
        <v>1025</v>
      </c>
      <c r="I512" s="12" t="s">
        <v>1026</v>
      </c>
    </row>
    <row r="513" spans="1:9">
      <c r="A513" s="14">
        <v>93032</v>
      </c>
      <c r="B513" s="14" t="s">
        <v>957</v>
      </c>
      <c r="C513" s="12" t="s">
        <v>145</v>
      </c>
      <c r="D513" s="15" t="str">
        <f t="shared" si="7"/>
        <v>BD Content Sales JC - SUP</v>
      </c>
      <c r="E513" s="12" t="s">
        <v>126</v>
      </c>
      <c r="F513" s="12" t="s">
        <v>163</v>
      </c>
      <c r="G513" s="12" t="s">
        <v>164</v>
      </c>
      <c r="H513" s="12" t="s">
        <v>1025</v>
      </c>
      <c r="I513" s="12" t="s">
        <v>1026</v>
      </c>
    </row>
    <row r="514" spans="1:9">
      <c r="A514" s="14">
        <v>93630</v>
      </c>
      <c r="B514" s="14" t="s">
        <v>966</v>
      </c>
      <c r="C514" s="12" t="s">
        <v>352</v>
      </c>
      <c r="D514" s="15" t="str">
        <f t="shared" ref="D514:D577" si="8">B514&amp;" - "&amp;C514</f>
        <v>BD Travel - EAT</v>
      </c>
      <c r="E514" s="12" t="s">
        <v>104</v>
      </c>
      <c r="F514" s="12" t="s">
        <v>303</v>
      </c>
      <c r="G514" s="12" t="s">
        <v>114</v>
      </c>
      <c r="H514" s="12" t="s">
        <v>1025</v>
      </c>
      <c r="I514" s="12" t="s">
        <v>1026</v>
      </c>
    </row>
    <row r="515" spans="1:9">
      <c r="A515" s="14">
        <v>93630</v>
      </c>
      <c r="B515" s="14" t="s">
        <v>966</v>
      </c>
      <c r="C515" s="12" t="s">
        <v>145</v>
      </c>
      <c r="D515" s="15" t="str">
        <f t="shared" si="8"/>
        <v>BD Travel - SUP</v>
      </c>
      <c r="E515" s="12" t="s">
        <v>104</v>
      </c>
      <c r="F515" s="12" t="s">
        <v>303</v>
      </c>
      <c r="G515" s="12" t="s">
        <v>114</v>
      </c>
      <c r="H515" s="12" t="s">
        <v>1025</v>
      </c>
      <c r="I515" s="12" t="s">
        <v>1026</v>
      </c>
    </row>
    <row r="516" spans="1:9">
      <c r="A516" s="14">
        <v>10852</v>
      </c>
      <c r="B516" s="14" t="s">
        <v>305</v>
      </c>
      <c r="C516" s="12" t="s">
        <v>306</v>
      </c>
      <c r="D516" s="15" t="str">
        <f t="shared" si="8"/>
        <v>Beachbody-DBS - FAO</v>
      </c>
      <c r="E516" s="12" t="s">
        <v>126</v>
      </c>
      <c r="F516" s="12" t="s">
        <v>122</v>
      </c>
      <c r="G516" s="12" t="s">
        <v>114</v>
      </c>
      <c r="H516" s="12" t="s">
        <v>1025</v>
      </c>
      <c r="I516" s="12" t="s">
        <v>1026</v>
      </c>
    </row>
    <row r="517" spans="1:9">
      <c r="A517" s="14">
        <v>12620</v>
      </c>
      <c r="B517" s="14" t="s">
        <v>308</v>
      </c>
      <c r="C517" s="12" t="s">
        <v>185</v>
      </c>
      <c r="D517" s="15" t="str">
        <f t="shared" si="8"/>
        <v>BedRock - Cred &amp; Enrollment - TPS</v>
      </c>
      <c r="E517" s="12" t="s">
        <v>126</v>
      </c>
      <c r="F517" s="12" t="s">
        <v>163</v>
      </c>
      <c r="G517" s="12" t="s">
        <v>164</v>
      </c>
      <c r="H517" s="12" t="s">
        <v>1025</v>
      </c>
      <c r="I517" s="12" t="s">
        <v>1026</v>
      </c>
    </row>
    <row r="518" spans="1:9">
      <c r="A518" s="14">
        <v>88156</v>
      </c>
      <c r="B518" s="14" t="s">
        <v>312</v>
      </c>
      <c r="C518" s="12" t="s">
        <v>116</v>
      </c>
      <c r="D518" s="15" t="str">
        <f t="shared" si="8"/>
        <v>Bench - New Business - DHES - PRD</v>
      </c>
      <c r="E518" s="12" t="s">
        <v>117</v>
      </c>
      <c r="F518" s="12" t="s">
        <v>117</v>
      </c>
      <c r="G518" s="12" t="s">
        <v>117</v>
      </c>
      <c r="H518" s="12" t="s">
        <v>1025</v>
      </c>
      <c r="I518" s="12" t="s">
        <v>1026</v>
      </c>
    </row>
    <row r="519" spans="1:9">
      <c r="A519" s="14">
        <v>88156</v>
      </c>
      <c r="B519" s="14" t="s">
        <v>312</v>
      </c>
      <c r="C519" s="12" t="s">
        <v>145</v>
      </c>
      <c r="D519" s="15" t="str">
        <f t="shared" si="8"/>
        <v>Bench - New Business - DHES - SUP</v>
      </c>
      <c r="E519" s="12" t="s">
        <v>117</v>
      </c>
      <c r="F519" s="12" t="s">
        <v>117</v>
      </c>
      <c r="G519" s="12" t="s">
        <v>117</v>
      </c>
      <c r="H519" s="12" t="s">
        <v>1025</v>
      </c>
      <c r="I519" s="12" t="s">
        <v>1026</v>
      </c>
    </row>
    <row r="520" spans="1:9">
      <c r="A520" s="14">
        <v>88156</v>
      </c>
      <c r="B520" s="14" t="s">
        <v>312</v>
      </c>
      <c r="C520" s="12" t="s">
        <v>185</v>
      </c>
      <c r="D520" s="15" t="str">
        <f t="shared" si="8"/>
        <v>Bench - New Business - DHES - TPS</v>
      </c>
      <c r="E520" s="12" t="s">
        <v>117</v>
      </c>
      <c r="F520" s="12" t="s">
        <v>117</v>
      </c>
      <c r="G520" s="12" t="s">
        <v>117</v>
      </c>
      <c r="H520" s="12" t="s">
        <v>1025</v>
      </c>
      <c r="I520" s="12" t="s">
        <v>1026</v>
      </c>
    </row>
    <row r="521" spans="1:9">
      <c r="A521" s="14">
        <v>10839</v>
      </c>
      <c r="B521" s="14" t="s">
        <v>423</v>
      </c>
      <c r="C521" s="12" t="s">
        <v>431</v>
      </c>
      <c r="D521" s="15" t="str">
        <f t="shared" si="8"/>
        <v>Beyond Risk Insurance - AGA</v>
      </c>
      <c r="E521" s="12" t="s">
        <v>126</v>
      </c>
      <c r="F521" s="12" t="s">
        <v>163</v>
      </c>
      <c r="G521" s="12" t="s">
        <v>164</v>
      </c>
      <c r="H521" s="12" t="s">
        <v>1025</v>
      </c>
      <c r="I521" s="12" t="s">
        <v>1026</v>
      </c>
    </row>
    <row r="522" spans="1:9">
      <c r="A522" s="14">
        <v>10839</v>
      </c>
      <c r="B522" s="14" t="s">
        <v>423</v>
      </c>
      <c r="C522" s="12" t="s">
        <v>719</v>
      </c>
      <c r="D522" s="15" t="str">
        <f t="shared" si="8"/>
        <v>Beyond Risk Insurance - AGB</v>
      </c>
      <c r="E522" s="12" t="s">
        <v>126</v>
      </c>
      <c r="F522" s="12" t="s">
        <v>163</v>
      </c>
      <c r="G522" s="12" t="s">
        <v>164</v>
      </c>
      <c r="H522" s="12" t="s">
        <v>1025</v>
      </c>
      <c r="I522" s="12" t="s">
        <v>1026</v>
      </c>
    </row>
    <row r="523" spans="1:9">
      <c r="A523" s="14">
        <v>10839</v>
      </c>
      <c r="B523" s="14" t="s">
        <v>423</v>
      </c>
      <c r="C523" s="12" t="s">
        <v>196</v>
      </c>
      <c r="D523" s="15" t="str">
        <f t="shared" si="8"/>
        <v>Beyond Risk Insurance - SUT</v>
      </c>
      <c r="E523" s="12" t="s">
        <v>126</v>
      </c>
      <c r="F523" s="12" t="s">
        <v>163</v>
      </c>
      <c r="G523" s="12" t="s">
        <v>164</v>
      </c>
      <c r="H523" s="12" t="s">
        <v>1025</v>
      </c>
      <c r="I523" s="12" t="s">
        <v>1026</v>
      </c>
    </row>
    <row r="524" spans="1:9">
      <c r="A524" s="14">
        <v>93584</v>
      </c>
      <c r="B524" s="14" t="s">
        <v>961</v>
      </c>
      <c r="C524" s="12" t="s">
        <v>129</v>
      </c>
      <c r="D524" s="15" t="str">
        <f t="shared" si="8"/>
        <v>BFSI_Sales_Investment - MGT</v>
      </c>
      <c r="E524" s="12" t="s">
        <v>104</v>
      </c>
      <c r="F524" s="12" t="s">
        <v>980</v>
      </c>
      <c r="G524" s="12" t="s">
        <v>981</v>
      </c>
      <c r="H524" s="12" t="s">
        <v>1025</v>
      </c>
      <c r="I524" s="12" t="s">
        <v>1026</v>
      </c>
    </row>
    <row r="525" spans="1:9">
      <c r="A525" s="14">
        <v>51072</v>
      </c>
      <c r="B525" s="14" t="s">
        <v>697</v>
      </c>
      <c r="C525" s="12" t="s">
        <v>116</v>
      </c>
      <c r="D525" s="15" t="str">
        <f t="shared" si="8"/>
        <v>BHM-2111-2411-Cloudtestr-QEC - PRD</v>
      </c>
      <c r="E525" s="12" t="s">
        <v>117</v>
      </c>
      <c r="F525" s="12" t="s">
        <v>117</v>
      </c>
      <c r="G525" s="12" t="s">
        <v>117</v>
      </c>
      <c r="H525" s="12" t="s">
        <v>1025</v>
      </c>
      <c r="I525" s="12" t="s">
        <v>1026</v>
      </c>
    </row>
    <row r="526" spans="1:9">
      <c r="A526" s="14">
        <v>10694</v>
      </c>
      <c r="B526" s="14" t="s">
        <v>314</v>
      </c>
      <c r="C526" s="12" t="s">
        <v>185</v>
      </c>
      <c r="D526" s="15" t="str">
        <f t="shared" si="8"/>
        <v>BIDT Audit for NACIL - TPS</v>
      </c>
      <c r="E526" s="12" t="s">
        <v>126</v>
      </c>
      <c r="F526" s="12" t="s">
        <v>163</v>
      </c>
      <c r="G526" s="12" t="s">
        <v>164</v>
      </c>
      <c r="H526" s="12" t="s">
        <v>1025</v>
      </c>
      <c r="I526" s="12" t="s">
        <v>1026</v>
      </c>
    </row>
    <row r="527" spans="1:9">
      <c r="A527" s="14">
        <v>10489</v>
      </c>
      <c r="B527" s="14" t="s">
        <v>247</v>
      </c>
      <c r="C527" s="12" t="s">
        <v>138</v>
      </c>
      <c r="D527" s="15" t="str">
        <f t="shared" si="8"/>
        <v>Blackboard - AP_India - BOS</v>
      </c>
      <c r="E527" s="12" t="s">
        <v>126</v>
      </c>
      <c r="F527" s="12" t="s">
        <v>163</v>
      </c>
      <c r="G527" s="12" t="s">
        <v>164</v>
      </c>
      <c r="H527" s="12" t="s">
        <v>1025</v>
      </c>
      <c r="I527" s="12" t="s">
        <v>1026</v>
      </c>
    </row>
    <row r="528" spans="1:9">
      <c r="A528" s="14">
        <v>10489</v>
      </c>
      <c r="B528" s="14" t="s">
        <v>247</v>
      </c>
      <c r="C528" s="12" t="s">
        <v>306</v>
      </c>
      <c r="D528" s="15" t="str">
        <f t="shared" si="8"/>
        <v>Blackboard - AP_India - FAO</v>
      </c>
      <c r="E528" s="12" t="s">
        <v>126</v>
      </c>
      <c r="F528" s="12" t="s">
        <v>163</v>
      </c>
      <c r="G528" s="12" t="s">
        <v>164</v>
      </c>
      <c r="H528" s="12" t="s">
        <v>1025</v>
      </c>
      <c r="I528" s="12" t="s">
        <v>1026</v>
      </c>
    </row>
    <row r="529" spans="1:9">
      <c r="A529" s="14">
        <v>10489</v>
      </c>
      <c r="B529" s="14" t="s">
        <v>247</v>
      </c>
      <c r="C529" s="12" t="s">
        <v>145</v>
      </c>
      <c r="D529" s="15" t="str">
        <f t="shared" si="8"/>
        <v>Blackboard - AP_India - SUP</v>
      </c>
      <c r="E529" s="12" t="s">
        <v>126</v>
      </c>
      <c r="F529" s="12" t="s">
        <v>163</v>
      </c>
      <c r="G529" s="12" t="s">
        <v>164</v>
      </c>
      <c r="H529" s="12" t="s">
        <v>1025</v>
      </c>
      <c r="I529" s="12" t="s">
        <v>1026</v>
      </c>
    </row>
    <row r="530" spans="1:9">
      <c r="A530" s="14">
        <v>10489</v>
      </c>
      <c r="B530" s="14" t="s">
        <v>247</v>
      </c>
      <c r="C530" s="12" t="s">
        <v>180</v>
      </c>
      <c r="D530" s="15" t="str">
        <f t="shared" si="8"/>
        <v>Blackboard - AP_India - TMG</v>
      </c>
      <c r="E530" s="12" t="s">
        <v>126</v>
      </c>
      <c r="F530" s="12" t="s">
        <v>163</v>
      </c>
      <c r="G530" s="12" t="s">
        <v>164</v>
      </c>
      <c r="H530" s="12" t="s">
        <v>1025</v>
      </c>
      <c r="I530" s="12" t="s">
        <v>1026</v>
      </c>
    </row>
    <row r="531" spans="1:9">
      <c r="A531" s="14">
        <v>10489</v>
      </c>
      <c r="B531" s="14" t="s">
        <v>247</v>
      </c>
      <c r="C531" s="12" t="s">
        <v>185</v>
      </c>
      <c r="D531" s="15" t="str">
        <f t="shared" si="8"/>
        <v>Blackboard - AP_India - TPS</v>
      </c>
      <c r="E531" s="12" t="s">
        <v>126</v>
      </c>
      <c r="F531" s="12" t="s">
        <v>163</v>
      </c>
      <c r="G531" s="12" t="s">
        <v>164</v>
      </c>
      <c r="H531" s="12" t="s">
        <v>1025</v>
      </c>
      <c r="I531" s="12" t="s">
        <v>1026</v>
      </c>
    </row>
    <row r="532" spans="1:9">
      <c r="A532" s="14">
        <v>51074</v>
      </c>
      <c r="B532" s="14" t="s">
        <v>698</v>
      </c>
      <c r="C532" s="12" t="s">
        <v>145</v>
      </c>
      <c r="D532" s="15" t="str">
        <f t="shared" si="8"/>
        <v>Blackstone-OracleCloudInfrastr - SUP</v>
      </c>
      <c r="E532" s="12" t="s">
        <v>117</v>
      </c>
      <c r="F532" s="12" t="s">
        <v>117</v>
      </c>
      <c r="G532" s="12" t="s">
        <v>117</v>
      </c>
      <c r="H532" s="12" t="s">
        <v>1025</v>
      </c>
      <c r="I532" s="12" t="s">
        <v>1026</v>
      </c>
    </row>
    <row r="533" spans="1:9">
      <c r="A533" s="14">
        <v>88046</v>
      </c>
      <c r="B533" s="14" t="s">
        <v>318</v>
      </c>
      <c r="C533" s="12" t="s">
        <v>121</v>
      </c>
      <c r="D533" s="15" t="str">
        <f t="shared" si="8"/>
        <v>BPT – SD Support - F&amp;A</v>
      </c>
      <c r="E533" s="12" t="s">
        <v>126</v>
      </c>
      <c r="F533" s="12" t="s">
        <v>122</v>
      </c>
      <c r="G533" s="12" t="s">
        <v>114</v>
      </c>
      <c r="H533" s="12" t="s">
        <v>1025</v>
      </c>
      <c r="I533" s="12" t="s">
        <v>1026</v>
      </c>
    </row>
    <row r="534" spans="1:9">
      <c r="A534" s="14">
        <v>88046</v>
      </c>
      <c r="B534" s="14" t="s">
        <v>318</v>
      </c>
      <c r="C534" s="12" t="s">
        <v>306</v>
      </c>
      <c r="D534" s="15" t="str">
        <f t="shared" si="8"/>
        <v>BPT – SD Support - FAO</v>
      </c>
      <c r="E534" s="12" t="s">
        <v>126</v>
      </c>
      <c r="F534" s="12" t="s">
        <v>163</v>
      </c>
      <c r="G534" s="12" t="s">
        <v>164</v>
      </c>
      <c r="H534" s="12" t="s">
        <v>1025</v>
      </c>
      <c r="I534" s="12" t="s">
        <v>1026</v>
      </c>
    </row>
    <row r="535" spans="1:9">
      <c r="A535" s="14">
        <v>88046</v>
      </c>
      <c r="B535" s="14" t="s">
        <v>318</v>
      </c>
      <c r="C535" s="12" t="s">
        <v>556</v>
      </c>
      <c r="D535" s="15" t="str">
        <f t="shared" si="8"/>
        <v>BPT – SD Support - HRD</v>
      </c>
      <c r="E535" s="12" t="s">
        <v>126</v>
      </c>
      <c r="F535" s="12" t="s">
        <v>636</v>
      </c>
      <c r="G535" s="12" t="s">
        <v>114</v>
      </c>
      <c r="H535" s="12" t="s">
        <v>1025</v>
      </c>
      <c r="I535" s="12" t="s">
        <v>1026</v>
      </c>
    </row>
    <row r="536" spans="1:9">
      <c r="A536" s="14">
        <v>88046</v>
      </c>
      <c r="B536" s="14" t="s">
        <v>318</v>
      </c>
      <c r="C536" s="12" t="s">
        <v>129</v>
      </c>
      <c r="D536" s="15" t="str">
        <f t="shared" si="8"/>
        <v>BPT – SD Support - MGT</v>
      </c>
      <c r="E536" s="12" t="s">
        <v>126</v>
      </c>
      <c r="F536" s="12" t="s">
        <v>163</v>
      </c>
      <c r="G536" s="12" t="s">
        <v>164</v>
      </c>
      <c r="H536" s="12" t="s">
        <v>1025</v>
      </c>
      <c r="I536" s="12" t="s">
        <v>1026</v>
      </c>
    </row>
    <row r="537" spans="1:9">
      <c r="A537" s="14">
        <v>88046</v>
      </c>
      <c r="B537" s="14" t="s">
        <v>318</v>
      </c>
      <c r="C537" s="12" t="s">
        <v>578</v>
      </c>
      <c r="D537" s="15" t="str">
        <f t="shared" si="8"/>
        <v>BPT – SD Support - PQM</v>
      </c>
      <c r="E537" s="12" t="s">
        <v>126</v>
      </c>
      <c r="F537" s="12" t="s">
        <v>1023</v>
      </c>
      <c r="G537" s="12" t="s">
        <v>114</v>
      </c>
      <c r="H537" s="12" t="s">
        <v>1025</v>
      </c>
      <c r="I537" s="12" t="s">
        <v>1026</v>
      </c>
    </row>
    <row r="538" spans="1:9">
      <c r="A538" s="14">
        <v>88046</v>
      </c>
      <c r="B538" s="14" t="s">
        <v>318</v>
      </c>
      <c r="C538" s="12" t="s">
        <v>116</v>
      </c>
      <c r="D538" s="15" t="str">
        <f t="shared" si="8"/>
        <v>BPT – SD Support - PRD</v>
      </c>
      <c r="E538" s="12" t="s">
        <v>126</v>
      </c>
      <c r="F538" s="12" t="s">
        <v>163</v>
      </c>
      <c r="G538" s="12" t="s">
        <v>164</v>
      </c>
      <c r="H538" s="12" t="s">
        <v>1025</v>
      </c>
      <c r="I538" s="12" t="s">
        <v>1026</v>
      </c>
    </row>
    <row r="539" spans="1:9">
      <c r="A539" s="14">
        <v>88046</v>
      </c>
      <c r="B539" s="14" t="s">
        <v>318</v>
      </c>
      <c r="C539" s="12" t="s">
        <v>111</v>
      </c>
      <c r="D539" s="15" t="str">
        <f t="shared" si="8"/>
        <v>BPT – SD Support - QLY</v>
      </c>
      <c r="E539" s="12" t="s">
        <v>112</v>
      </c>
      <c r="F539" s="12" t="s">
        <v>113</v>
      </c>
      <c r="G539" s="12" t="s">
        <v>114</v>
      </c>
      <c r="H539" s="12" t="s">
        <v>1025</v>
      </c>
      <c r="I539" s="12" t="s">
        <v>1026</v>
      </c>
    </row>
    <row r="540" spans="1:9">
      <c r="A540" s="14">
        <v>88046</v>
      </c>
      <c r="B540" s="14" t="s">
        <v>318</v>
      </c>
      <c r="C540" s="12" t="s">
        <v>451</v>
      </c>
      <c r="D540" s="15" t="str">
        <f t="shared" si="8"/>
        <v>BPT – SD Support - SLS</v>
      </c>
      <c r="E540" s="12" t="s">
        <v>126</v>
      </c>
      <c r="F540" s="12" t="s">
        <v>163</v>
      </c>
      <c r="G540" s="12" t="s">
        <v>164</v>
      </c>
      <c r="H540" s="12" t="s">
        <v>1025</v>
      </c>
      <c r="I540" s="12" t="s">
        <v>1026</v>
      </c>
    </row>
    <row r="541" spans="1:9">
      <c r="A541" s="14">
        <v>88046</v>
      </c>
      <c r="B541" s="14" t="s">
        <v>318</v>
      </c>
      <c r="C541" s="12" t="s">
        <v>145</v>
      </c>
      <c r="D541" s="15" t="str">
        <f t="shared" si="8"/>
        <v>BPT – SD Support - SUP</v>
      </c>
      <c r="E541" s="12" t="s">
        <v>126</v>
      </c>
      <c r="F541" s="12" t="s">
        <v>163</v>
      </c>
      <c r="G541" s="12" t="s">
        <v>164</v>
      </c>
      <c r="H541" s="12" t="s">
        <v>1025</v>
      </c>
      <c r="I541" s="12" t="s">
        <v>1026</v>
      </c>
    </row>
    <row r="542" spans="1:9">
      <c r="A542" s="14">
        <v>88046</v>
      </c>
      <c r="B542" s="14" t="s">
        <v>318</v>
      </c>
      <c r="C542" s="12" t="s">
        <v>185</v>
      </c>
      <c r="D542" s="15" t="str">
        <f t="shared" si="8"/>
        <v>BPT – SD Support - TPS</v>
      </c>
      <c r="E542" s="12" t="s">
        <v>126</v>
      </c>
      <c r="F542" s="12" t="s">
        <v>163</v>
      </c>
      <c r="G542" s="12" t="s">
        <v>164</v>
      </c>
      <c r="H542" s="12" t="s">
        <v>1025</v>
      </c>
      <c r="I542" s="12" t="s">
        <v>1026</v>
      </c>
    </row>
    <row r="543" spans="1:9">
      <c r="A543" s="14">
        <v>88046</v>
      </c>
      <c r="B543" s="14" t="s">
        <v>318</v>
      </c>
      <c r="C543" s="12" t="s">
        <v>203</v>
      </c>
      <c r="D543" s="15" t="str">
        <f t="shared" si="8"/>
        <v>BPT – SD Support - TRG</v>
      </c>
      <c r="E543" s="12" t="s">
        <v>112</v>
      </c>
      <c r="F543" s="12" t="s">
        <v>204</v>
      </c>
      <c r="G543" s="12" t="s">
        <v>205</v>
      </c>
      <c r="H543" s="12" t="s">
        <v>1025</v>
      </c>
      <c r="I543" s="12" t="s">
        <v>1026</v>
      </c>
    </row>
    <row r="544" spans="1:9">
      <c r="A544" s="14">
        <v>10828</v>
      </c>
      <c r="B544" s="14" t="s">
        <v>413</v>
      </c>
      <c r="C544" s="12" t="s">
        <v>138</v>
      </c>
      <c r="D544" s="15" t="str">
        <f t="shared" si="8"/>
        <v>Bridgecrest FAO - BOS</v>
      </c>
      <c r="E544" s="12" t="s">
        <v>126</v>
      </c>
      <c r="F544" s="12" t="s">
        <v>163</v>
      </c>
      <c r="G544" s="12" t="s">
        <v>164</v>
      </c>
      <c r="H544" s="12" t="s">
        <v>1025</v>
      </c>
      <c r="I544" s="12" t="s">
        <v>1026</v>
      </c>
    </row>
    <row r="545" spans="1:9">
      <c r="A545" s="14">
        <v>10828</v>
      </c>
      <c r="B545" s="14" t="s">
        <v>413</v>
      </c>
      <c r="C545" s="12" t="s">
        <v>306</v>
      </c>
      <c r="D545" s="15" t="str">
        <f t="shared" si="8"/>
        <v>Bridgecrest FAO - FAO</v>
      </c>
      <c r="E545" s="12" t="s">
        <v>126</v>
      </c>
      <c r="F545" s="12" t="s">
        <v>163</v>
      </c>
      <c r="G545" s="12" t="s">
        <v>164</v>
      </c>
      <c r="H545" s="12" t="s">
        <v>1025</v>
      </c>
      <c r="I545" s="12" t="s">
        <v>1026</v>
      </c>
    </row>
    <row r="546" spans="1:9">
      <c r="A546" s="14">
        <v>10828</v>
      </c>
      <c r="B546" s="14" t="s">
        <v>413</v>
      </c>
      <c r="C546" s="12" t="s">
        <v>145</v>
      </c>
      <c r="D546" s="15" t="str">
        <f t="shared" si="8"/>
        <v>Bridgecrest FAO - SUP</v>
      </c>
      <c r="E546" s="12" t="s">
        <v>126</v>
      </c>
      <c r="F546" s="12" t="s">
        <v>163</v>
      </c>
      <c r="G546" s="12" t="s">
        <v>164</v>
      </c>
      <c r="H546" s="12" t="s">
        <v>1025</v>
      </c>
      <c r="I546" s="12" t="s">
        <v>1026</v>
      </c>
    </row>
    <row r="547" spans="1:9">
      <c r="A547" s="14">
        <v>10828</v>
      </c>
      <c r="B547" s="14" t="s">
        <v>413</v>
      </c>
      <c r="C547" s="12" t="s">
        <v>185</v>
      </c>
      <c r="D547" s="15" t="str">
        <f t="shared" si="8"/>
        <v>Bridgecrest FAO - TPS</v>
      </c>
      <c r="E547" s="12" t="s">
        <v>126</v>
      </c>
      <c r="F547" s="12" t="s">
        <v>163</v>
      </c>
      <c r="G547" s="12" t="s">
        <v>164</v>
      </c>
      <c r="H547" s="12" t="s">
        <v>1025</v>
      </c>
      <c r="I547" s="12" t="s">
        <v>1026</v>
      </c>
    </row>
    <row r="548" spans="1:9">
      <c r="A548" s="14">
        <v>10917</v>
      </c>
      <c r="B548" s="14" t="s">
        <v>463</v>
      </c>
      <c r="C548" s="12" t="s">
        <v>185</v>
      </c>
      <c r="D548" s="15" t="str">
        <f t="shared" si="8"/>
        <v>Bridgecrest Legal n Compliance - TPS</v>
      </c>
      <c r="E548" s="12" t="s">
        <v>126</v>
      </c>
      <c r="F548" s="12" t="s">
        <v>163</v>
      </c>
      <c r="G548" s="12" t="s">
        <v>164</v>
      </c>
      <c r="H548" s="12" t="s">
        <v>1025</v>
      </c>
      <c r="I548" s="12" t="s">
        <v>1026</v>
      </c>
    </row>
    <row r="549" spans="1:9">
      <c r="A549" s="14">
        <v>87100</v>
      </c>
      <c r="B549" s="14" t="s">
        <v>322</v>
      </c>
      <c r="C549" s="12" t="s">
        <v>139</v>
      </c>
      <c r="D549" s="15" t="str">
        <f t="shared" si="8"/>
        <v>BTS COMMON JC_93605 - SMGT</v>
      </c>
      <c r="E549" s="12" t="s">
        <v>104</v>
      </c>
      <c r="F549" s="12" t="s">
        <v>323</v>
      </c>
      <c r="G549" s="12" t="s">
        <v>114</v>
      </c>
      <c r="H549" s="12" t="s">
        <v>1025</v>
      </c>
      <c r="I549" s="12" t="s">
        <v>1026</v>
      </c>
    </row>
    <row r="550" spans="1:9">
      <c r="A550" s="14">
        <v>87100</v>
      </c>
      <c r="B550" s="14" t="s">
        <v>322</v>
      </c>
      <c r="C550" s="12" t="s">
        <v>145</v>
      </c>
      <c r="D550" s="15" t="str">
        <f t="shared" si="8"/>
        <v>BTS COMMON JC_93605 - SUP</v>
      </c>
      <c r="E550" s="12" t="s">
        <v>104</v>
      </c>
      <c r="F550" s="12" t="s">
        <v>323</v>
      </c>
      <c r="G550" s="12" t="s">
        <v>114</v>
      </c>
      <c r="H550" s="12" t="s">
        <v>1025</v>
      </c>
      <c r="I550" s="12" t="s">
        <v>1026</v>
      </c>
    </row>
    <row r="551" spans="1:9">
      <c r="A551" s="14">
        <v>93601</v>
      </c>
      <c r="B551" s="14" t="s">
        <v>964</v>
      </c>
      <c r="C551" s="12" t="s">
        <v>133</v>
      </c>
      <c r="D551" s="15" t="str">
        <f t="shared" si="8"/>
        <v>Business &amp; Financial Research - AMG</v>
      </c>
      <c r="E551" s="12" t="s">
        <v>126</v>
      </c>
      <c r="F551" s="12" t="s">
        <v>184</v>
      </c>
      <c r="G551" s="12" t="s">
        <v>184</v>
      </c>
      <c r="H551" s="12" t="s">
        <v>1025</v>
      </c>
      <c r="I551" s="12" t="s">
        <v>1026</v>
      </c>
    </row>
    <row r="552" spans="1:9">
      <c r="A552" s="14">
        <v>93601</v>
      </c>
      <c r="B552" s="14" t="s">
        <v>964</v>
      </c>
      <c r="C552" s="12" t="s">
        <v>835</v>
      </c>
      <c r="D552" s="15" t="str">
        <f t="shared" si="8"/>
        <v>Business &amp; Financial Research - BTG</v>
      </c>
      <c r="E552" s="12" t="s">
        <v>126</v>
      </c>
      <c r="F552" s="12" t="s">
        <v>184</v>
      </c>
      <c r="G552" s="12" t="s">
        <v>184</v>
      </c>
      <c r="H552" s="12" t="s">
        <v>1025</v>
      </c>
      <c r="I552" s="12" t="s">
        <v>1026</v>
      </c>
    </row>
    <row r="553" spans="1:9">
      <c r="A553" s="14">
        <v>93601</v>
      </c>
      <c r="B553" s="14" t="s">
        <v>964</v>
      </c>
      <c r="C553" s="12" t="s">
        <v>1020</v>
      </c>
      <c r="D553" s="15" t="str">
        <f t="shared" si="8"/>
        <v>Business &amp; Financial Research - CNS</v>
      </c>
      <c r="E553" s="12" t="s">
        <v>126</v>
      </c>
      <c r="F553" s="12" t="s">
        <v>184</v>
      </c>
      <c r="G553" s="12" t="s">
        <v>184</v>
      </c>
      <c r="H553" s="12" t="s">
        <v>1025</v>
      </c>
      <c r="I553" s="12" t="s">
        <v>1026</v>
      </c>
    </row>
    <row r="554" spans="1:9">
      <c r="A554" s="14">
        <v>93601</v>
      </c>
      <c r="B554" s="14" t="s">
        <v>964</v>
      </c>
      <c r="C554" s="12" t="s">
        <v>352</v>
      </c>
      <c r="D554" s="15" t="str">
        <f t="shared" si="8"/>
        <v>Business &amp; Financial Research - EAT</v>
      </c>
      <c r="E554" s="12" t="s">
        <v>126</v>
      </c>
      <c r="F554" s="12" t="s">
        <v>184</v>
      </c>
      <c r="G554" s="12" t="s">
        <v>184</v>
      </c>
      <c r="H554" s="12" t="s">
        <v>1025</v>
      </c>
      <c r="I554" s="12" t="s">
        <v>1026</v>
      </c>
    </row>
    <row r="555" spans="1:9">
      <c r="A555" s="14">
        <v>93601</v>
      </c>
      <c r="B555" s="14" t="s">
        <v>964</v>
      </c>
      <c r="C555" s="12" t="s">
        <v>1022</v>
      </c>
      <c r="D555" s="15" t="str">
        <f t="shared" si="8"/>
        <v>Business &amp; Financial Research - MKG</v>
      </c>
      <c r="E555" s="12" t="s">
        <v>126</v>
      </c>
      <c r="F555" s="12" t="s">
        <v>184</v>
      </c>
      <c r="G555" s="12" t="s">
        <v>184</v>
      </c>
      <c r="H555" s="12" t="s">
        <v>1025</v>
      </c>
      <c r="I555" s="12" t="s">
        <v>1026</v>
      </c>
    </row>
    <row r="556" spans="1:9">
      <c r="A556" s="14">
        <v>93601</v>
      </c>
      <c r="B556" s="14" t="s">
        <v>964</v>
      </c>
      <c r="C556" s="12" t="s">
        <v>116</v>
      </c>
      <c r="D556" s="15" t="str">
        <f t="shared" si="8"/>
        <v>Business &amp; Financial Research - PRD</v>
      </c>
      <c r="E556" s="12" t="s">
        <v>126</v>
      </c>
      <c r="F556" s="12" t="s">
        <v>184</v>
      </c>
      <c r="G556" s="12" t="s">
        <v>184</v>
      </c>
      <c r="H556" s="12" t="s">
        <v>1025</v>
      </c>
      <c r="I556" s="12" t="s">
        <v>1026</v>
      </c>
    </row>
    <row r="557" spans="1:9">
      <c r="A557" s="14">
        <v>93601</v>
      </c>
      <c r="B557" s="14" t="s">
        <v>964</v>
      </c>
      <c r="C557" s="12" t="s">
        <v>510</v>
      </c>
      <c r="D557" s="15" t="str">
        <f t="shared" si="8"/>
        <v>Business &amp; Financial Research - RST</v>
      </c>
      <c r="E557" s="12" t="s">
        <v>126</v>
      </c>
      <c r="F557" s="12" t="s">
        <v>184</v>
      </c>
      <c r="G557" s="12" t="s">
        <v>184</v>
      </c>
      <c r="H557" s="12" t="s">
        <v>1025</v>
      </c>
      <c r="I557" s="12" t="s">
        <v>1026</v>
      </c>
    </row>
    <row r="558" spans="1:9">
      <c r="A558" s="14">
        <v>93601</v>
      </c>
      <c r="B558" s="14" t="s">
        <v>964</v>
      </c>
      <c r="C558" s="12" t="s">
        <v>145</v>
      </c>
      <c r="D558" s="15" t="str">
        <f t="shared" si="8"/>
        <v>Business &amp; Financial Research - SUP</v>
      </c>
      <c r="E558" s="12" t="s">
        <v>126</v>
      </c>
      <c r="F558" s="12" t="s">
        <v>184</v>
      </c>
      <c r="G558" s="12" t="s">
        <v>184</v>
      </c>
      <c r="H558" s="12" t="s">
        <v>1025</v>
      </c>
      <c r="I558" s="12" t="s">
        <v>1026</v>
      </c>
    </row>
    <row r="559" spans="1:9">
      <c r="A559" s="14">
        <v>93601</v>
      </c>
      <c r="B559" s="14" t="s">
        <v>964</v>
      </c>
      <c r="C559" s="12" t="s">
        <v>180</v>
      </c>
      <c r="D559" s="15" t="str">
        <f t="shared" si="8"/>
        <v>Business &amp; Financial Research - TMG</v>
      </c>
      <c r="E559" s="12" t="s">
        <v>126</v>
      </c>
      <c r="F559" s="12" t="s">
        <v>184</v>
      </c>
      <c r="G559" s="12" t="s">
        <v>184</v>
      </c>
      <c r="H559" s="12" t="s">
        <v>1025</v>
      </c>
      <c r="I559" s="12" t="s">
        <v>1026</v>
      </c>
    </row>
    <row r="560" spans="1:9">
      <c r="A560" s="14">
        <v>96120</v>
      </c>
      <c r="B560" s="14" t="s">
        <v>325</v>
      </c>
      <c r="C560" s="12" t="s">
        <v>139</v>
      </c>
      <c r="D560" s="15" t="str">
        <f t="shared" si="8"/>
        <v>Business Contracting - SMGT</v>
      </c>
      <c r="E560" s="12" t="s">
        <v>104</v>
      </c>
      <c r="F560" s="12" t="s">
        <v>326</v>
      </c>
      <c r="G560" s="12" t="s">
        <v>114</v>
      </c>
      <c r="H560" s="12" t="s">
        <v>1025</v>
      </c>
      <c r="I560" s="12" t="s">
        <v>1026</v>
      </c>
    </row>
    <row r="561" spans="1:9">
      <c r="A561" s="14">
        <v>96120</v>
      </c>
      <c r="B561" s="14" t="s">
        <v>325</v>
      </c>
      <c r="C561" s="12" t="s">
        <v>145</v>
      </c>
      <c r="D561" s="15" t="str">
        <f t="shared" si="8"/>
        <v>Business Contracting - SUP</v>
      </c>
      <c r="E561" s="12" t="s">
        <v>104</v>
      </c>
      <c r="F561" s="12" t="s">
        <v>326</v>
      </c>
      <c r="G561" s="12" t="s">
        <v>114</v>
      </c>
      <c r="H561" s="12" t="s">
        <v>1025</v>
      </c>
      <c r="I561" s="12" t="s">
        <v>1026</v>
      </c>
    </row>
    <row r="562" spans="1:9">
      <c r="A562" s="14">
        <v>93000</v>
      </c>
      <c r="B562" s="14" t="s">
        <v>303</v>
      </c>
      <c r="C562" s="12" t="s">
        <v>129</v>
      </c>
      <c r="D562" s="15" t="str">
        <f t="shared" si="8"/>
        <v>Business Development - MGT</v>
      </c>
      <c r="E562" s="12" t="s">
        <v>104</v>
      </c>
      <c r="F562" s="12" t="s">
        <v>303</v>
      </c>
      <c r="G562" s="12" t="s">
        <v>114</v>
      </c>
      <c r="H562" s="12" t="s">
        <v>1025</v>
      </c>
      <c r="I562" s="12" t="s">
        <v>1026</v>
      </c>
    </row>
    <row r="563" spans="1:9">
      <c r="A563" s="14">
        <v>93000</v>
      </c>
      <c r="B563" s="14" t="s">
        <v>303</v>
      </c>
      <c r="C563" s="12" t="s">
        <v>145</v>
      </c>
      <c r="D563" s="15" t="str">
        <f t="shared" si="8"/>
        <v>Business Development - SUP</v>
      </c>
      <c r="E563" s="12" t="s">
        <v>104</v>
      </c>
      <c r="F563" s="12" t="s">
        <v>303</v>
      </c>
      <c r="G563" s="12" t="s">
        <v>114</v>
      </c>
      <c r="H563" s="12" t="s">
        <v>1025</v>
      </c>
      <c r="I563" s="12" t="s">
        <v>1026</v>
      </c>
    </row>
    <row r="564" spans="1:9">
      <c r="A564" s="14">
        <v>12345</v>
      </c>
      <c r="B564" s="14" t="s">
        <v>329</v>
      </c>
      <c r="C564" s="12" t="s">
        <v>177</v>
      </c>
      <c r="D564" s="15" t="str">
        <f t="shared" si="8"/>
        <v>California Dept of Public Heal - OPS</v>
      </c>
      <c r="E564" s="12" t="s">
        <v>126</v>
      </c>
      <c r="F564" s="12" t="s">
        <v>163</v>
      </c>
      <c r="G564" s="12" t="s">
        <v>164</v>
      </c>
      <c r="H564" s="12" t="s">
        <v>1025</v>
      </c>
      <c r="I564" s="12" t="s">
        <v>1026</v>
      </c>
    </row>
    <row r="565" spans="1:9">
      <c r="A565" s="14">
        <v>12345</v>
      </c>
      <c r="B565" s="14" t="s">
        <v>329</v>
      </c>
      <c r="C565" s="12" t="s">
        <v>116</v>
      </c>
      <c r="D565" s="15" t="str">
        <f t="shared" si="8"/>
        <v>California Dept of Public Heal - PRD</v>
      </c>
      <c r="E565" s="12" t="s">
        <v>126</v>
      </c>
      <c r="F565" s="12" t="s">
        <v>163</v>
      </c>
      <c r="G565" s="12" t="s">
        <v>164</v>
      </c>
      <c r="H565" s="12" t="s">
        <v>1025</v>
      </c>
      <c r="I565" s="12" t="s">
        <v>1026</v>
      </c>
    </row>
    <row r="566" spans="1:9">
      <c r="A566" s="14">
        <v>12345</v>
      </c>
      <c r="B566" s="14" t="s">
        <v>329</v>
      </c>
      <c r="C566" s="12" t="s">
        <v>332</v>
      </c>
      <c r="D566" s="15" t="str">
        <f t="shared" si="8"/>
        <v>California Dept of Public Heal - RCF</v>
      </c>
      <c r="E566" s="12" t="s">
        <v>126</v>
      </c>
      <c r="F566" s="12" t="s">
        <v>163</v>
      </c>
      <c r="G566" s="12" t="s">
        <v>164</v>
      </c>
      <c r="H566" s="12" t="s">
        <v>1025</v>
      </c>
      <c r="I566" s="12" t="s">
        <v>1026</v>
      </c>
    </row>
    <row r="567" spans="1:9">
      <c r="A567" s="14">
        <v>12345</v>
      </c>
      <c r="B567" s="14" t="s">
        <v>329</v>
      </c>
      <c r="C567" s="12" t="s">
        <v>145</v>
      </c>
      <c r="D567" s="15" t="str">
        <f t="shared" si="8"/>
        <v>California Dept of Public Heal - SUP</v>
      </c>
      <c r="E567" s="12" t="s">
        <v>126</v>
      </c>
      <c r="F567" s="12" t="s">
        <v>163</v>
      </c>
      <c r="G567" s="12" t="s">
        <v>164</v>
      </c>
      <c r="H567" s="12" t="s">
        <v>1025</v>
      </c>
      <c r="I567" s="12" t="s">
        <v>1026</v>
      </c>
    </row>
    <row r="568" spans="1:9">
      <c r="A568" s="14">
        <v>12345</v>
      </c>
      <c r="B568" s="14" t="s">
        <v>329</v>
      </c>
      <c r="C568" s="12" t="s">
        <v>185</v>
      </c>
      <c r="D568" s="15" t="str">
        <f t="shared" si="8"/>
        <v>California Dept of Public Heal - TPS</v>
      </c>
      <c r="E568" s="12" t="s">
        <v>126</v>
      </c>
      <c r="F568" s="12" t="s">
        <v>163</v>
      </c>
      <c r="G568" s="12" t="s">
        <v>164</v>
      </c>
      <c r="H568" s="12" t="s">
        <v>1025</v>
      </c>
      <c r="I568" s="12" t="s">
        <v>1026</v>
      </c>
    </row>
    <row r="569" spans="1:9">
      <c r="A569" s="14">
        <v>10916</v>
      </c>
      <c r="B569" s="14" t="s">
        <v>461</v>
      </c>
      <c r="C569" s="12" t="s">
        <v>138</v>
      </c>
      <c r="D569" s="15" t="str">
        <f t="shared" si="8"/>
        <v>Carvana Back-office Support - BOS</v>
      </c>
      <c r="E569" s="12" t="s">
        <v>126</v>
      </c>
      <c r="F569" s="12" t="s">
        <v>163</v>
      </c>
      <c r="G569" s="12" t="s">
        <v>164</v>
      </c>
      <c r="H569" s="12" t="s">
        <v>1025</v>
      </c>
      <c r="I569" s="12" t="s">
        <v>1026</v>
      </c>
    </row>
    <row r="570" spans="1:9">
      <c r="A570" s="14">
        <v>10916</v>
      </c>
      <c r="B570" s="14" t="s">
        <v>461</v>
      </c>
      <c r="C570" s="12" t="s">
        <v>185</v>
      </c>
      <c r="D570" s="15" t="str">
        <f t="shared" si="8"/>
        <v>Carvana Back-office Support - TPS</v>
      </c>
      <c r="E570" s="12" t="s">
        <v>126</v>
      </c>
      <c r="F570" s="12" t="s">
        <v>163</v>
      </c>
      <c r="G570" s="12" t="s">
        <v>164</v>
      </c>
      <c r="H570" s="12" t="s">
        <v>1025</v>
      </c>
      <c r="I570" s="12" t="s">
        <v>1026</v>
      </c>
    </row>
    <row r="571" spans="1:9">
      <c r="A571" s="14">
        <v>12425</v>
      </c>
      <c r="B571" s="14" t="s">
        <v>342</v>
      </c>
      <c r="C571" s="12" t="s">
        <v>230</v>
      </c>
      <c r="D571" s="15" t="str">
        <f t="shared" si="8"/>
        <v>Centene - Conduct DMHC PAAS - PRSP</v>
      </c>
      <c r="E571" s="12" t="s">
        <v>126</v>
      </c>
      <c r="F571" s="12" t="s">
        <v>163</v>
      </c>
      <c r="G571" s="12" t="s">
        <v>164</v>
      </c>
      <c r="H571" s="12" t="s">
        <v>1025</v>
      </c>
      <c r="I571" s="12" t="s">
        <v>1026</v>
      </c>
    </row>
    <row r="572" spans="1:9">
      <c r="A572" s="14">
        <v>12425</v>
      </c>
      <c r="B572" s="14" t="s">
        <v>342</v>
      </c>
      <c r="C572" s="12" t="s">
        <v>145</v>
      </c>
      <c r="D572" s="15" t="str">
        <f t="shared" si="8"/>
        <v>Centene - Conduct DMHC PAAS - SUP</v>
      </c>
      <c r="E572" s="12" t="s">
        <v>126</v>
      </c>
      <c r="F572" s="12" t="s">
        <v>163</v>
      </c>
      <c r="G572" s="12" t="s">
        <v>164</v>
      </c>
      <c r="H572" s="12" t="s">
        <v>1025</v>
      </c>
      <c r="I572" s="12" t="s">
        <v>1026</v>
      </c>
    </row>
    <row r="573" spans="1:9">
      <c r="A573" s="14">
        <v>12425</v>
      </c>
      <c r="B573" s="14" t="s">
        <v>342</v>
      </c>
      <c r="C573" s="12" t="s">
        <v>185</v>
      </c>
      <c r="D573" s="15" t="str">
        <f t="shared" si="8"/>
        <v>Centene - Conduct DMHC PAAS - TPS</v>
      </c>
      <c r="E573" s="12" t="s">
        <v>126</v>
      </c>
      <c r="F573" s="12" t="s">
        <v>163</v>
      </c>
      <c r="G573" s="12" t="s">
        <v>164</v>
      </c>
      <c r="H573" s="12" t="s">
        <v>1025</v>
      </c>
      <c r="I573" s="12" t="s">
        <v>1026</v>
      </c>
    </row>
    <row r="574" spans="1:9">
      <c r="A574" s="14">
        <v>90000</v>
      </c>
      <c r="B574" s="14" t="s">
        <v>347</v>
      </c>
      <c r="C574" s="12" t="s">
        <v>348</v>
      </c>
      <c r="D574" s="15" t="str">
        <f t="shared" si="8"/>
        <v>Chairman &amp; CEO Office - ADM</v>
      </c>
      <c r="E574" s="12" t="s">
        <v>104</v>
      </c>
      <c r="F574" s="12" t="s">
        <v>518</v>
      </c>
      <c r="G574" s="12" t="s">
        <v>350</v>
      </c>
      <c r="H574" s="12" t="s">
        <v>1025</v>
      </c>
      <c r="I574" s="12" t="s">
        <v>1026</v>
      </c>
    </row>
    <row r="575" spans="1:9">
      <c r="A575" s="14">
        <v>90000</v>
      </c>
      <c r="B575" s="14" t="s">
        <v>347</v>
      </c>
      <c r="C575" s="12" t="s">
        <v>352</v>
      </c>
      <c r="D575" s="15" t="str">
        <f t="shared" si="8"/>
        <v>Chairman &amp; CEO Office - EAT</v>
      </c>
      <c r="E575" s="12" t="s">
        <v>104</v>
      </c>
      <c r="F575" s="12" t="s">
        <v>518</v>
      </c>
      <c r="G575" s="12" t="s">
        <v>350</v>
      </c>
      <c r="H575" s="12" t="s">
        <v>1025</v>
      </c>
      <c r="I575" s="12" t="s">
        <v>1026</v>
      </c>
    </row>
    <row r="576" spans="1:9">
      <c r="A576" s="14">
        <v>90000</v>
      </c>
      <c r="B576" s="14" t="s">
        <v>347</v>
      </c>
      <c r="C576" s="12" t="s">
        <v>145</v>
      </c>
      <c r="D576" s="15" t="str">
        <f t="shared" si="8"/>
        <v>Chairman &amp; CEO Office - SUP</v>
      </c>
      <c r="E576" s="12" t="s">
        <v>104</v>
      </c>
      <c r="F576" s="12" t="s">
        <v>518</v>
      </c>
      <c r="G576" s="12" t="s">
        <v>350</v>
      </c>
      <c r="H576" s="12" t="s">
        <v>1025</v>
      </c>
      <c r="I576" s="12" t="s">
        <v>1026</v>
      </c>
    </row>
    <row r="577" spans="1:9">
      <c r="A577" s="14">
        <v>90000</v>
      </c>
      <c r="B577" s="14" t="s">
        <v>347</v>
      </c>
      <c r="C577" s="12" t="s">
        <v>180</v>
      </c>
      <c r="D577" s="15" t="str">
        <f t="shared" si="8"/>
        <v>Chairman &amp; CEO Office - TMG</v>
      </c>
      <c r="E577" s="12" t="s">
        <v>104</v>
      </c>
      <c r="F577" s="12" t="s">
        <v>518</v>
      </c>
      <c r="G577" s="12" t="s">
        <v>350</v>
      </c>
      <c r="H577" s="12" t="s">
        <v>1025</v>
      </c>
      <c r="I577" s="12" t="s">
        <v>1026</v>
      </c>
    </row>
    <row r="578" spans="1:9">
      <c r="A578" s="14">
        <v>12243</v>
      </c>
      <c r="B578" s="14" t="s">
        <v>355</v>
      </c>
      <c r="C578" s="12" t="s">
        <v>193</v>
      </c>
      <c r="D578" s="15" t="str">
        <f t="shared" ref="D578:D641" si="9">B578&amp;" - "&amp;C578</f>
        <v>ChartFast Web Application-Impl - DEV</v>
      </c>
      <c r="E578" s="12" t="s">
        <v>117</v>
      </c>
      <c r="F578" s="12" t="s">
        <v>117</v>
      </c>
      <c r="G578" s="12" t="s">
        <v>117</v>
      </c>
      <c r="H578" s="12" t="s">
        <v>1025</v>
      </c>
      <c r="I578" s="12" t="s">
        <v>1026</v>
      </c>
    </row>
    <row r="579" spans="1:9">
      <c r="A579" s="14">
        <v>12243</v>
      </c>
      <c r="B579" s="14" t="s">
        <v>355</v>
      </c>
      <c r="C579" s="12" t="s">
        <v>177</v>
      </c>
      <c r="D579" s="15" t="str">
        <f t="shared" si="9"/>
        <v>ChartFast Web Application-Impl - OPS</v>
      </c>
      <c r="E579" s="12" t="s">
        <v>117</v>
      </c>
      <c r="F579" s="12" t="s">
        <v>117</v>
      </c>
      <c r="G579" s="12" t="s">
        <v>117</v>
      </c>
      <c r="H579" s="12" t="s">
        <v>1025</v>
      </c>
      <c r="I579" s="12" t="s">
        <v>1026</v>
      </c>
    </row>
    <row r="580" spans="1:9">
      <c r="A580" s="14">
        <v>12243</v>
      </c>
      <c r="B580" s="14" t="s">
        <v>355</v>
      </c>
      <c r="C580" s="12" t="s">
        <v>116</v>
      </c>
      <c r="D580" s="15" t="str">
        <f t="shared" si="9"/>
        <v>ChartFast Web Application-Impl - PRD</v>
      </c>
      <c r="E580" s="12" t="s">
        <v>117</v>
      </c>
      <c r="F580" s="12" t="s">
        <v>117</v>
      </c>
      <c r="G580" s="12" t="s">
        <v>117</v>
      </c>
      <c r="H580" s="12" t="s">
        <v>1025</v>
      </c>
      <c r="I580" s="12" t="s">
        <v>1026</v>
      </c>
    </row>
    <row r="581" spans="1:9">
      <c r="A581" s="14">
        <v>12243</v>
      </c>
      <c r="B581" s="14" t="s">
        <v>355</v>
      </c>
      <c r="C581" s="12" t="s">
        <v>145</v>
      </c>
      <c r="D581" s="15" t="str">
        <f t="shared" si="9"/>
        <v>ChartFast Web Application-Impl - SUP</v>
      </c>
      <c r="E581" s="12" t="s">
        <v>117</v>
      </c>
      <c r="F581" s="12" t="s">
        <v>117</v>
      </c>
      <c r="G581" s="12" t="s">
        <v>117</v>
      </c>
      <c r="H581" s="12" t="s">
        <v>1025</v>
      </c>
      <c r="I581" s="12" t="s">
        <v>1026</v>
      </c>
    </row>
    <row r="582" spans="1:9">
      <c r="A582" s="14">
        <v>10105</v>
      </c>
      <c r="B582" s="14" t="s">
        <v>217</v>
      </c>
      <c r="C582" s="12" t="s">
        <v>185</v>
      </c>
      <c r="D582" s="15" t="str">
        <f t="shared" si="9"/>
        <v>Checkrs - CX Support - TPS</v>
      </c>
      <c r="E582" s="12" t="s">
        <v>126</v>
      </c>
      <c r="F582" s="12" t="s">
        <v>163</v>
      </c>
      <c r="G582" s="12" t="s">
        <v>164</v>
      </c>
      <c r="H582" s="12" t="s">
        <v>1025</v>
      </c>
      <c r="I582" s="12" t="s">
        <v>1026</v>
      </c>
    </row>
    <row r="583" spans="1:9">
      <c r="A583" s="14">
        <v>18072</v>
      </c>
      <c r="B583" s="14" t="s">
        <v>632</v>
      </c>
      <c r="C583" s="12" t="s">
        <v>185</v>
      </c>
      <c r="D583" s="15" t="str">
        <f t="shared" si="9"/>
        <v>CHL QC Loan Boarding Offshore - TPS</v>
      </c>
      <c r="E583" s="12" t="s">
        <v>126</v>
      </c>
      <c r="F583" s="12" t="s">
        <v>163</v>
      </c>
      <c r="G583" s="12" t="s">
        <v>164</v>
      </c>
      <c r="H583" s="12" t="s">
        <v>1025</v>
      </c>
      <c r="I583" s="12" t="s">
        <v>1026</v>
      </c>
    </row>
    <row r="584" spans="1:9">
      <c r="A584" s="14">
        <v>10014</v>
      </c>
      <c r="B584" s="14" t="s">
        <v>152</v>
      </c>
      <c r="C584" s="12" t="s">
        <v>336</v>
      </c>
      <c r="D584" s="15" t="str">
        <f t="shared" si="9"/>
        <v>Clarien - Salesforce Cost JC - TSL</v>
      </c>
      <c r="E584" s="12" t="s">
        <v>117</v>
      </c>
      <c r="F584" s="12" t="s">
        <v>117</v>
      </c>
      <c r="G584" s="12" t="s">
        <v>117</v>
      </c>
      <c r="H584" s="12" t="s">
        <v>1025</v>
      </c>
      <c r="I584" s="12" t="s">
        <v>1026</v>
      </c>
    </row>
    <row r="585" spans="1:9">
      <c r="A585" s="14">
        <v>10865</v>
      </c>
      <c r="B585" s="14" t="s">
        <v>363</v>
      </c>
      <c r="C585" s="12" t="s">
        <v>145</v>
      </c>
      <c r="D585" s="15" t="str">
        <f t="shared" si="9"/>
        <v>Clarien Bank IT Strategy GRC - SUP</v>
      </c>
      <c r="E585" s="12" t="s">
        <v>117</v>
      </c>
      <c r="F585" s="12" t="s">
        <v>117</v>
      </c>
      <c r="G585" s="12" t="s">
        <v>117</v>
      </c>
      <c r="H585" s="12" t="s">
        <v>1025</v>
      </c>
      <c r="I585" s="12" t="s">
        <v>1026</v>
      </c>
    </row>
    <row r="586" spans="1:9">
      <c r="A586" s="14">
        <v>10867</v>
      </c>
      <c r="B586" s="14" t="s">
        <v>428</v>
      </c>
      <c r="C586" s="12" t="s">
        <v>150</v>
      </c>
      <c r="D586" s="15" t="str">
        <f t="shared" si="9"/>
        <v>Clarien Bank-Backoff and Fin - CCS</v>
      </c>
      <c r="E586" s="12" t="s">
        <v>126</v>
      </c>
      <c r="F586" s="12" t="s">
        <v>980</v>
      </c>
      <c r="G586" s="12" t="s">
        <v>981</v>
      </c>
      <c r="H586" s="12" t="s">
        <v>1025</v>
      </c>
      <c r="I586" s="12" t="s">
        <v>1026</v>
      </c>
    </row>
    <row r="587" spans="1:9">
      <c r="A587" s="14">
        <v>10867</v>
      </c>
      <c r="B587" s="14" t="s">
        <v>428</v>
      </c>
      <c r="C587" s="12" t="s">
        <v>306</v>
      </c>
      <c r="D587" s="15" t="str">
        <f t="shared" si="9"/>
        <v>Clarien Bank-Backoff and Fin - FAO</v>
      </c>
      <c r="E587" s="12" t="s">
        <v>126</v>
      </c>
      <c r="F587" s="12" t="s">
        <v>980</v>
      </c>
      <c r="G587" s="12" t="s">
        <v>981</v>
      </c>
      <c r="H587" s="12" t="s">
        <v>1025</v>
      </c>
      <c r="I587" s="12" t="s">
        <v>1026</v>
      </c>
    </row>
    <row r="588" spans="1:9">
      <c r="A588" s="14">
        <v>95240</v>
      </c>
      <c r="B588" s="14" t="s">
        <v>365</v>
      </c>
      <c r="C588" s="12" t="s">
        <v>262</v>
      </c>
      <c r="D588" s="15" t="str">
        <f t="shared" si="9"/>
        <v>CLM Applications - GSI - GSI</v>
      </c>
      <c r="E588" s="12" t="s">
        <v>104</v>
      </c>
      <c r="F588" s="12" t="s">
        <v>263</v>
      </c>
      <c r="G588" s="12" t="s">
        <v>264</v>
      </c>
      <c r="H588" s="12" t="s">
        <v>1025</v>
      </c>
      <c r="I588" s="12" t="s">
        <v>1026</v>
      </c>
    </row>
    <row r="589" spans="1:9">
      <c r="A589" s="14">
        <v>95240</v>
      </c>
      <c r="B589" s="14" t="s">
        <v>365</v>
      </c>
      <c r="C589" s="12" t="s">
        <v>129</v>
      </c>
      <c r="D589" s="15" t="str">
        <f t="shared" si="9"/>
        <v>CLM Applications - GSI - MGT</v>
      </c>
      <c r="E589" s="12" t="s">
        <v>104</v>
      </c>
      <c r="F589" s="12" t="s">
        <v>263</v>
      </c>
      <c r="G589" s="12" t="s">
        <v>264</v>
      </c>
      <c r="H589" s="12" t="s">
        <v>1025</v>
      </c>
      <c r="I589" s="12" t="s">
        <v>1026</v>
      </c>
    </row>
    <row r="590" spans="1:9">
      <c r="A590" s="14">
        <v>95240</v>
      </c>
      <c r="B590" s="14" t="s">
        <v>365</v>
      </c>
      <c r="C590" s="12" t="s">
        <v>145</v>
      </c>
      <c r="D590" s="15" t="str">
        <f t="shared" si="9"/>
        <v>CLM Applications - GSI - SUP</v>
      </c>
      <c r="E590" s="12" t="s">
        <v>104</v>
      </c>
      <c r="F590" s="12" t="s">
        <v>263</v>
      </c>
      <c r="G590" s="12" t="s">
        <v>264</v>
      </c>
      <c r="H590" s="12" t="s">
        <v>1025</v>
      </c>
      <c r="I590" s="12" t="s">
        <v>1026</v>
      </c>
    </row>
    <row r="591" spans="1:9">
      <c r="A591" s="14">
        <v>95510</v>
      </c>
      <c r="B591" s="14" t="s">
        <v>1002</v>
      </c>
      <c r="C591" s="12" t="s">
        <v>145</v>
      </c>
      <c r="D591" s="15" t="str">
        <f t="shared" si="9"/>
        <v>CloudSource RIM - SUP</v>
      </c>
      <c r="E591" s="12" t="s">
        <v>104</v>
      </c>
      <c r="F591" s="12" t="s">
        <v>263</v>
      </c>
      <c r="G591" s="12" t="s">
        <v>264</v>
      </c>
      <c r="H591" s="12" t="s">
        <v>1025</v>
      </c>
      <c r="I591" s="12" t="s">
        <v>1026</v>
      </c>
    </row>
    <row r="592" spans="1:9">
      <c r="A592" s="14">
        <v>51083</v>
      </c>
      <c r="B592" s="14" t="s">
        <v>699</v>
      </c>
      <c r="C592" s="12" t="s">
        <v>193</v>
      </c>
      <c r="D592" s="15" t="str">
        <f t="shared" si="9"/>
        <v>Cloudtestr-DPW - DEV</v>
      </c>
      <c r="E592" s="12" t="s">
        <v>117</v>
      </c>
      <c r="F592" s="12" t="s">
        <v>117</v>
      </c>
      <c r="G592" s="12" t="s">
        <v>117</v>
      </c>
      <c r="H592" s="12" t="s">
        <v>1025</v>
      </c>
      <c r="I592" s="12" t="s">
        <v>1026</v>
      </c>
    </row>
    <row r="593" spans="1:9">
      <c r="A593" s="14">
        <v>97305</v>
      </c>
      <c r="B593" s="14" t="s">
        <v>369</v>
      </c>
      <c r="C593" s="12" t="s">
        <v>129</v>
      </c>
      <c r="D593" s="15" t="str">
        <f t="shared" si="9"/>
        <v>CLS – ISD &amp; eLearning - MGT</v>
      </c>
      <c r="E593" s="12" t="s">
        <v>104</v>
      </c>
      <c r="F593" s="12" t="s">
        <v>204</v>
      </c>
      <c r="G593" s="12" t="s">
        <v>205</v>
      </c>
      <c r="H593" s="12" t="s">
        <v>1025</v>
      </c>
      <c r="I593" s="12" t="s">
        <v>1026</v>
      </c>
    </row>
    <row r="594" spans="1:9">
      <c r="A594" s="14">
        <v>97305</v>
      </c>
      <c r="B594" s="14" t="s">
        <v>369</v>
      </c>
      <c r="C594" s="12" t="s">
        <v>139</v>
      </c>
      <c r="D594" s="15" t="str">
        <f t="shared" si="9"/>
        <v>CLS – ISD &amp; eLearning - SMGT</v>
      </c>
      <c r="E594" s="12" t="s">
        <v>104</v>
      </c>
      <c r="F594" s="12" t="s">
        <v>204</v>
      </c>
      <c r="G594" s="12" t="s">
        <v>205</v>
      </c>
      <c r="H594" s="12" t="s">
        <v>1025</v>
      </c>
      <c r="I594" s="12" t="s">
        <v>1026</v>
      </c>
    </row>
    <row r="595" spans="1:9">
      <c r="A595" s="14">
        <v>97305</v>
      </c>
      <c r="B595" s="14" t="s">
        <v>369</v>
      </c>
      <c r="C595" s="12" t="s">
        <v>145</v>
      </c>
      <c r="D595" s="15" t="str">
        <f t="shared" si="9"/>
        <v>CLS – ISD &amp; eLearning - SUP</v>
      </c>
      <c r="E595" s="12" t="s">
        <v>104</v>
      </c>
      <c r="F595" s="12" t="s">
        <v>204</v>
      </c>
      <c r="G595" s="12" t="s">
        <v>205</v>
      </c>
      <c r="H595" s="12" t="s">
        <v>1025</v>
      </c>
      <c r="I595" s="12" t="s">
        <v>1026</v>
      </c>
    </row>
    <row r="596" spans="1:9">
      <c r="A596" s="14">
        <v>97305</v>
      </c>
      <c r="B596" s="14" t="s">
        <v>369</v>
      </c>
      <c r="C596" s="12" t="s">
        <v>203</v>
      </c>
      <c r="D596" s="15" t="str">
        <f t="shared" si="9"/>
        <v>CLS – ISD &amp; eLearning - TRG</v>
      </c>
      <c r="E596" s="12" t="s">
        <v>104</v>
      </c>
      <c r="F596" s="12" t="s">
        <v>204</v>
      </c>
      <c r="G596" s="12" t="s">
        <v>205</v>
      </c>
      <c r="H596" s="12" t="s">
        <v>1025</v>
      </c>
      <c r="I596" s="12" t="s">
        <v>1026</v>
      </c>
    </row>
    <row r="597" spans="1:9">
      <c r="A597" s="14">
        <v>12048</v>
      </c>
      <c r="B597" s="14" t="s">
        <v>374</v>
      </c>
      <c r="C597" s="12" t="s">
        <v>177</v>
      </c>
      <c r="D597" s="15" t="str">
        <f t="shared" si="9"/>
        <v>Columbia - CUFPO - OPS</v>
      </c>
      <c r="E597" s="12" t="s">
        <v>126</v>
      </c>
      <c r="F597" s="12" t="s">
        <v>163</v>
      </c>
      <c r="G597" s="12" t="s">
        <v>164</v>
      </c>
      <c r="H597" s="12" t="s">
        <v>1025</v>
      </c>
      <c r="I597" s="12" t="s">
        <v>1026</v>
      </c>
    </row>
    <row r="598" spans="1:9">
      <c r="A598" s="14">
        <v>12048</v>
      </c>
      <c r="B598" s="14" t="s">
        <v>374</v>
      </c>
      <c r="C598" s="12" t="s">
        <v>116</v>
      </c>
      <c r="D598" s="15" t="str">
        <f t="shared" si="9"/>
        <v>Columbia - CUFPO - PRD</v>
      </c>
      <c r="E598" s="12" t="s">
        <v>126</v>
      </c>
      <c r="F598" s="12" t="s">
        <v>163</v>
      </c>
      <c r="G598" s="12" t="s">
        <v>164</v>
      </c>
      <c r="H598" s="12" t="s">
        <v>1025</v>
      </c>
      <c r="I598" s="12" t="s">
        <v>1026</v>
      </c>
    </row>
    <row r="599" spans="1:9">
      <c r="A599" s="14">
        <v>12048</v>
      </c>
      <c r="B599" s="14" t="s">
        <v>374</v>
      </c>
      <c r="C599" s="12" t="s">
        <v>185</v>
      </c>
      <c r="D599" s="15" t="str">
        <f t="shared" si="9"/>
        <v>Columbia - CUFPO - TPS</v>
      </c>
      <c r="E599" s="12" t="s">
        <v>126</v>
      </c>
      <c r="F599" s="12" t="s">
        <v>163</v>
      </c>
      <c r="G599" s="12" t="s">
        <v>164</v>
      </c>
      <c r="H599" s="12" t="s">
        <v>1025</v>
      </c>
      <c r="I599" s="12" t="s">
        <v>1026</v>
      </c>
    </row>
    <row r="600" spans="1:9">
      <c r="A600" s="14">
        <v>12054</v>
      </c>
      <c r="B600" s="14" t="s">
        <v>378</v>
      </c>
      <c r="C600" s="12" t="s">
        <v>224</v>
      </c>
      <c r="D600" s="15" t="str">
        <f t="shared" si="9"/>
        <v>Columbia – Radiology - FBO - ACM</v>
      </c>
      <c r="E600" s="12" t="s">
        <v>126</v>
      </c>
      <c r="F600" s="12" t="s">
        <v>163</v>
      </c>
      <c r="G600" s="12" t="s">
        <v>164</v>
      </c>
      <c r="H600" s="12" t="s">
        <v>1025</v>
      </c>
      <c r="I600" s="12" t="s">
        <v>1026</v>
      </c>
    </row>
    <row r="601" spans="1:9">
      <c r="A601" s="14">
        <v>12054</v>
      </c>
      <c r="B601" s="14" t="s">
        <v>378</v>
      </c>
      <c r="C601" s="12" t="s">
        <v>177</v>
      </c>
      <c r="D601" s="15" t="str">
        <f t="shared" si="9"/>
        <v>Columbia – Radiology - FBO - OPS</v>
      </c>
      <c r="E601" s="12" t="s">
        <v>126</v>
      </c>
      <c r="F601" s="12" t="s">
        <v>163</v>
      </c>
      <c r="G601" s="12" t="s">
        <v>164</v>
      </c>
      <c r="H601" s="12" t="s">
        <v>1025</v>
      </c>
      <c r="I601" s="12" t="s">
        <v>1026</v>
      </c>
    </row>
    <row r="602" spans="1:9">
      <c r="A602" s="14">
        <v>12054</v>
      </c>
      <c r="B602" s="14" t="s">
        <v>378</v>
      </c>
      <c r="C602" s="12" t="s">
        <v>116</v>
      </c>
      <c r="D602" s="15" t="str">
        <f t="shared" si="9"/>
        <v>Columbia – Radiology - FBO - PRD</v>
      </c>
      <c r="E602" s="12" t="s">
        <v>126</v>
      </c>
      <c r="F602" s="12" t="s">
        <v>163</v>
      </c>
      <c r="G602" s="12" t="s">
        <v>164</v>
      </c>
      <c r="H602" s="12" t="s">
        <v>1025</v>
      </c>
      <c r="I602" s="12" t="s">
        <v>1026</v>
      </c>
    </row>
    <row r="603" spans="1:9">
      <c r="A603" s="14">
        <v>12054</v>
      </c>
      <c r="B603" s="14" t="s">
        <v>378</v>
      </c>
      <c r="C603" s="12" t="s">
        <v>111</v>
      </c>
      <c r="D603" s="15" t="str">
        <f t="shared" si="9"/>
        <v>Columbia – Radiology - FBO - QLY</v>
      </c>
      <c r="E603" s="12" t="s">
        <v>112</v>
      </c>
      <c r="F603" s="12" t="s">
        <v>113</v>
      </c>
      <c r="G603" s="12" t="s">
        <v>114</v>
      </c>
      <c r="H603" s="12" t="s">
        <v>1025</v>
      </c>
      <c r="I603" s="12" t="s">
        <v>1026</v>
      </c>
    </row>
    <row r="604" spans="1:9">
      <c r="A604" s="14">
        <v>12054</v>
      </c>
      <c r="B604" s="14" t="s">
        <v>378</v>
      </c>
      <c r="C604" s="12" t="s">
        <v>185</v>
      </c>
      <c r="D604" s="15" t="str">
        <f t="shared" si="9"/>
        <v>Columbia – Radiology - FBO - TPS</v>
      </c>
      <c r="E604" s="12" t="s">
        <v>126</v>
      </c>
      <c r="F604" s="12" t="s">
        <v>163</v>
      </c>
      <c r="G604" s="12" t="s">
        <v>164</v>
      </c>
      <c r="H604" s="12" t="s">
        <v>1025</v>
      </c>
      <c r="I604" s="12" t="s">
        <v>1026</v>
      </c>
    </row>
    <row r="605" spans="1:9">
      <c r="A605" s="14">
        <v>96201</v>
      </c>
      <c r="B605" s="14" t="s">
        <v>384</v>
      </c>
      <c r="C605" s="12" t="s">
        <v>145</v>
      </c>
      <c r="D605" s="15" t="str">
        <f t="shared" si="9"/>
        <v>Compliance - Ethics - SUP</v>
      </c>
      <c r="E605" s="12" t="s">
        <v>104</v>
      </c>
      <c r="F605" s="12" t="s">
        <v>385</v>
      </c>
      <c r="G605" s="12" t="s">
        <v>114</v>
      </c>
      <c r="H605" s="12" t="s">
        <v>1025</v>
      </c>
      <c r="I605" s="12" t="s">
        <v>1026</v>
      </c>
    </row>
    <row r="606" spans="1:9">
      <c r="A606" s="14">
        <v>90402</v>
      </c>
      <c r="B606" s="14" t="s">
        <v>387</v>
      </c>
      <c r="C606" s="12" t="s">
        <v>145</v>
      </c>
      <c r="D606" s="15" t="str">
        <f t="shared" si="9"/>
        <v>Compliance - Risk Management - SUP</v>
      </c>
      <c r="E606" s="12" t="s">
        <v>104</v>
      </c>
      <c r="F606" s="12" t="s">
        <v>385</v>
      </c>
      <c r="G606" s="12" t="s">
        <v>114</v>
      </c>
      <c r="H606" s="12" t="s">
        <v>1025</v>
      </c>
      <c r="I606" s="12" t="s">
        <v>1026</v>
      </c>
    </row>
    <row r="607" spans="1:9">
      <c r="A607" s="14">
        <v>12057</v>
      </c>
      <c r="B607" s="14" t="s">
        <v>389</v>
      </c>
      <c r="C607" s="12" t="s">
        <v>145</v>
      </c>
      <c r="D607" s="15" t="str">
        <f t="shared" si="9"/>
        <v>Compu Bill Inc - SUP</v>
      </c>
      <c r="E607" s="12" t="s">
        <v>126</v>
      </c>
      <c r="F607" s="12" t="s">
        <v>163</v>
      </c>
      <c r="G607" s="12" t="s">
        <v>164</v>
      </c>
      <c r="H607" s="12" t="s">
        <v>1025</v>
      </c>
      <c r="I607" s="12" t="s">
        <v>1026</v>
      </c>
    </row>
    <row r="608" spans="1:9">
      <c r="A608" s="14">
        <v>12057</v>
      </c>
      <c r="B608" s="14" t="s">
        <v>389</v>
      </c>
      <c r="C608" s="12" t="s">
        <v>185</v>
      </c>
      <c r="D608" s="15" t="str">
        <f t="shared" si="9"/>
        <v>Compu Bill Inc - TPS</v>
      </c>
      <c r="E608" s="12" t="s">
        <v>126</v>
      </c>
      <c r="F608" s="12" t="s">
        <v>163</v>
      </c>
      <c r="G608" s="12" t="s">
        <v>164</v>
      </c>
      <c r="H608" s="12" t="s">
        <v>1025</v>
      </c>
      <c r="I608" s="12" t="s">
        <v>1026</v>
      </c>
    </row>
    <row r="609" spans="1:9">
      <c r="A609" s="14">
        <v>12463</v>
      </c>
      <c r="B609" s="14" t="s">
        <v>394</v>
      </c>
      <c r="C609" s="12" t="s">
        <v>177</v>
      </c>
      <c r="D609" s="15" t="str">
        <f t="shared" si="9"/>
        <v>Connexin Software - FBO - OPS</v>
      </c>
      <c r="E609" s="12" t="s">
        <v>126</v>
      </c>
      <c r="F609" s="12" t="s">
        <v>163</v>
      </c>
      <c r="G609" s="12" t="s">
        <v>164</v>
      </c>
      <c r="H609" s="12" t="s">
        <v>1025</v>
      </c>
      <c r="I609" s="12" t="s">
        <v>1026</v>
      </c>
    </row>
    <row r="610" spans="1:9">
      <c r="A610" s="14">
        <v>12463</v>
      </c>
      <c r="B610" s="14" t="s">
        <v>394</v>
      </c>
      <c r="C610" s="12" t="s">
        <v>116</v>
      </c>
      <c r="D610" s="15" t="str">
        <f t="shared" si="9"/>
        <v>Connexin Software - FBO - PRD</v>
      </c>
      <c r="E610" s="12" t="s">
        <v>126</v>
      </c>
      <c r="F610" s="12" t="s">
        <v>163</v>
      </c>
      <c r="G610" s="12" t="s">
        <v>164</v>
      </c>
      <c r="H610" s="12" t="s">
        <v>1025</v>
      </c>
      <c r="I610" s="12" t="s">
        <v>1026</v>
      </c>
    </row>
    <row r="611" spans="1:9">
      <c r="A611" s="14">
        <v>12463</v>
      </c>
      <c r="B611" s="14" t="s">
        <v>394</v>
      </c>
      <c r="C611" s="12" t="s">
        <v>332</v>
      </c>
      <c r="D611" s="15" t="str">
        <f t="shared" si="9"/>
        <v>Connexin Software - FBO - RCF</v>
      </c>
      <c r="E611" s="12" t="s">
        <v>126</v>
      </c>
      <c r="F611" s="12" t="s">
        <v>163</v>
      </c>
      <c r="G611" s="12" t="s">
        <v>164</v>
      </c>
      <c r="H611" s="12" t="s">
        <v>1025</v>
      </c>
      <c r="I611" s="12" t="s">
        <v>1026</v>
      </c>
    </row>
    <row r="612" spans="1:9">
      <c r="A612" s="14">
        <v>12463</v>
      </c>
      <c r="B612" s="14" t="s">
        <v>394</v>
      </c>
      <c r="C612" s="12" t="s">
        <v>185</v>
      </c>
      <c r="D612" s="15" t="str">
        <f t="shared" si="9"/>
        <v>Connexin Software - FBO - TPS</v>
      </c>
      <c r="E612" s="12" t="s">
        <v>126</v>
      </c>
      <c r="F612" s="12" t="s">
        <v>163</v>
      </c>
      <c r="G612" s="12" t="s">
        <v>164</v>
      </c>
      <c r="H612" s="12" t="s">
        <v>1025</v>
      </c>
      <c r="I612" s="12" t="s">
        <v>1026</v>
      </c>
    </row>
    <row r="613" spans="1:9">
      <c r="A613" s="14">
        <v>82010</v>
      </c>
      <c r="B613" s="14" t="s">
        <v>866</v>
      </c>
      <c r="C613" s="12" t="s">
        <v>129</v>
      </c>
      <c r="D613" s="15" t="str">
        <f t="shared" si="9"/>
        <v>Conversational AI - MGT</v>
      </c>
      <c r="E613" s="12" t="s">
        <v>104</v>
      </c>
      <c r="F613" s="12" t="s">
        <v>263</v>
      </c>
      <c r="G613" s="12" t="s">
        <v>264</v>
      </c>
      <c r="H613" s="12" t="s">
        <v>1025</v>
      </c>
      <c r="I613" s="12" t="s">
        <v>1026</v>
      </c>
    </row>
    <row r="614" spans="1:9">
      <c r="A614" s="14">
        <v>82010</v>
      </c>
      <c r="B614" s="14" t="s">
        <v>866</v>
      </c>
      <c r="C614" s="12" t="s">
        <v>145</v>
      </c>
      <c r="D614" s="15" t="str">
        <f t="shared" si="9"/>
        <v>Conversational AI - SUP</v>
      </c>
      <c r="E614" s="12" t="s">
        <v>104</v>
      </c>
      <c r="F614" s="12" t="s">
        <v>263</v>
      </c>
      <c r="G614" s="12" t="s">
        <v>264</v>
      </c>
      <c r="H614" s="12" t="s">
        <v>1025</v>
      </c>
      <c r="I614" s="12" t="s">
        <v>1026</v>
      </c>
    </row>
    <row r="615" spans="1:9">
      <c r="A615" s="14">
        <v>82102</v>
      </c>
      <c r="B615" s="14" t="s">
        <v>875</v>
      </c>
      <c r="C615" s="12" t="s">
        <v>129</v>
      </c>
      <c r="D615" s="15" t="str">
        <f t="shared" si="9"/>
        <v>Conversational IVR - MGT</v>
      </c>
      <c r="E615" s="12" t="s">
        <v>104</v>
      </c>
      <c r="F615" s="12" t="s">
        <v>263</v>
      </c>
      <c r="G615" s="12" t="s">
        <v>264</v>
      </c>
      <c r="H615" s="12" t="s">
        <v>1025</v>
      </c>
      <c r="I615" s="12" t="s">
        <v>1026</v>
      </c>
    </row>
    <row r="616" spans="1:9">
      <c r="A616" s="14">
        <v>82102</v>
      </c>
      <c r="B616" s="14" t="s">
        <v>875</v>
      </c>
      <c r="C616" s="12" t="s">
        <v>145</v>
      </c>
      <c r="D616" s="15" t="str">
        <f t="shared" si="9"/>
        <v>Conversational IVR - SUP</v>
      </c>
      <c r="E616" s="12" t="s">
        <v>104</v>
      </c>
      <c r="F616" s="12" t="s">
        <v>263</v>
      </c>
      <c r="G616" s="12" t="s">
        <v>264</v>
      </c>
      <c r="H616" s="12" t="s">
        <v>1025</v>
      </c>
      <c r="I616" s="12" t="s">
        <v>1026</v>
      </c>
    </row>
    <row r="617" spans="1:9">
      <c r="A617" s="14">
        <v>90100</v>
      </c>
      <c r="B617" s="14" t="s">
        <v>400</v>
      </c>
      <c r="C617" s="12" t="s">
        <v>177</v>
      </c>
      <c r="D617" s="15" t="str">
        <f t="shared" si="9"/>
        <v>Vice Chairman Office - OPS</v>
      </c>
      <c r="E617" s="12" t="s">
        <v>104</v>
      </c>
      <c r="F617" s="12" t="s">
        <v>401</v>
      </c>
      <c r="G617" s="12" t="s">
        <v>114</v>
      </c>
      <c r="H617" s="12" t="s">
        <v>1025</v>
      </c>
      <c r="I617" s="12" t="s">
        <v>1026</v>
      </c>
    </row>
    <row r="618" spans="1:9">
      <c r="A618" s="14">
        <v>90100</v>
      </c>
      <c r="B618" s="14" t="s">
        <v>400</v>
      </c>
      <c r="C618" s="12" t="s">
        <v>139</v>
      </c>
      <c r="D618" s="15" t="str">
        <f t="shared" si="9"/>
        <v>Vice Chairman Office - SMGT</v>
      </c>
      <c r="E618" s="12" t="s">
        <v>104</v>
      </c>
      <c r="F618" s="12" t="s">
        <v>401</v>
      </c>
      <c r="G618" s="12" t="s">
        <v>114</v>
      </c>
      <c r="H618" s="12" t="s">
        <v>1025</v>
      </c>
      <c r="I618" s="12" t="s">
        <v>1026</v>
      </c>
    </row>
    <row r="619" spans="1:9">
      <c r="A619" s="14">
        <v>40170</v>
      </c>
      <c r="B619" s="14" t="s">
        <v>677</v>
      </c>
      <c r="C619" s="12" t="s">
        <v>133</v>
      </c>
      <c r="D619" s="15" t="str">
        <f t="shared" si="9"/>
        <v>Copa_PRA - AMG</v>
      </c>
      <c r="E619" s="12" t="s">
        <v>126</v>
      </c>
      <c r="F619" s="12" t="s">
        <v>163</v>
      </c>
      <c r="G619" s="12" t="s">
        <v>164</v>
      </c>
      <c r="H619" s="12" t="s">
        <v>1025</v>
      </c>
      <c r="I619" s="12" t="s">
        <v>1026</v>
      </c>
    </row>
    <row r="620" spans="1:9">
      <c r="A620" s="14">
        <v>40170</v>
      </c>
      <c r="B620" s="14" t="s">
        <v>677</v>
      </c>
      <c r="C620" s="12" t="s">
        <v>116</v>
      </c>
      <c r="D620" s="15" t="str">
        <f t="shared" si="9"/>
        <v>Copa_PRA - PRD</v>
      </c>
      <c r="E620" s="12" t="s">
        <v>126</v>
      </c>
      <c r="F620" s="12" t="s">
        <v>163</v>
      </c>
      <c r="G620" s="12" t="s">
        <v>164</v>
      </c>
      <c r="H620" s="12" t="s">
        <v>1025</v>
      </c>
      <c r="I620" s="12" t="s">
        <v>1026</v>
      </c>
    </row>
    <row r="621" spans="1:9">
      <c r="A621" s="14">
        <v>40170</v>
      </c>
      <c r="B621" s="14" t="s">
        <v>677</v>
      </c>
      <c r="C621" s="12" t="s">
        <v>145</v>
      </c>
      <c r="D621" s="15" t="str">
        <f t="shared" si="9"/>
        <v>Copa_PRA - SUP</v>
      </c>
      <c r="E621" s="12" t="s">
        <v>126</v>
      </c>
      <c r="F621" s="12" t="s">
        <v>163</v>
      </c>
      <c r="G621" s="12" t="s">
        <v>164</v>
      </c>
      <c r="H621" s="12" t="s">
        <v>1025</v>
      </c>
      <c r="I621" s="12" t="s">
        <v>1026</v>
      </c>
    </row>
    <row r="622" spans="1:9">
      <c r="A622" s="14">
        <v>40170</v>
      </c>
      <c r="B622" s="14" t="s">
        <v>677</v>
      </c>
      <c r="C622" s="12" t="s">
        <v>180</v>
      </c>
      <c r="D622" s="15" t="str">
        <f t="shared" si="9"/>
        <v>Copa_PRA - TMG</v>
      </c>
      <c r="E622" s="12" t="s">
        <v>126</v>
      </c>
      <c r="F622" s="12" t="s">
        <v>163</v>
      </c>
      <c r="G622" s="12" t="s">
        <v>164</v>
      </c>
      <c r="H622" s="12" t="s">
        <v>1025</v>
      </c>
      <c r="I622" s="12" t="s">
        <v>1026</v>
      </c>
    </row>
    <row r="623" spans="1:9">
      <c r="A623" s="14">
        <v>40170</v>
      </c>
      <c r="B623" s="14" t="s">
        <v>677</v>
      </c>
      <c r="C623" s="12" t="s">
        <v>185</v>
      </c>
      <c r="D623" s="15" t="str">
        <f t="shared" si="9"/>
        <v>Copa_PRA - TPS</v>
      </c>
      <c r="E623" s="12" t="s">
        <v>126</v>
      </c>
      <c r="F623" s="12" t="s">
        <v>163</v>
      </c>
      <c r="G623" s="12" t="s">
        <v>164</v>
      </c>
      <c r="H623" s="12" t="s">
        <v>1025</v>
      </c>
      <c r="I623" s="12" t="s">
        <v>1026</v>
      </c>
    </row>
    <row r="624" spans="1:9">
      <c r="A624" s="14">
        <v>90407</v>
      </c>
      <c r="B624" s="14" t="s">
        <v>404</v>
      </c>
      <c r="C624" s="12" t="s">
        <v>145</v>
      </c>
      <c r="D624" s="15" t="str">
        <f t="shared" si="9"/>
        <v>Corporate - Deal Governance - SUP</v>
      </c>
      <c r="E624" s="12" t="s">
        <v>104</v>
      </c>
      <c r="F624" s="12" t="s">
        <v>405</v>
      </c>
      <c r="G624" s="12" t="s">
        <v>114</v>
      </c>
      <c r="H624" s="12" t="s">
        <v>1025</v>
      </c>
      <c r="I624" s="12" t="s">
        <v>1026</v>
      </c>
    </row>
    <row r="625" spans="1:9">
      <c r="A625" s="14">
        <v>96114</v>
      </c>
      <c r="B625" s="14" t="s">
        <v>407</v>
      </c>
      <c r="C625" s="12" t="s">
        <v>129</v>
      </c>
      <c r="D625" s="15" t="str">
        <f t="shared" si="9"/>
        <v>Corporate Accounting - MGT</v>
      </c>
      <c r="E625" s="12" t="s">
        <v>104</v>
      </c>
      <c r="F625" s="12" t="s">
        <v>405</v>
      </c>
      <c r="G625" s="12" t="s">
        <v>114</v>
      </c>
      <c r="H625" s="12" t="s">
        <v>1025</v>
      </c>
      <c r="I625" s="12" t="s">
        <v>1026</v>
      </c>
    </row>
    <row r="626" spans="1:9">
      <c r="A626" s="14">
        <v>90414</v>
      </c>
      <c r="B626" s="14" t="s">
        <v>926</v>
      </c>
      <c r="C626" s="12" t="s">
        <v>111</v>
      </c>
      <c r="D626" s="15" t="str">
        <f t="shared" si="9"/>
        <v>Cost &amp; Efficiency - QLY</v>
      </c>
      <c r="E626" s="12" t="s">
        <v>104</v>
      </c>
      <c r="F626" s="12" t="s">
        <v>113</v>
      </c>
      <c r="G626" s="12" t="s">
        <v>114</v>
      </c>
      <c r="H626" s="12" t="s">
        <v>1025</v>
      </c>
      <c r="I626" s="12" t="s">
        <v>1026</v>
      </c>
    </row>
    <row r="627" spans="1:9">
      <c r="A627" s="14">
        <v>97101</v>
      </c>
      <c r="B627" s="14" t="s">
        <v>409</v>
      </c>
      <c r="C627" s="12" t="s">
        <v>145</v>
      </c>
      <c r="D627" s="15" t="str">
        <f t="shared" si="9"/>
        <v>CPO Office - SUP</v>
      </c>
      <c r="E627" s="12" t="s">
        <v>104</v>
      </c>
      <c r="F627" s="12" t="s">
        <v>410</v>
      </c>
      <c r="G627" s="12" t="s">
        <v>114</v>
      </c>
      <c r="H627" s="12" t="s">
        <v>1025</v>
      </c>
      <c r="I627" s="12" t="s">
        <v>1026</v>
      </c>
    </row>
    <row r="628" spans="1:9">
      <c r="A628" s="14">
        <v>40224</v>
      </c>
      <c r="B628" s="14" t="s">
        <v>683</v>
      </c>
      <c r="C628" s="12" t="s">
        <v>116</v>
      </c>
      <c r="D628" s="15" t="str">
        <f t="shared" si="9"/>
        <v>Credit Research - PRD</v>
      </c>
      <c r="E628" s="12" t="s">
        <v>126</v>
      </c>
      <c r="F628" s="12" t="s">
        <v>184</v>
      </c>
      <c r="G628" s="12" t="s">
        <v>184</v>
      </c>
      <c r="H628" s="12" t="s">
        <v>1025</v>
      </c>
      <c r="I628" s="12" t="s">
        <v>1026</v>
      </c>
    </row>
    <row r="629" spans="1:9">
      <c r="A629" s="14">
        <v>40224</v>
      </c>
      <c r="B629" s="14" t="s">
        <v>683</v>
      </c>
      <c r="C629" s="12" t="s">
        <v>172</v>
      </c>
      <c r="D629" s="15" t="str">
        <f t="shared" si="9"/>
        <v>Credit Research - SME</v>
      </c>
      <c r="E629" s="12" t="s">
        <v>126</v>
      </c>
      <c r="F629" s="12" t="s">
        <v>184</v>
      </c>
      <c r="G629" s="12" t="s">
        <v>184</v>
      </c>
      <c r="H629" s="12" t="s">
        <v>1025</v>
      </c>
      <c r="I629" s="12" t="s">
        <v>1026</v>
      </c>
    </row>
    <row r="630" spans="1:9">
      <c r="A630" s="14">
        <v>40224</v>
      </c>
      <c r="B630" s="14" t="s">
        <v>683</v>
      </c>
      <c r="C630" s="12" t="s">
        <v>145</v>
      </c>
      <c r="D630" s="15" t="str">
        <f t="shared" si="9"/>
        <v>Credit Research - SUP</v>
      </c>
      <c r="E630" s="12" t="s">
        <v>126</v>
      </c>
      <c r="F630" s="12" t="s">
        <v>184</v>
      </c>
      <c r="G630" s="12" t="s">
        <v>184</v>
      </c>
      <c r="H630" s="12" t="s">
        <v>1025</v>
      </c>
      <c r="I630" s="12" t="s">
        <v>1026</v>
      </c>
    </row>
    <row r="631" spans="1:9">
      <c r="A631" s="14">
        <v>10715</v>
      </c>
      <c r="B631" s="14" t="s">
        <v>330</v>
      </c>
      <c r="C631" s="12" t="s">
        <v>138</v>
      </c>
      <c r="D631" s="15" t="str">
        <f t="shared" si="9"/>
        <v>CREDIT RESEARCH NEW LOGO - BOS</v>
      </c>
      <c r="E631" s="12" t="s">
        <v>126</v>
      </c>
      <c r="F631" s="12" t="s">
        <v>184</v>
      </c>
      <c r="G631" s="12" t="s">
        <v>184</v>
      </c>
      <c r="H631" s="12" t="s">
        <v>1025</v>
      </c>
      <c r="I631" s="12" t="s">
        <v>1026</v>
      </c>
    </row>
    <row r="632" spans="1:9">
      <c r="A632" s="14">
        <v>10506</v>
      </c>
      <c r="B632" s="14" t="s">
        <v>255</v>
      </c>
      <c r="C632" s="12" t="s">
        <v>116</v>
      </c>
      <c r="D632" s="15" t="str">
        <f t="shared" si="9"/>
        <v>Credit Research NFB - PRD</v>
      </c>
      <c r="E632" s="12" t="s">
        <v>126</v>
      </c>
      <c r="F632" s="12" t="s">
        <v>184</v>
      </c>
      <c r="G632" s="12" t="s">
        <v>184</v>
      </c>
      <c r="H632" s="12" t="s">
        <v>1025</v>
      </c>
      <c r="I632" s="12" t="s">
        <v>1026</v>
      </c>
    </row>
    <row r="633" spans="1:9">
      <c r="A633" s="14">
        <v>10506</v>
      </c>
      <c r="B633" s="14" t="s">
        <v>255</v>
      </c>
      <c r="C633" s="12" t="s">
        <v>145</v>
      </c>
      <c r="D633" s="15" t="str">
        <f t="shared" si="9"/>
        <v>Credit Research NFB - SUP</v>
      </c>
      <c r="E633" s="12" t="s">
        <v>126</v>
      </c>
      <c r="F633" s="12" t="s">
        <v>184</v>
      </c>
      <c r="G633" s="12" t="s">
        <v>184</v>
      </c>
      <c r="H633" s="12" t="s">
        <v>1025</v>
      </c>
      <c r="I633" s="12" t="s">
        <v>1026</v>
      </c>
    </row>
    <row r="634" spans="1:9">
      <c r="A634" s="14">
        <v>28076</v>
      </c>
      <c r="B634" s="14" t="s">
        <v>655</v>
      </c>
      <c r="C634" s="12" t="s">
        <v>116</v>
      </c>
      <c r="D634" s="15" t="str">
        <f t="shared" si="9"/>
        <v>CreditShop 1stParty Collection - PRD</v>
      </c>
      <c r="E634" s="12" t="s">
        <v>126</v>
      </c>
      <c r="F634" s="12" t="s">
        <v>178</v>
      </c>
      <c r="G634" s="12" t="s">
        <v>128</v>
      </c>
      <c r="H634" s="12" t="s">
        <v>1025</v>
      </c>
      <c r="I634" s="12" t="s">
        <v>1026</v>
      </c>
    </row>
    <row r="635" spans="1:9">
      <c r="A635" s="14">
        <v>10830</v>
      </c>
      <c r="B635" s="14" t="s">
        <v>416</v>
      </c>
      <c r="C635" s="12" t="s">
        <v>144</v>
      </c>
      <c r="D635" s="15" t="str">
        <f t="shared" si="9"/>
        <v>Cricut WFMaaS - CCOD</v>
      </c>
      <c r="E635" s="12" t="s">
        <v>112</v>
      </c>
      <c r="F635" s="12" t="s">
        <v>867</v>
      </c>
      <c r="G635" s="12" t="s">
        <v>114</v>
      </c>
      <c r="H635" s="12" t="s">
        <v>1025</v>
      </c>
      <c r="I635" s="12" t="s">
        <v>1026</v>
      </c>
    </row>
    <row r="636" spans="1:9">
      <c r="A636" s="14">
        <v>10830</v>
      </c>
      <c r="B636" s="14" t="s">
        <v>416</v>
      </c>
      <c r="C636" s="12" t="s">
        <v>145</v>
      </c>
      <c r="D636" s="15" t="str">
        <f t="shared" si="9"/>
        <v>Cricut WFMaaS - SUP</v>
      </c>
      <c r="E636" s="12" t="s">
        <v>112</v>
      </c>
      <c r="F636" s="12" t="s">
        <v>867</v>
      </c>
      <c r="G636" s="12" t="s">
        <v>114</v>
      </c>
      <c r="H636" s="12" t="s">
        <v>1025</v>
      </c>
      <c r="I636" s="12" t="s">
        <v>1026</v>
      </c>
    </row>
    <row r="637" spans="1:9">
      <c r="A637" s="14">
        <v>90205</v>
      </c>
      <c r="B637" s="14" t="s">
        <v>412</v>
      </c>
      <c r="C637" s="12" t="s">
        <v>352</v>
      </c>
      <c r="D637" s="15" t="str">
        <f t="shared" si="9"/>
        <v>CTO Office - EAT</v>
      </c>
      <c r="E637" s="12" t="s">
        <v>104</v>
      </c>
      <c r="F637" s="12" t="s">
        <v>263</v>
      </c>
      <c r="G637" s="12" t="s">
        <v>264</v>
      </c>
      <c r="H637" s="12" t="s">
        <v>1025</v>
      </c>
      <c r="I637" s="12" t="s">
        <v>1026</v>
      </c>
    </row>
    <row r="638" spans="1:9">
      <c r="A638" s="14">
        <v>90205</v>
      </c>
      <c r="B638" s="14" t="s">
        <v>412</v>
      </c>
      <c r="C638" s="12" t="s">
        <v>262</v>
      </c>
      <c r="D638" s="15" t="str">
        <f t="shared" si="9"/>
        <v>CTO Office - GSI</v>
      </c>
      <c r="E638" s="12" t="s">
        <v>104</v>
      </c>
      <c r="F638" s="12" t="s">
        <v>263</v>
      </c>
      <c r="G638" s="12" t="s">
        <v>264</v>
      </c>
      <c r="H638" s="12" t="s">
        <v>1025</v>
      </c>
      <c r="I638" s="12" t="s">
        <v>1026</v>
      </c>
    </row>
    <row r="639" spans="1:9">
      <c r="A639" s="14">
        <v>90205</v>
      </c>
      <c r="B639" s="14" t="s">
        <v>412</v>
      </c>
      <c r="C639" s="12" t="s">
        <v>415</v>
      </c>
      <c r="D639" s="15" t="str">
        <f t="shared" si="9"/>
        <v>CTO Office - GTI</v>
      </c>
      <c r="E639" s="12" t="s">
        <v>104</v>
      </c>
      <c r="F639" s="12" t="s">
        <v>263</v>
      </c>
      <c r="G639" s="12" t="s">
        <v>264</v>
      </c>
      <c r="H639" s="12" t="s">
        <v>1025</v>
      </c>
      <c r="I639" s="12" t="s">
        <v>1026</v>
      </c>
    </row>
    <row r="640" spans="1:9">
      <c r="A640" s="14">
        <v>90205</v>
      </c>
      <c r="B640" s="14" t="s">
        <v>412</v>
      </c>
      <c r="C640" s="12" t="s">
        <v>129</v>
      </c>
      <c r="D640" s="15" t="str">
        <f t="shared" si="9"/>
        <v>CTO Office - MGT</v>
      </c>
      <c r="E640" s="12" t="s">
        <v>104</v>
      </c>
      <c r="F640" s="12" t="s">
        <v>263</v>
      </c>
      <c r="G640" s="12" t="s">
        <v>264</v>
      </c>
      <c r="H640" s="12" t="s">
        <v>1025</v>
      </c>
      <c r="I640" s="12" t="s">
        <v>1026</v>
      </c>
    </row>
    <row r="641" spans="1:9">
      <c r="A641" s="14">
        <v>90205</v>
      </c>
      <c r="B641" s="14" t="s">
        <v>412</v>
      </c>
      <c r="C641" s="12" t="s">
        <v>145</v>
      </c>
      <c r="D641" s="15" t="str">
        <f t="shared" si="9"/>
        <v>CTO Office - SUP</v>
      </c>
      <c r="E641" s="12" t="s">
        <v>104</v>
      </c>
      <c r="F641" s="12" t="s">
        <v>263</v>
      </c>
      <c r="G641" s="12" t="s">
        <v>264</v>
      </c>
      <c r="H641" s="12" t="s">
        <v>1025</v>
      </c>
      <c r="I641" s="12" t="s">
        <v>1026</v>
      </c>
    </row>
    <row r="642" spans="1:9">
      <c r="A642" s="14">
        <v>86251</v>
      </c>
      <c r="B642" s="14" t="s">
        <v>899</v>
      </c>
      <c r="C642" s="12" t="s">
        <v>111</v>
      </c>
      <c r="D642" s="15" t="str">
        <f t="shared" ref="D642:D705" si="10">B642&amp;" - "&amp;C642</f>
        <v>Customer Experience - Program - QLY</v>
      </c>
      <c r="E642" s="12" t="s">
        <v>104</v>
      </c>
      <c r="F642" s="12" t="s">
        <v>113</v>
      </c>
      <c r="G642" s="12" t="s">
        <v>114</v>
      </c>
      <c r="H642" s="12" t="s">
        <v>1025</v>
      </c>
      <c r="I642" s="12" t="s">
        <v>1026</v>
      </c>
    </row>
    <row r="643" spans="1:9">
      <c r="A643" s="14">
        <v>86251</v>
      </c>
      <c r="B643" s="14" t="s">
        <v>899</v>
      </c>
      <c r="C643" s="12" t="s">
        <v>145</v>
      </c>
      <c r="D643" s="15" t="str">
        <f t="shared" si="10"/>
        <v>Customer Experience - Program - SUP</v>
      </c>
      <c r="E643" s="12" t="s">
        <v>104</v>
      </c>
      <c r="F643" s="12" t="s">
        <v>113</v>
      </c>
      <c r="G643" s="12" t="s">
        <v>114</v>
      </c>
      <c r="H643" s="12" t="s">
        <v>1025</v>
      </c>
      <c r="I643" s="12" t="s">
        <v>1026</v>
      </c>
    </row>
    <row r="644" spans="1:9">
      <c r="A644" s="14">
        <v>86220</v>
      </c>
      <c r="B644" s="14" t="s">
        <v>420</v>
      </c>
      <c r="C644" s="12" t="s">
        <v>150</v>
      </c>
      <c r="D644" s="15" t="str">
        <f t="shared" si="10"/>
        <v>Customer Experience - Quality - CCS</v>
      </c>
      <c r="E644" s="12" t="s">
        <v>104</v>
      </c>
      <c r="F644" s="12" t="s">
        <v>113</v>
      </c>
      <c r="G644" s="12" t="s">
        <v>114</v>
      </c>
      <c r="H644" s="12" t="s">
        <v>1025</v>
      </c>
      <c r="I644" s="12" t="s">
        <v>1026</v>
      </c>
    </row>
    <row r="645" spans="1:9">
      <c r="A645" s="14">
        <v>86220</v>
      </c>
      <c r="B645" s="14" t="s">
        <v>420</v>
      </c>
      <c r="C645" s="12" t="s">
        <v>422</v>
      </c>
      <c r="D645" s="15" t="str">
        <f t="shared" si="10"/>
        <v>Customer Experience - Quality - FMEA</v>
      </c>
      <c r="E645" s="12" t="s">
        <v>104</v>
      </c>
      <c r="F645" s="12" t="s">
        <v>113</v>
      </c>
      <c r="G645" s="12" t="s">
        <v>114</v>
      </c>
      <c r="H645" s="12" t="s">
        <v>1025</v>
      </c>
      <c r="I645" s="12" t="s">
        <v>1026</v>
      </c>
    </row>
    <row r="646" spans="1:9">
      <c r="A646" s="14">
        <v>86220</v>
      </c>
      <c r="B646" s="14" t="s">
        <v>420</v>
      </c>
      <c r="C646" s="12" t="s">
        <v>129</v>
      </c>
      <c r="D646" s="15" t="str">
        <f t="shared" si="10"/>
        <v>Customer Experience - Quality - MGT</v>
      </c>
      <c r="E646" s="12" t="s">
        <v>104</v>
      </c>
      <c r="F646" s="12" t="s">
        <v>113</v>
      </c>
      <c r="G646" s="12" t="s">
        <v>114</v>
      </c>
      <c r="H646" s="12" t="s">
        <v>1025</v>
      </c>
      <c r="I646" s="12" t="s">
        <v>1026</v>
      </c>
    </row>
    <row r="647" spans="1:9">
      <c r="A647" s="14">
        <v>86220</v>
      </c>
      <c r="B647" s="14" t="s">
        <v>420</v>
      </c>
      <c r="C647" s="12" t="s">
        <v>177</v>
      </c>
      <c r="D647" s="15" t="str">
        <f t="shared" si="10"/>
        <v>Customer Experience - Quality - OPS</v>
      </c>
      <c r="E647" s="12" t="s">
        <v>104</v>
      </c>
      <c r="F647" s="12" t="s">
        <v>113</v>
      </c>
      <c r="G647" s="12" t="s">
        <v>114</v>
      </c>
      <c r="H647" s="12" t="s">
        <v>1025</v>
      </c>
      <c r="I647" s="12" t="s">
        <v>1026</v>
      </c>
    </row>
    <row r="648" spans="1:9">
      <c r="A648" s="14">
        <v>86220</v>
      </c>
      <c r="B648" s="14" t="s">
        <v>420</v>
      </c>
      <c r="C648" s="12" t="s">
        <v>418</v>
      </c>
      <c r="D648" s="15" t="str">
        <f t="shared" si="10"/>
        <v>Customer Experience - Quality - QLC</v>
      </c>
      <c r="E648" s="12" t="s">
        <v>104</v>
      </c>
      <c r="F648" s="12" t="s">
        <v>113</v>
      </c>
      <c r="G648" s="12" t="s">
        <v>114</v>
      </c>
      <c r="H648" s="12" t="s">
        <v>1025</v>
      </c>
      <c r="I648" s="12" t="s">
        <v>1026</v>
      </c>
    </row>
    <row r="649" spans="1:9">
      <c r="A649" s="14">
        <v>86220</v>
      </c>
      <c r="B649" s="14" t="s">
        <v>420</v>
      </c>
      <c r="C649" s="12" t="s">
        <v>111</v>
      </c>
      <c r="D649" s="15" t="str">
        <f t="shared" si="10"/>
        <v>Customer Experience - Quality - QLY</v>
      </c>
      <c r="E649" s="12" t="s">
        <v>104</v>
      </c>
      <c r="F649" s="12" t="s">
        <v>113</v>
      </c>
      <c r="G649" s="12" t="s">
        <v>114</v>
      </c>
      <c r="H649" s="12" t="s">
        <v>1025</v>
      </c>
      <c r="I649" s="12" t="s">
        <v>1026</v>
      </c>
    </row>
    <row r="650" spans="1:9">
      <c r="A650" s="14">
        <v>86220</v>
      </c>
      <c r="B650" s="14" t="s">
        <v>420</v>
      </c>
      <c r="C650" s="12" t="s">
        <v>119</v>
      </c>
      <c r="D650" s="15" t="str">
        <f t="shared" si="10"/>
        <v>Customer Experience - Quality - SQM</v>
      </c>
      <c r="E650" s="12" t="s">
        <v>104</v>
      </c>
      <c r="F650" s="12" t="s">
        <v>113</v>
      </c>
      <c r="G650" s="12" t="s">
        <v>114</v>
      </c>
      <c r="H650" s="12" t="s">
        <v>1025</v>
      </c>
      <c r="I650" s="12" t="s">
        <v>1026</v>
      </c>
    </row>
    <row r="651" spans="1:9">
      <c r="A651" s="14">
        <v>86220</v>
      </c>
      <c r="B651" s="14" t="s">
        <v>420</v>
      </c>
      <c r="C651" s="12" t="s">
        <v>145</v>
      </c>
      <c r="D651" s="15" t="str">
        <f t="shared" si="10"/>
        <v>Customer Experience - Quality - SUP</v>
      </c>
      <c r="E651" s="12" t="s">
        <v>104</v>
      </c>
      <c r="F651" s="12" t="s">
        <v>113</v>
      </c>
      <c r="G651" s="12" t="s">
        <v>114</v>
      </c>
      <c r="H651" s="12" t="s">
        <v>1025</v>
      </c>
      <c r="I651" s="12" t="s">
        <v>1026</v>
      </c>
    </row>
    <row r="652" spans="1:9">
      <c r="A652" s="14">
        <v>86220</v>
      </c>
      <c r="B652" s="14" t="s">
        <v>420</v>
      </c>
      <c r="C652" s="12" t="s">
        <v>196</v>
      </c>
      <c r="D652" s="15" t="str">
        <f t="shared" si="10"/>
        <v>Customer Experience - Quality - SUT</v>
      </c>
      <c r="E652" s="12" t="s">
        <v>104</v>
      </c>
      <c r="F652" s="12" t="s">
        <v>113</v>
      </c>
      <c r="G652" s="12" t="s">
        <v>114</v>
      </c>
      <c r="H652" s="12" t="s">
        <v>1025</v>
      </c>
      <c r="I652" s="12" t="s">
        <v>1026</v>
      </c>
    </row>
    <row r="653" spans="1:9">
      <c r="A653" s="14">
        <v>86220</v>
      </c>
      <c r="B653" s="14" t="s">
        <v>420</v>
      </c>
      <c r="C653" s="12" t="s">
        <v>180</v>
      </c>
      <c r="D653" s="15" t="str">
        <f t="shared" si="10"/>
        <v>Customer Experience - Quality - TMG</v>
      </c>
      <c r="E653" s="12" t="s">
        <v>104</v>
      </c>
      <c r="F653" s="12" t="s">
        <v>113</v>
      </c>
      <c r="G653" s="12" t="s">
        <v>114</v>
      </c>
      <c r="H653" s="12" t="s">
        <v>1025</v>
      </c>
      <c r="I653" s="12" t="s">
        <v>1026</v>
      </c>
    </row>
    <row r="654" spans="1:9">
      <c r="A654" s="14">
        <v>86220</v>
      </c>
      <c r="B654" s="14" t="s">
        <v>420</v>
      </c>
      <c r="C654" s="12" t="s">
        <v>208</v>
      </c>
      <c r="D654" s="15" t="str">
        <f t="shared" si="10"/>
        <v>Customer Experience - Quality - TTR</v>
      </c>
      <c r="E654" s="12" t="s">
        <v>104</v>
      </c>
      <c r="F654" s="12" t="s">
        <v>204</v>
      </c>
      <c r="G654" s="12" t="s">
        <v>205</v>
      </c>
      <c r="H654" s="12" t="s">
        <v>1025</v>
      </c>
      <c r="I654" s="12" t="s">
        <v>1026</v>
      </c>
    </row>
    <row r="655" spans="1:9">
      <c r="A655" s="14">
        <v>86250</v>
      </c>
      <c r="B655" s="14" t="s">
        <v>430</v>
      </c>
      <c r="C655" s="12" t="s">
        <v>431</v>
      </c>
      <c r="D655" s="15" t="str">
        <f t="shared" si="10"/>
        <v>Customer Experience - SD - AGA</v>
      </c>
      <c r="E655" s="12" t="s">
        <v>104</v>
      </c>
      <c r="F655" s="12" t="s">
        <v>113</v>
      </c>
      <c r="G655" s="12" t="s">
        <v>114</v>
      </c>
      <c r="H655" s="12" t="s">
        <v>1025</v>
      </c>
      <c r="I655" s="12" t="s">
        <v>1026</v>
      </c>
    </row>
    <row r="656" spans="1:9">
      <c r="A656" s="14">
        <v>86250</v>
      </c>
      <c r="B656" s="14" t="s">
        <v>430</v>
      </c>
      <c r="C656" s="12" t="s">
        <v>433</v>
      </c>
      <c r="D656" s="15" t="str">
        <f t="shared" si="10"/>
        <v>Customer Experience - SD - ANA</v>
      </c>
      <c r="E656" s="12" t="s">
        <v>104</v>
      </c>
      <c r="F656" s="12" t="s">
        <v>113</v>
      </c>
      <c r="G656" s="12" t="s">
        <v>114</v>
      </c>
      <c r="H656" s="12" t="s">
        <v>1025</v>
      </c>
      <c r="I656" s="12" t="s">
        <v>1026</v>
      </c>
    </row>
    <row r="657" spans="1:9">
      <c r="A657" s="14">
        <v>86250</v>
      </c>
      <c r="B657" s="14" t="s">
        <v>430</v>
      </c>
      <c r="C657" s="12" t="s">
        <v>129</v>
      </c>
      <c r="D657" s="15" t="str">
        <f t="shared" si="10"/>
        <v>Customer Experience - SD - MGT</v>
      </c>
      <c r="E657" s="12" t="s">
        <v>104</v>
      </c>
      <c r="F657" s="12" t="s">
        <v>113</v>
      </c>
      <c r="G657" s="12" t="s">
        <v>114</v>
      </c>
      <c r="H657" s="12" t="s">
        <v>1025</v>
      </c>
      <c r="I657" s="12" t="s">
        <v>1026</v>
      </c>
    </row>
    <row r="658" spans="1:9">
      <c r="A658" s="14">
        <v>86250</v>
      </c>
      <c r="B658" s="14" t="s">
        <v>430</v>
      </c>
      <c r="C658" s="12" t="s">
        <v>418</v>
      </c>
      <c r="D658" s="15" t="str">
        <f t="shared" si="10"/>
        <v>Customer Experience - SD - QLC</v>
      </c>
      <c r="E658" s="12" t="s">
        <v>104</v>
      </c>
      <c r="F658" s="12" t="s">
        <v>113</v>
      </c>
      <c r="G658" s="12" t="s">
        <v>114</v>
      </c>
      <c r="H658" s="12" t="s">
        <v>1025</v>
      </c>
      <c r="I658" s="12" t="s">
        <v>1026</v>
      </c>
    </row>
    <row r="659" spans="1:9">
      <c r="A659" s="14">
        <v>86250</v>
      </c>
      <c r="B659" s="14" t="s">
        <v>430</v>
      </c>
      <c r="C659" s="12" t="s">
        <v>111</v>
      </c>
      <c r="D659" s="15" t="str">
        <f t="shared" si="10"/>
        <v>Customer Experience - SD - QLY</v>
      </c>
      <c r="E659" s="12" t="s">
        <v>104</v>
      </c>
      <c r="F659" s="12" t="s">
        <v>113</v>
      </c>
      <c r="G659" s="12" t="s">
        <v>114</v>
      </c>
      <c r="H659" s="12" t="s">
        <v>1025</v>
      </c>
      <c r="I659" s="12" t="s">
        <v>1026</v>
      </c>
    </row>
    <row r="660" spans="1:9">
      <c r="A660" s="14">
        <v>86250</v>
      </c>
      <c r="B660" s="14" t="s">
        <v>430</v>
      </c>
      <c r="C660" s="12" t="s">
        <v>119</v>
      </c>
      <c r="D660" s="15" t="str">
        <f t="shared" si="10"/>
        <v>Customer Experience - SD - SQM</v>
      </c>
      <c r="E660" s="12" t="s">
        <v>104</v>
      </c>
      <c r="F660" s="12" t="s">
        <v>113</v>
      </c>
      <c r="G660" s="12" t="s">
        <v>114</v>
      </c>
      <c r="H660" s="12" t="s">
        <v>1025</v>
      </c>
      <c r="I660" s="12" t="s">
        <v>1026</v>
      </c>
    </row>
    <row r="661" spans="1:9">
      <c r="A661" s="14">
        <v>86250</v>
      </c>
      <c r="B661" s="14" t="s">
        <v>430</v>
      </c>
      <c r="C661" s="12" t="s">
        <v>145</v>
      </c>
      <c r="D661" s="15" t="str">
        <f t="shared" si="10"/>
        <v>Customer Experience - SD - SUP</v>
      </c>
      <c r="E661" s="12" t="s">
        <v>104</v>
      </c>
      <c r="F661" s="12" t="s">
        <v>113</v>
      </c>
      <c r="G661" s="12" t="s">
        <v>114</v>
      </c>
      <c r="H661" s="12" t="s">
        <v>1025</v>
      </c>
      <c r="I661" s="12" t="s">
        <v>1026</v>
      </c>
    </row>
    <row r="662" spans="1:9">
      <c r="A662" s="14">
        <v>86250</v>
      </c>
      <c r="B662" s="14" t="s">
        <v>430</v>
      </c>
      <c r="C662" s="12" t="s">
        <v>185</v>
      </c>
      <c r="D662" s="15" t="str">
        <f t="shared" si="10"/>
        <v>Customer Experience - SD - TPS</v>
      </c>
      <c r="E662" s="12" t="s">
        <v>104</v>
      </c>
      <c r="F662" s="12" t="s">
        <v>113</v>
      </c>
      <c r="G662" s="12" t="s">
        <v>114</v>
      </c>
      <c r="H662" s="12" t="s">
        <v>1025</v>
      </c>
      <c r="I662" s="12" t="s">
        <v>1026</v>
      </c>
    </row>
    <row r="663" spans="1:9">
      <c r="A663" s="14">
        <v>93101</v>
      </c>
      <c r="B663" s="14" t="s">
        <v>441</v>
      </c>
      <c r="C663" s="12" t="s">
        <v>145</v>
      </c>
      <c r="D663" s="15" t="str">
        <f t="shared" si="10"/>
        <v>Customer Relations - SUP</v>
      </c>
      <c r="E663" s="12" t="s">
        <v>104</v>
      </c>
      <c r="F663" s="12" t="s">
        <v>257</v>
      </c>
      <c r="G663" s="12" t="s">
        <v>114</v>
      </c>
      <c r="H663" s="12" t="s">
        <v>1025</v>
      </c>
      <c r="I663" s="12" t="s">
        <v>1026</v>
      </c>
    </row>
    <row r="664" spans="1:9">
      <c r="A664" s="14">
        <v>51088</v>
      </c>
      <c r="B664" s="14" t="s">
        <v>700</v>
      </c>
      <c r="C664" s="12" t="s">
        <v>116</v>
      </c>
      <c r="D664" s="15" t="str">
        <f t="shared" si="10"/>
        <v>CW-2204-2303-SOA-APP-Support - PRD</v>
      </c>
      <c r="E664" s="12" t="s">
        <v>117</v>
      </c>
      <c r="F664" s="12" t="s">
        <v>117</v>
      </c>
      <c r="G664" s="12" t="s">
        <v>117</v>
      </c>
      <c r="H664" s="12" t="s">
        <v>1025</v>
      </c>
      <c r="I664" s="12" t="s">
        <v>1026</v>
      </c>
    </row>
    <row r="665" spans="1:9">
      <c r="A665" s="14">
        <v>10470</v>
      </c>
      <c r="B665" s="14" t="s">
        <v>240</v>
      </c>
      <c r="C665" s="12" t="s">
        <v>185</v>
      </c>
      <c r="D665" s="15" t="str">
        <f t="shared" si="10"/>
        <v>CX and KA GST - TPS</v>
      </c>
      <c r="E665" s="12" t="s">
        <v>126</v>
      </c>
      <c r="F665" s="12" t="s">
        <v>163</v>
      </c>
      <c r="G665" s="12" t="s">
        <v>164</v>
      </c>
      <c r="H665" s="12" t="s">
        <v>1025</v>
      </c>
      <c r="I665" s="12" t="s">
        <v>1026</v>
      </c>
    </row>
    <row r="666" spans="1:9">
      <c r="A666" s="14">
        <v>51385</v>
      </c>
      <c r="B666" s="14" t="s">
        <v>779</v>
      </c>
      <c r="C666" s="12" t="s">
        <v>116</v>
      </c>
      <c r="D666" s="15" t="str">
        <f t="shared" si="10"/>
        <v>DAI-2208-2212-IT_DeveloperLead - PRD</v>
      </c>
      <c r="E666" s="12" t="s">
        <v>117</v>
      </c>
      <c r="F666" s="12" t="s">
        <v>117</v>
      </c>
      <c r="G666" s="12" t="s">
        <v>117</v>
      </c>
      <c r="H666" s="12" t="s">
        <v>1025</v>
      </c>
      <c r="I666" s="12" t="s">
        <v>1026</v>
      </c>
    </row>
    <row r="667" spans="1:9">
      <c r="A667" s="14">
        <v>51097</v>
      </c>
      <c r="B667" s="14" t="s">
        <v>701</v>
      </c>
      <c r="C667" s="12" t="s">
        <v>116</v>
      </c>
      <c r="D667" s="15" t="str">
        <f t="shared" si="10"/>
        <v>DAI-2304-2312-IT-HelpDesk-Nara - PRD</v>
      </c>
      <c r="E667" s="12" t="s">
        <v>117</v>
      </c>
      <c r="F667" s="12" t="s">
        <v>117</v>
      </c>
      <c r="G667" s="12" t="s">
        <v>117</v>
      </c>
      <c r="H667" s="12" t="s">
        <v>1025</v>
      </c>
      <c r="I667" s="12" t="s">
        <v>1026</v>
      </c>
    </row>
    <row r="668" spans="1:9">
      <c r="A668" s="14">
        <v>51101</v>
      </c>
      <c r="B668" s="14" t="s">
        <v>702</v>
      </c>
      <c r="C668" s="12" t="s">
        <v>116</v>
      </c>
      <c r="D668" s="15" t="str">
        <f t="shared" si="10"/>
        <v>DAI-EAS-OracleEBS-MirMubashirA - PRD</v>
      </c>
      <c r="E668" s="12" t="s">
        <v>117</v>
      </c>
      <c r="F668" s="12" t="s">
        <v>117</v>
      </c>
      <c r="G668" s="12" t="s">
        <v>117</v>
      </c>
      <c r="H668" s="12" t="s">
        <v>1025</v>
      </c>
      <c r="I668" s="12" t="s">
        <v>1026</v>
      </c>
    </row>
    <row r="669" spans="1:9">
      <c r="A669" s="14">
        <v>51103</v>
      </c>
      <c r="B669" s="14" t="s">
        <v>703</v>
      </c>
      <c r="C669" s="12" t="s">
        <v>116</v>
      </c>
      <c r="D669" s="15" t="str">
        <f t="shared" si="10"/>
        <v>DAI-HRMS-Vamsi - PRD</v>
      </c>
      <c r="E669" s="12" t="s">
        <v>117</v>
      </c>
      <c r="F669" s="12" t="s">
        <v>117</v>
      </c>
      <c r="G669" s="12" t="s">
        <v>117</v>
      </c>
      <c r="H669" s="12" t="s">
        <v>1025</v>
      </c>
      <c r="I669" s="12" t="s">
        <v>1026</v>
      </c>
    </row>
    <row r="670" spans="1:9">
      <c r="A670" s="14">
        <v>51104</v>
      </c>
      <c r="B670" s="14" t="s">
        <v>704</v>
      </c>
      <c r="C670" s="12" t="s">
        <v>116</v>
      </c>
      <c r="D670" s="15" t="str">
        <f t="shared" si="10"/>
        <v>DAI-ITInfraDesk - PRD</v>
      </c>
      <c r="E670" s="12" t="s">
        <v>117</v>
      </c>
      <c r="F670" s="12" t="s">
        <v>117</v>
      </c>
      <c r="G670" s="12" t="s">
        <v>117</v>
      </c>
      <c r="H670" s="12" t="s">
        <v>1025</v>
      </c>
      <c r="I670" s="12" t="s">
        <v>1026</v>
      </c>
    </row>
    <row r="671" spans="1:9">
      <c r="A671" s="14">
        <v>51105</v>
      </c>
      <c r="B671" s="14" t="s">
        <v>705</v>
      </c>
      <c r="C671" s="12" t="s">
        <v>116</v>
      </c>
      <c r="D671" s="15" t="str">
        <f t="shared" si="10"/>
        <v>DAI-O365-Venkat - PRD</v>
      </c>
      <c r="E671" s="12" t="s">
        <v>117</v>
      </c>
      <c r="F671" s="12" t="s">
        <v>117</v>
      </c>
      <c r="G671" s="12" t="s">
        <v>117</v>
      </c>
      <c r="H671" s="12" t="s">
        <v>1025</v>
      </c>
      <c r="I671" s="12" t="s">
        <v>1026</v>
      </c>
    </row>
    <row r="672" spans="1:9">
      <c r="A672" s="14">
        <v>51106</v>
      </c>
      <c r="B672" s="14" t="s">
        <v>706</v>
      </c>
      <c r="C672" s="12" t="s">
        <v>116</v>
      </c>
      <c r="D672" s="15" t="str">
        <f t="shared" si="10"/>
        <v>DAI-OracleAppsTechnical - PRD</v>
      </c>
      <c r="E672" s="12" t="s">
        <v>117</v>
      </c>
      <c r="F672" s="12" t="s">
        <v>117</v>
      </c>
      <c r="G672" s="12" t="s">
        <v>117</v>
      </c>
      <c r="H672" s="12" t="s">
        <v>1025</v>
      </c>
      <c r="I672" s="12" t="s">
        <v>1026</v>
      </c>
    </row>
    <row r="673" spans="1:9">
      <c r="A673" s="14">
        <v>51115</v>
      </c>
      <c r="B673" s="14" t="s">
        <v>709</v>
      </c>
      <c r="C673" s="12" t="s">
        <v>116</v>
      </c>
      <c r="D673" s="15" t="str">
        <f t="shared" si="10"/>
        <v>Deckers-EBSEnhancement - PRD</v>
      </c>
      <c r="E673" s="12" t="s">
        <v>117</v>
      </c>
      <c r="F673" s="12" t="s">
        <v>117</v>
      </c>
      <c r="G673" s="12" t="s">
        <v>117</v>
      </c>
      <c r="H673" s="12" t="s">
        <v>1025</v>
      </c>
      <c r="I673" s="12" t="s">
        <v>1026</v>
      </c>
    </row>
    <row r="674" spans="1:9">
      <c r="A674" s="14">
        <v>51119</v>
      </c>
      <c r="B674" s="14" t="s">
        <v>710</v>
      </c>
      <c r="C674" s="12" t="s">
        <v>116</v>
      </c>
      <c r="D674" s="15" t="str">
        <f t="shared" si="10"/>
        <v>Deckers-SOAInfraSupport - PRD</v>
      </c>
      <c r="E674" s="12" t="s">
        <v>117</v>
      </c>
      <c r="F674" s="12" t="s">
        <v>117</v>
      </c>
      <c r="G674" s="12" t="s">
        <v>117</v>
      </c>
      <c r="H674" s="12" t="s">
        <v>1025</v>
      </c>
      <c r="I674" s="12" t="s">
        <v>1026</v>
      </c>
    </row>
    <row r="675" spans="1:9">
      <c r="A675" s="14">
        <v>10648</v>
      </c>
      <c r="B675" s="14" t="s">
        <v>283</v>
      </c>
      <c r="C675" s="12" t="s">
        <v>145</v>
      </c>
      <c r="D675" s="15" t="str">
        <f t="shared" si="10"/>
        <v>Dell SmartLeap SW License - SUP</v>
      </c>
      <c r="E675" s="12" t="s">
        <v>104</v>
      </c>
      <c r="F675" s="12" t="s">
        <v>117</v>
      </c>
      <c r="G675" s="12" t="s">
        <v>117</v>
      </c>
      <c r="H675" s="12" t="s">
        <v>1025</v>
      </c>
      <c r="I675" s="12" t="s">
        <v>1026</v>
      </c>
    </row>
    <row r="676" spans="1:9">
      <c r="A676" s="14">
        <v>93858</v>
      </c>
      <c r="B676" s="14" t="s">
        <v>982</v>
      </c>
      <c r="C676" s="12" t="s">
        <v>129</v>
      </c>
      <c r="D676" s="15" t="str">
        <f t="shared" si="10"/>
        <v>DES - COE - MGT</v>
      </c>
      <c r="E676" s="12" t="s">
        <v>117</v>
      </c>
      <c r="F676" s="12" t="s">
        <v>117</v>
      </c>
      <c r="G676" s="12" t="s">
        <v>117</v>
      </c>
      <c r="H676" s="12" t="s">
        <v>1025</v>
      </c>
      <c r="I676" s="12" t="s">
        <v>1026</v>
      </c>
    </row>
    <row r="677" spans="1:9">
      <c r="A677" s="14">
        <v>93858</v>
      </c>
      <c r="B677" s="14" t="s">
        <v>982</v>
      </c>
      <c r="C677" s="12" t="s">
        <v>145</v>
      </c>
      <c r="D677" s="15" t="str">
        <f t="shared" si="10"/>
        <v>DES - COE - SUP</v>
      </c>
      <c r="E677" s="12" t="s">
        <v>117</v>
      </c>
      <c r="F677" s="12" t="s">
        <v>117</v>
      </c>
      <c r="G677" s="12" t="s">
        <v>117</v>
      </c>
      <c r="H677" s="12" t="s">
        <v>1025</v>
      </c>
      <c r="I677" s="12" t="s">
        <v>1026</v>
      </c>
    </row>
    <row r="678" spans="1:9">
      <c r="A678" s="14">
        <v>95103</v>
      </c>
      <c r="B678" s="14" t="s">
        <v>454</v>
      </c>
      <c r="C678" s="12" t="s">
        <v>415</v>
      </c>
      <c r="D678" s="15" t="str">
        <f t="shared" si="10"/>
        <v>Deskside Support - GTI</v>
      </c>
      <c r="E678" s="12" t="s">
        <v>117</v>
      </c>
      <c r="F678" s="12" t="s">
        <v>117</v>
      </c>
      <c r="G678" s="12" t="s">
        <v>117</v>
      </c>
      <c r="H678" s="12" t="s">
        <v>1025</v>
      </c>
      <c r="I678" s="12" t="s">
        <v>1026</v>
      </c>
    </row>
    <row r="679" spans="1:9">
      <c r="A679" s="14">
        <v>95103</v>
      </c>
      <c r="B679" s="14" t="s">
        <v>454</v>
      </c>
      <c r="C679" s="12" t="s">
        <v>129</v>
      </c>
      <c r="D679" s="15" t="str">
        <f t="shared" si="10"/>
        <v>Deskside Support - MGT</v>
      </c>
      <c r="E679" s="12" t="s">
        <v>117</v>
      </c>
      <c r="F679" s="12" t="s">
        <v>117</v>
      </c>
      <c r="G679" s="12" t="s">
        <v>117</v>
      </c>
      <c r="H679" s="12" t="s">
        <v>1025</v>
      </c>
      <c r="I679" s="12" t="s">
        <v>1026</v>
      </c>
    </row>
    <row r="680" spans="1:9">
      <c r="A680" s="14">
        <v>95103</v>
      </c>
      <c r="B680" s="14" t="s">
        <v>454</v>
      </c>
      <c r="C680" s="12" t="s">
        <v>145</v>
      </c>
      <c r="D680" s="15" t="str">
        <f t="shared" si="10"/>
        <v>Deskside Support - SUP</v>
      </c>
      <c r="E680" s="12" t="s">
        <v>117</v>
      </c>
      <c r="F680" s="12" t="s">
        <v>117</v>
      </c>
      <c r="G680" s="12" t="s">
        <v>117</v>
      </c>
      <c r="H680" s="12" t="s">
        <v>1025</v>
      </c>
      <c r="I680" s="12" t="s">
        <v>1026</v>
      </c>
    </row>
    <row r="681" spans="1:9">
      <c r="A681" s="14">
        <v>95103</v>
      </c>
      <c r="B681" s="14" t="s">
        <v>454</v>
      </c>
      <c r="C681" s="12" t="s">
        <v>180</v>
      </c>
      <c r="D681" s="15" t="str">
        <f t="shared" si="10"/>
        <v>Deskside Support - TMG</v>
      </c>
      <c r="E681" s="12" t="s">
        <v>117</v>
      </c>
      <c r="F681" s="12" t="s">
        <v>117</v>
      </c>
      <c r="G681" s="12" t="s">
        <v>117</v>
      </c>
      <c r="H681" s="12" t="s">
        <v>1025</v>
      </c>
      <c r="I681" s="12" t="s">
        <v>1026</v>
      </c>
    </row>
    <row r="682" spans="1:9">
      <c r="A682" s="14">
        <v>10829</v>
      </c>
      <c r="B682" s="14" t="s">
        <v>414</v>
      </c>
      <c r="C682" s="12" t="s">
        <v>306</v>
      </c>
      <c r="D682" s="15" t="str">
        <f t="shared" si="10"/>
        <v>DHG Audit - FAO</v>
      </c>
      <c r="E682" s="12" t="s">
        <v>126</v>
      </c>
      <c r="F682" s="12" t="s">
        <v>673</v>
      </c>
      <c r="G682" s="12" t="s">
        <v>114</v>
      </c>
      <c r="H682" s="12" t="s">
        <v>1025</v>
      </c>
      <c r="I682" s="12" t="s">
        <v>1026</v>
      </c>
    </row>
    <row r="683" spans="1:9">
      <c r="A683" s="14">
        <v>10829</v>
      </c>
      <c r="B683" s="14" t="s">
        <v>414</v>
      </c>
      <c r="C683" s="12" t="s">
        <v>185</v>
      </c>
      <c r="D683" s="15" t="str">
        <f t="shared" si="10"/>
        <v>DHG Audit - TPS</v>
      </c>
      <c r="E683" s="12" t="s">
        <v>126</v>
      </c>
      <c r="F683" s="12" t="s">
        <v>673</v>
      </c>
      <c r="G683" s="12" t="s">
        <v>114</v>
      </c>
      <c r="H683" s="12" t="s">
        <v>1025</v>
      </c>
      <c r="I683" s="12" t="s">
        <v>1026</v>
      </c>
    </row>
    <row r="684" spans="1:9">
      <c r="A684" s="14">
        <v>10756</v>
      </c>
      <c r="B684" s="14" t="s">
        <v>359</v>
      </c>
      <c r="C684" s="12" t="s">
        <v>138</v>
      </c>
      <c r="D684" s="15" t="str">
        <f t="shared" si="10"/>
        <v>DHG Tax Auditing - BOS</v>
      </c>
      <c r="E684" s="12" t="s">
        <v>126</v>
      </c>
      <c r="F684" s="12" t="s">
        <v>673</v>
      </c>
      <c r="G684" s="12" t="s">
        <v>114</v>
      </c>
      <c r="H684" s="12" t="s">
        <v>1025</v>
      </c>
      <c r="I684" s="12" t="s">
        <v>1026</v>
      </c>
    </row>
    <row r="685" spans="1:9">
      <c r="A685" s="14">
        <v>10756</v>
      </c>
      <c r="B685" s="14" t="s">
        <v>359</v>
      </c>
      <c r="C685" s="12" t="s">
        <v>116</v>
      </c>
      <c r="D685" s="15" t="str">
        <f t="shared" si="10"/>
        <v>DHG Tax Auditing - PRD</v>
      </c>
      <c r="E685" s="12" t="s">
        <v>126</v>
      </c>
      <c r="F685" s="12" t="s">
        <v>673</v>
      </c>
      <c r="G685" s="12" t="s">
        <v>114</v>
      </c>
      <c r="H685" s="12" t="s">
        <v>1025</v>
      </c>
      <c r="I685" s="12" t="s">
        <v>1026</v>
      </c>
    </row>
    <row r="686" spans="1:9">
      <c r="A686" s="14">
        <v>10756</v>
      </c>
      <c r="B686" s="14" t="s">
        <v>359</v>
      </c>
      <c r="C686" s="12" t="s">
        <v>145</v>
      </c>
      <c r="D686" s="15" t="str">
        <f t="shared" si="10"/>
        <v>DHG Tax Auditing - SUP</v>
      </c>
      <c r="E686" s="12" t="s">
        <v>126</v>
      </c>
      <c r="F686" s="12" t="s">
        <v>673</v>
      </c>
      <c r="G686" s="12" t="s">
        <v>114</v>
      </c>
      <c r="H686" s="12" t="s">
        <v>1025</v>
      </c>
      <c r="I686" s="12" t="s">
        <v>1026</v>
      </c>
    </row>
    <row r="687" spans="1:9">
      <c r="A687" s="14">
        <v>10795</v>
      </c>
      <c r="B687" s="14" t="s">
        <v>390</v>
      </c>
      <c r="C687" s="12" t="s">
        <v>116</v>
      </c>
      <c r="D687" s="15" t="str">
        <f t="shared" si="10"/>
        <v>DHL PHN DCC - PRD</v>
      </c>
      <c r="E687" s="12" t="s">
        <v>126</v>
      </c>
      <c r="F687" s="12" t="s">
        <v>127</v>
      </c>
      <c r="G687" s="12" t="s">
        <v>128</v>
      </c>
      <c r="H687" s="12" t="s">
        <v>1025</v>
      </c>
      <c r="I687" s="12" t="s">
        <v>1026</v>
      </c>
    </row>
    <row r="688" spans="1:9">
      <c r="A688" s="14">
        <v>10795</v>
      </c>
      <c r="B688" s="14" t="s">
        <v>390</v>
      </c>
      <c r="C688" s="12" t="s">
        <v>180</v>
      </c>
      <c r="D688" s="15" t="str">
        <f t="shared" si="10"/>
        <v>DHL PHN DCC - TMG</v>
      </c>
      <c r="E688" s="12" t="s">
        <v>126</v>
      </c>
      <c r="F688" s="12" t="s">
        <v>127</v>
      </c>
      <c r="G688" s="12" t="s">
        <v>128</v>
      </c>
      <c r="H688" s="12" t="s">
        <v>1025</v>
      </c>
      <c r="I688" s="12" t="s">
        <v>1026</v>
      </c>
    </row>
    <row r="689" spans="1:9">
      <c r="A689" s="14">
        <v>40203</v>
      </c>
      <c r="B689" s="14" t="s">
        <v>680</v>
      </c>
      <c r="C689" s="12" t="s">
        <v>133</v>
      </c>
      <c r="D689" s="15" t="str">
        <f t="shared" si="10"/>
        <v>DHL_KYC_INT - AMG</v>
      </c>
      <c r="E689" s="12" t="s">
        <v>126</v>
      </c>
      <c r="F689" s="12" t="s">
        <v>127</v>
      </c>
      <c r="G689" s="12" t="s">
        <v>128</v>
      </c>
      <c r="H689" s="12" t="s">
        <v>1025</v>
      </c>
      <c r="I689" s="12" t="s">
        <v>1026</v>
      </c>
    </row>
    <row r="690" spans="1:9">
      <c r="A690" s="14">
        <v>40203</v>
      </c>
      <c r="B690" s="14" t="s">
        <v>680</v>
      </c>
      <c r="C690" s="12" t="s">
        <v>138</v>
      </c>
      <c r="D690" s="15" t="str">
        <f t="shared" si="10"/>
        <v>DHL_KYC_INT - BOS</v>
      </c>
      <c r="E690" s="12" t="s">
        <v>126</v>
      </c>
      <c r="F690" s="12" t="s">
        <v>127</v>
      </c>
      <c r="G690" s="12" t="s">
        <v>128</v>
      </c>
      <c r="H690" s="12" t="s">
        <v>1025</v>
      </c>
      <c r="I690" s="12" t="s">
        <v>1026</v>
      </c>
    </row>
    <row r="691" spans="1:9">
      <c r="A691" s="14">
        <v>40203</v>
      </c>
      <c r="B691" s="14" t="s">
        <v>680</v>
      </c>
      <c r="C691" s="12" t="s">
        <v>150</v>
      </c>
      <c r="D691" s="15" t="str">
        <f t="shared" si="10"/>
        <v>DHL_KYC_INT - CCS</v>
      </c>
      <c r="E691" s="12" t="s">
        <v>126</v>
      </c>
      <c r="F691" s="12" t="s">
        <v>127</v>
      </c>
      <c r="G691" s="12" t="s">
        <v>128</v>
      </c>
      <c r="H691" s="12" t="s">
        <v>1025</v>
      </c>
      <c r="I691" s="12" t="s">
        <v>1026</v>
      </c>
    </row>
    <row r="692" spans="1:9">
      <c r="A692" s="14">
        <v>40203</v>
      </c>
      <c r="B692" s="14" t="s">
        <v>680</v>
      </c>
      <c r="C692" s="12" t="s">
        <v>116</v>
      </c>
      <c r="D692" s="15" t="str">
        <f t="shared" si="10"/>
        <v>DHL_KYC_INT - PRD</v>
      </c>
      <c r="E692" s="12" t="s">
        <v>126</v>
      </c>
      <c r="F692" s="12" t="s">
        <v>127</v>
      </c>
      <c r="G692" s="12" t="s">
        <v>128</v>
      </c>
      <c r="H692" s="12" t="s">
        <v>1025</v>
      </c>
      <c r="I692" s="12" t="s">
        <v>1026</v>
      </c>
    </row>
    <row r="693" spans="1:9">
      <c r="A693" s="14">
        <v>40203</v>
      </c>
      <c r="B693" s="14" t="s">
        <v>680</v>
      </c>
      <c r="C693" s="12" t="s">
        <v>230</v>
      </c>
      <c r="D693" s="15" t="str">
        <f t="shared" si="10"/>
        <v>DHL_KYC_INT - PRSP</v>
      </c>
      <c r="E693" s="12" t="s">
        <v>112</v>
      </c>
      <c r="F693" s="12" t="s">
        <v>204</v>
      </c>
      <c r="G693" s="12" t="s">
        <v>205</v>
      </c>
      <c r="H693" s="12" t="s">
        <v>1025</v>
      </c>
      <c r="I693" s="12" t="s">
        <v>1026</v>
      </c>
    </row>
    <row r="694" spans="1:9">
      <c r="A694" s="14">
        <v>40203</v>
      </c>
      <c r="B694" s="14" t="s">
        <v>680</v>
      </c>
      <c r="C694" s="12" t="s">
        <v>111</v>
      </c>
      <c r="D694" s="15" t="str">
        <f t="shared" si="10"/>
        <v>DHL_KYC_INT - QLY</v>
      </c>
      <c r="E694" s="12" t="s">
        <v>112</v>
      </c>
      <c r="F694" s="12" t="s">
        <v>113</v>
      </c>
      <c r="G694" s="12" t="s">
        <v>114</v>
      </c>
      <c r="H694" s="12" t="s">
        <v>1025</v>
      </c>
      <c r="I694" s="12" t="s">
        <v>1026</v>
      </c>
    </row>
    <row r="695" spans="1:9">
      <c r="A695" s="14">
        <v>40203</v>
      </c>
      <c r="B695" s="14" t="s">
        <v>680</v>
      </c>
      <c r="C695" s="12" t="s">
        <v>145</v>
      </c>
      <c r="D695" s="15" t="str">
        <f t="shared" si="10"/>
        <v>DHL_KYC_INT - SUP</v>
      </c>
      <c r="E695" s="12" t="s">
        <v>126</v>
      </c>
      <c r="F695" s="12" t="s">
        <v>127</v>
      </c>
      <c r="G695" s="12" t="s">
        <v>128</v>
      </c>
      <c r="H695" s="12" t="s">
        <v>1025</v>
      </c>
      <c r="I695" s="12" t="s">
        <v>1026</v>
      </c>
    </row>
    <row r="696" spans="1:9">
      <c r="A696" s="14">
        <v>40203</v>
      </c>
      <c r="B696" s="14" t="s">
        <v>680</v>
      </c>
      <c r="C696" s="12" t="s">
        <v>180</v>
      </c>
      <c r="D696" s="15" t="str">
        <f t="shared" si="10"/>
        <v>DHL_KYC_INT - TMG</v>
      </c>
      <c r="E696" s="12" t="s">
        <v>126</v>
      </c>
      <c r="F696" s="12" t="s">
        <v>127</v>
      </c>
      <c r="G696" s="12" t="s">
        <v>128</v>
      </c>
      <c r="H696" s="12" t="s">
        <v>1025</v>
      </c>
      <c r="I696" s="12" t="s">
        <v>1026</v>
      </c>
    </row>
    <row r="697" spans="1:9">
      <c r="A697" s="14">
        <v>40203</v>
      </c>
      <c r="B697" s="14" t="s">
        <v>680</v>
      </c>
      <c r="C697" s="12" t="s">
        <v>185</v>
      </c>
      <c r="D697" s="15" t="str">
        <f t="shared" si="10"/>
        <v>DHL_KYC_INT - TPS</v>
      </c>
      <c r="E697" s="12" t="s">
        <v>126</v>
      </c>
      <c r="F697" s="12" t="s">
        <v>127</v>
      </c>
      <c r="G697" s="12" t="s">
        <v>128</v>
      </c>
      <c r="H697" s="12" t="s">
        <v>1025</v>
      </c>
      <c r="I697" s="12" t="s">
        <v>1026</v>
      </c>
    </row>
    <row r="698" spans="1:9">
      <c r="A698" s="14">
        <v>40203</v>
      </c>
      <c r="B698" s="14" t="s">
        <v>680</v>
      </c>
      <c r="C698" s="12" t="s">
        <v>203</v>
      </c>
      <c r="D698" s="15" t="str">
        <f t="shared" si="10"/>
        <v>DHL_KYC_INT - TRG</v>
      </c>
      <c r="E698" s="12" t="s">
        <v>112</v>
      </c>
      <c r="F698" s="12" t="s">
        <v>204</v>
      </c>
      <c r="G698" s="12" t="s">
        <v>205</v>
      </c>
      <c r="H698" s="12" t="s">
        <v>1025</v>
      </c>
      <c r="I698" s="12" t="s">
        <v>1026</v>
      </c>
    </row>
    <row r="699" spans="1:9">
      <c r="A699" s="14">
        <v>40203</v>
      </c>
      <c r="B699" s="14" t="s">
        <v>680</v>
      </c>
      <c r="C699" s="12" t="s">
        <v>208</v>
      </c>
      <c r="D699" s="15" t="str">
        <f t="shared" si="10"/>
        <v>DHL_KYC_INT - TTR</v>
      </c>
      <c r="E699" s="12" t="s">
        <v>112</v>
      </c>
      <c r="F699" s="12" t="s">
        <v>204</v>
      </c>
      <c r="G699" s="12" t="s">
        <v>205</v>
      </c>
      <c r="H699" s="12" t="s">
        <v>1025</v>
      </c>
      <c r="I699" s="12" t="s">
        <v>1026</v>
      </c>
    </row>
    <row r="700" spans="1:9">
      <c r="A700" s="14">
        <v>89009</v>
      </c>
      <c r="B700" s="14" t="s">
        <v>458</v>
      </c>
      <c r="C700" s="12" t="s">
        <v>116</v>
      </c>
      <c r="D700" s="15" t="str">
        <f t="shared" si="10"/>
        <v>Digital assurance cloudtestr - PRD</v>
      </c>
      <c r="E700" s="12" t="s">
        <v>117</v>
      </c>
      <c r="F700" s="12" t="s">
        <v>117</v>
      </c>
      <c r="G700" s="12" t="s">
        <v>117</v>
      </c>
      <c r="H700" s="12" t="s">
        <v>1025</v>
      </c>
      <c r="I700" s="12" t="s">
        <v>1026</v>
      </c>
    </row>
    <row r="701" spans="1:9">
      <c r="A701" s="14">
        <v>89010</v>
      </c>
      <c r="B701" s="14" t="s">
        <v>460</v>
      </c>
      <c r="C701" s="12" t="s">
        <v>116</v>
      </c>
      <c r="D701" s="15" t="str">
        <f t="shared" si="10"/>
        <v>Digital assurance others - PRD</v>
      </c>
      <c r="E701" s="12" t="s">
        <v>117</v>
      </c>
      <c r="F701" s="12" t="s">
        <v>117</v>
      </c>
      <c r="G701" s="12" t="s">
        <v>117</v>
      </c>
      <c r="H701" s="12" t="s">
        <v>1025</v>
      </c>
      <c r="I701" s="12" t="s">
        <v>1026</v>
      </c>
    </row>
    <row r="702" spans="1:9">
      <c r="A702" s="14">
        <v>91059</v>
      </c>
      <c r="B702" s="14" t="s">
        <v>462</v>
      </c>
      <c r="C702" s="12" t="s">
        <v>129</v>
      </c>
      <c r="D702" s="15" t="str">
        <f t="shared" si="10"/>
        <v>Digital Reengineering Services - MGT</v>
      </c>
      <c r="E702" s="12" t="s">
        <v>104</v>
      </c>
      <c r="F702" s="12" t="s">
        <v>401</v>
      </c>
      <c r="G702" s="12" t="s">
        <v>114</v>
      </c>
      <c r="H702" s="12" t="s">
        <v>1025</v>
      </c>
      <c r="I702" s="12" t="s">
        <v>1026</v>
      </c>
    </row>
    <row r="703" spans="1:9">
      <c r="A703" s="14">
        <v>91059</v>
      </c>
      <c r="B703" s="14" t="s">
        <v>462</v>
      </c>
      <c r="C703" s="12" t="s">
        <v>177</v>
      </c>
      <c r="D703" s="15" t="str">
        <f t="shared" si="10"/>
        <v>Digital Reengineering Services - OPS</v>
      </c>
      <c r="E703" s="12" t="s">
        <v>104</v>
      </c>
      <c r="F703" s="12" t="s">
        <v>401</v>
      </c>
      <c r="G703" s="12" t="s">
        <v>114</v>
      </c>
      <c r="H703" s="12" t="s">
        <v>1025</v>
      </c>
      <c r="I703" s="12" t="s">
        <v>1026</v>
      </c>
    </row>
    <row r="704" spans="1:9">
      <c r="A704" s="14">
        <v>91059</v>
      </c>
      <c r="B704" s="14" t="s">
        <v>462</v>
      </c>
      <c r="C704" s="12" t="s">
        <v>111</v>
      </c>
      <c r="D704" s="15" t="str">
        <f t="shared" si="10"/>
        <v>Digital Reengineering Services - QLY</v>
      </c>
      <c r="E704" s="12" t="s">
        <v>104</v>
      </c>
      <c r="F704" s="12" t="s">
        <v>401</v>
      </c>
      <c r="G704" s="12" t="s">
        <v>114</v>
      </c>
      <c r="H704" s="12" t="s">
        <v>1025</v>
      </c>
      <c r="I704" s="12" t="s">
        <v>1026</v>
      </c>
    </row>
    <row r="705" spans="1:9">
      <c r="A705" s="14">
        <v>91059</v>
      </c>
      <c r="B705" s="14" t="s">
        <v>462</v>
      </c>
      <c r="C705" s="12" t="s">
        <v>139</v>
      </c>
      <c r="D705" s="15" t="str">
        <f t="shared" si="10"/>
        <v>Digital Reengineering Services - SMGT</v>
      </c>
      <c r="E705" s="12" t="s">
        <v>104</v>
      </c>
      <c r="F705" s="12" t="s">
        <v>401</v>
      </c>
      <c r="G705" s="12" t="s">
        <v>114</v>
      </c>
      <c r="H705" s="12" t="s">
        <v>1025</v>
      </c>
      <c r="I705" s="12" t="s">
        <v>1026</v>
      </c>
    </row>
    <row r="706" spans="1:9">
      <c r="A706" s="14">
        <v>91059</v>
      </c>
      <c r="B706" s="14" t="s">
        <v>462</v>
      </c>
      <c r="C706" s="12" t="s">
        <v>145</v>
      </c>
      <c r="D706" s="15" t="str">
        <f t="shared" ref="D706:D769" si="11">B706&amp;" - "&amp;C706</f>
        <v>Digital Reengineering Services - SUP</v>
      </c>
      <c r="E706" s="12" t="s">
        <v>104</v>
      </c>
      <c r="F706" s="12" t="s">
        <v>401</v>
      </c>
      <c r="G706" s="12" t="s">
        <v>114</v>
      </c>
      <c r="H706" s="12" t="s">
        <v>1025</v>
      </c>
      <c r="I706" s="12" t="s">
        <v>1026</v>
      </c>
    </row>
    <row r="707" spans="1:9">
      <c r="A707" s="14">
        <v>89001</v>
      </c>
      <c r="B707" s="14" t="s">
        <v>468</v>
      </c>
      <c r="C707" s="12" t="s">
        <v>116</v>
      </c>
      <c r="D707" s="15" t="str">
        <f t="shared" si="11"/>
        <v>Digital transformation Automat - PRD</v>
      </c>
      <c r="E707" s="12" t="s">
        <v>117</v>
      </c>
      <c r="F707" s="12" t="s">
        <v>117</v>
      </c>
      <c r="G707" s="12" t="s">
        <v>117</v>
      </c>
      <c r="H707" s="12" t="s">
        <v>1025</v>
      </c>
      <c r="I707" s="12" t="s">
        <v>1026</v>
      </c>
    </row>
    <row r="708" spans="1:9">
      <c r="A708" s="14">
        <v>89002</v>
      </c>
      <c r="B708" s="14" t="s">
        <v>471</v>
      </c>
      <c r="C708" s="12" t="s">
        <v>116</v>
      </c>
      <c r="D708" s="15" t="str">
        <f t="shared" si="11"/>
        <v>Digital transformation Digital - PRD</v>
      </c>
      <c r="E708" s="12" t="s">
        <v>117</v>
      </c>
      <c r="F708" s="12" t="s">
        <v>117</v>
      </c>
      <c r="G708" s="12" t="s">
        <v>117</v>
      </c>
      <c r="H708" s="12" t="s">
        <v>1025</v>
      </c>
      <c r="I708" s="12" t="s">
        <v>1026</v>
      </c>
    </row>
    <row r="709" spans="1:9">
      <c r="A709" s="14">
        <v>88145</v>
      </c>
      <c r="B709" s="14" t="s">
        <v>474</v>
      </c>
      <c r="C709" s="12" t="s">
        <v>185</v>
      </c>
      <c r="D709" s="15" t="str">
        <f t="shared" si="11"/>
        <v>Direct JC - F and A bench - TPS</v>
      </c>
      <c r="E709" s="12" t="s">
        <v>126</v>
      </c>
      <c r="F709" s="12" t="s">
        <v>163</v>
      </c>
      <c r="G709" s="12" t="s">
        <v>164</v>
      </c>
      <c r="H709" s="12" t="s">
        <v>1025</v>
      </c>
      <c r="I709" s="12" t="s">
        <v>1026</v>
      </c>
    </row>
    <row r="710" spans="1:9">
      <c r="A710" s="14">
        <v>10020</v>
      </c>
      <c r="B710" s="14" t="s">
        <v>169</v>
      </c>
      <c r="C710" s="12" t="s">
        <v>185</v>
      </c>
      <c r="D710" s="15" t="str">
        <f t="shared" si="11"/>
        <v>DLG LS IND and SA - TPS</v>
      </c>
      <c r="E710" s="12" t="s">
        <v>126</v>
      </c>
      <c r="F710" s="12" t="s">
        <v>343</v>
      </c>
      <c r="G710" s="12" t="s">
        <v>344</v>
      </c>
      <c r="H710" s="12" t="s">
        <v>1025</v>
      </c>
      <c r="I710" s="12" t="s">
        <v>1026</v>
      </c>
    </row>
    <row r="711" spans="1:9">
      <c r="A711" s="14">
        <v>10813</v>
      </c>
      <c r="B711" s="14" t="s">
        <v>395</v>
      </c>
      <c r="C711" s="12" t="s">
        <v>150</v>
      </c>
      <c r="D711" s="15" t="str">
        <f t="shared" si="11"/>
        <v>Driver Safety Email_Ind - CCS</v>
      </c>
      <c r="E711" s="12" t="s">
        <v>126</v>
      </c>
      <c r="F711" s="12" t="s">
        <v>178</v>
      </c>
      <c r="G711" s="12" t="s">
        <v>128</v>
      </c>
      <c r="H711" s="12" t="s">
        <v>1025</v>
      </c>
      <c r="I711" s="12" t="s">
        <v>1026</v>
      </c>
    </row>
    <row r="712" spans="1:9">
      <c r="A712" s="14">
        <v>10813</v>
      </c>
      <c r="B712" s="14" t="s">
        <v>395</v>
      </c>
      <c r="C712" s="12" t="s">
        <v>161</v>
      </c>
      <c r="D712" s="15" t="str">
        <f t="shared" si="11"/>
        <v>Driver Safety Email_Ind - ECC</v>
      </c>
      <c r="E712" s="12" t="s">
        <v>126</v>
      </c>
      <c r="F712" s="12" t="s">
        <v>178</v>
      </c>
      <c r="G712" s="12" t="s">
        <v>128</v>
      </c>
      <c r="H712" s="12" t="s">
        <v>1025</v>
      </c>
      <c r="I712" s="12" t="s">
        <v>1026</v>
      </c>
    </row>
    <row r="713" spans="1:9">
      <c r="A713" s="14">
        <v>10813</v>
      </c>
      <c r="B713" s="14" t="s">
        <v>395</v>
      </c>
      <c r="C713" s="12" t="s">
        <v>111</v>
      </c>
      <c r="D713" s="15" t="str">
        <f t="shared" si="11"/>
        <v>Driver Safety Email_Ind - QLY</v>
      </c>
      <c r="E713" s="12" t="s">
        <v>112</v>
      </c>
      <c r="F713" s="12" t="s">
        <v>113</v>
      </c>
      <c r="G713" s="12" t="s">
        <v>114</v>
      </c>
      <c r="H713" s="12" t="s">
        <v>1025</v>
      </c>
      <c r="I713" s="12" t="s">
        <v>1026</v>
      </c>
    </row>
    <row r="714" spans="1:9">
      <c r="A714" s="14">
        <v>10813</v>
      </c>
      <c r="B714" s="14" t="s">
        <v>395</v>
      </c>
      <c r="C714" s="12" t="s">
        <v>172</v>
      </c>
      <c r="D714" s="15" t="str">
        <f t="shared" si="11"/>
        <v>Driver Safety Email_Ind - SME</v>
      </c>
      <c r="E714" s="12" t="s">
        <v>126</v>
      </c>
      <c r="F714" s="12" t="s">
        <v>178</v>
      </c>
      <c r="G714" s="12" t="s">
        <v>128</v>
      </c>
      <c r="H714" s="12" t="s">
        <v>1025</v>
      </c>
      <c r="I714" s="12" t="s">
        <v>1026</v>
      </c>
    </row>
    <row r="715" spans="1:9">
      <c r="A715" s="14">
        <v>10813</v>
      </c>
      <c r="B715" s="14" t="s">
        <v>395</v>
      </c>
      <c r="C715" s="12" t="s">
        <v>145</v>
      </c>
      <c r="D715" s="15" t="str">
        <f t="shared" si="11"/>
        <v>Driver Safety Email_Ind - SUP</v>
      </c>
      <c r="E715" s="12" t="s">
        <v>126</v>
      </c>
      <c r="F715" s="12" t="s">
        <v>178</v>
      </c>
      <c r="G715" s="12" t="s">
        <v>128</v>
      </c>
      <c r="H715" s="12" t="s">
        <v>1025</v>
      </c>
      <c r="I715" s="12" t="s">
        <v>1026</v>
      </c>
    </row>
    <row r="716" spans="1:9">
      <c r="A716" s="14">
        <v>10813</v>
      </c>
      <c r="B716" s="14" t="s">
        <v>395</v>
      </c>
      <c r="C716" s="12" t="s">
        <v>180</v>
      </c>
      <c r="D716" s="15" t="str">
        <f t="shared" si="11"/>
        <v>Driver Safety Email_Ind - TMG</v>
      </c>
      <c r="E716" s="12" t="s">
        <v>126</v>
      </c>
      <c r="F716" s="12" t="s">
        <v>178</v>
      </c>
      <c r="G716" s="12" t="s">
        <v>128</v>
      </c>
      <c r="H716" s="12" t="s">
        <v>1025</v>
      </c>
      <c r="I716" s="12" t="s">
        <v>1026</v>
      </c>
    </row>
    <row r="717" spans="1:9">
      <c r="A717" s="14">
        <v>10843</v>
      </c>
      <c r="B717" s="14" t="s">
        <v>426</v>
      </c>
      <c r="C717" s="12" t="s">
        <v>398</v>
      </c>
      <c r="D717" s="15" t="str">
        <f t="shared" si="11"/>
        <v>DTV Tech Chat Chennai - CBK</v>
      </c>
      <c r="E717" s="12" t="s">
        <v>126</v>
      </c>
      <c r="F717" s="12" t="s">
        <v>360</v>
      </c>
      <c r="G717" s="12" t="s">
        <v>361</v>
      </c>
      <c r="H717" s="12" t="s">
        <v>1025</v>
      </c>
      <c r="I717" s="12" t="s">
        <v>1026</v>
      </c>
    </row>
    <row r="718" spans="1:9">
      <c r="A718" s="14">
        <v>10843</v>
      </c>
      <c r="B718" s="14" t="s">
        <v>426</v>
      </c>
      <c r="C718" s="12" t="s">
        <v>171</v>
      </c>
      <c r="D718" s="15" t="str">
        <f t="shared" si="11"/>
        <v>DTV Tech Chat Chennai - ETE</v>
      </c>
      <c r="E718" s="12" t="s">
        <v>126</v>
      </c>
      <c r="F718" s="12" t="s">
        <v>360</v>
      </c>
      <c r="G718" s="12" t="s">
        <v>361</v>
      </c>
      <c r="H718" s="12" t="s">
        <v>1025</v>
      </c>
      <c r="I718" s="12" t="s">
        <v>1026</v>
      </c>
    </row>
    <row r="719" spans="1:9">
      <c r="A719" s="14">
        <v>10843</v>
      </c>
      <c r="B719" s="14" t="s">
        <v>426</v>
      </c>
      <c r="C719" s="12" t="s">
        <v>145</v>
      </c>
      <c r="D719" s="15" t="str">
        <f t="shared" si="11"/>
        <v>DTV Tech Chat Chennai - SUP</v>
      </c>
      <c r="E719" s="12" t="s">
        <v>126</v>
      </c>
      <c r="F719" s="12" t="s">
        <v>360</v>
      </c>
      <c r="G719" s="12" t="s">
        <v>361</v>
      </c>
      <c r="H719" s="12" t="s">
        <v>1025</v>
      </c>
      <c r="I719" s="12" t="s">
        <v>1026</v>
      </c>
    </row>
    <row r="720" spans="1:9">
      <c r="A720" s="14">
        <v>10843</v>
      </c>
      <c r="B720" s="14" t="s">
        <v>426</v>
      </c>
      <c r="C720" s="12" t="s">
        <v>196</v>
      </c>
      <c r="D720" s="15" t="str">
        <f t="shared" si="11"/>
        <v>DTV Tech Chat Chennai - SUT</v>
      </c>
      <c r="E720" s="12" t="s">
        <v>126</v>
      </c>
      <c r="F720" s="12" t="s">
        <v>360</v>
      </c>
      <c r="G720" s="12" t="s">
        <v>361</v>
      </c>
      <c r="H720" s="12" t="s">
        <v>1025</v>
      </c>
      <c r="I720" s="12" t="s">
        <v>1026</v>
      </c>
    </row>
    <row r="721" spans="1:9">
      <c r="A721" s="14">
        <v>10843</v>
      </c>
      <c r="B721" s="14" t="s">
        <v>426</v>
      </c>
      <c r="C721" s="12" t="s">
        <v>198</v>
      </c>
      <c r="D721" s="15" t="str">
        <f t="shared" si="11"/>
        <v>DTV Tech Chat Chennai - TEC</v>
      </c>
      <c r="E721" s="12" t="s">
        <v>126</v>
      </c>
      <c r="F721" s="12" t="s">
        <v>360</v>
      </c>
      <c r="G721" s="12" t="s">
        <v>361</v>
      </c>
      <c r="H721" s="12" t="s">
        <v>1025</v>
      </c>
      <c r="I721" s="12" t="s">
        <v>1026</v>
      </c>
    </row>
    <row r="722" spans="1:9">
      <c r="A722" s="14">
        <v>10843</v>
      </c>
      <c r="B722" s="14" t="s">
        <v>426</v>
      </c>
      <c r="C722" s="12" t="s">
        <v>180</v>
      </c>
      <c r="D722" s="15" t="str">
        <f t="shared" si="11"/>
        <v>DTV Tech Chat Chennai - TMG</v>
      </c>
      <c r="E722" s="12" t="s">
        <v>126</v>
      </c>
      <c r="F722" s="12" t="s">
        <v>360</v>
      </c>
      <c r="G722" s="12" t="s">
        <v>361</v>
      </c>
      <c r="H722" s="12" t="s">
        <v>1025</v>
      </c>
      <c r="I722" s="12" t="s">
        <v>1026</v>
      </c>
    </row>
    <row r="723" spans="1:9">
      <c r="A723" s="14">
        <v>10843</v>
      </c>
      <c r="B723" s="14" t="s">
        <v>426</v>
      </c>
      <c r="C723" s="12" t="s">
        <v>208</v>
      </c>
      <c r="D723" s="15" t="str">
        <f t="shared" si="11"/>
        <v>DTV Tech Chat Chennai - TTR</v>
      </c>
      <c r="E723" s="12" t="s">
        <v>112</v>
      </c>
      <c r="F723" s="12" t="s">
        <v>204</v>
      </c>
      <c r="G723" s="12" t="s">
        <v>205</v>
      </c>
      <c r="H723" s="12" t="s">
        <v>1025</v>
      </c>
      <c r="I723" s="12" t="s">
        <v>1026</v>
      </c>
    </row>
    <row r="724" spans="1:9">
      <c r="A724" s="14">
        <v>10888</v>
      </c>
      <c r="B724" s="14" t="s">
        <v>438</v>
      </c>
      <c r="C724" s="12" t="s">
        <v>133</v>
      </c>
      <c r="D724" s="15" t="str">
        <f t="shared" si="11"/>
        <v>Du Customer Care_Malad - AMG</v>
      </c>
      <c r="E724" s="12" t="s">
        <v>126</v>
      </c>
      <c r="F724" s="12" t="s">
        <v>360</v>
      </c>
      <c r="G724" s="12" t="s">
        <v>361</v>
      </c>
      <c r="H724" s="12" t="s">
        <v>1025</v>
      </c>
      <c r="I724" s="12" t="s">
        <v>1026</v>
      </c>
    </row>
    <row r="725" spans="1:9">
      <c r="A725" s="14">
        <v>10888</v>
      </c>
      <c r="B725" s="14" t="s">
        <v>438</v>
      </c>
      <c r="C725" s="12" t="s">
        <v>150</v>
      </c>
      <c r="D725" s="15" t="str">
        <f t="shared" si="11"/>
        <v>Du Customer Care_Malad - CCS</v>
      </c>
      <c r="E725" s="12" t="s">
        <v>126</v>
      </c>
      <c r="F725" s="12" t="s">
        <v>360</v>
      </c>
      <c r="G725" s="12" t="s">
        <v>361</v>
      </c>
      <c r="H725" s="12" t="s">
        <v>1025</v>
      </c>
      <c r="I725" s="12" t="s">
        <v>1026</v>
      </c>
    </row>
    <row r="726" spans="1:9">
      <c r="A726" s="14">
        <v>10888</v>
      </c>
      <c r="B726" s="14" t="s">
        <v>438</v>
      </c>
      <c r="C726" s="12" t="s">
        <v>171</v>
      </c>
      <c r="D726" s="15" t="str">
        <f t="shared" si="11"/>
        <v>Du Customer Care_Malad - ETE</v>
      </c>
      <c r="E726" s="12" t="s">
        <v>126</v>
      </c>
      <c r="F726" s="12" t="s">
        <v>360</v>
      </c>
      <c r="G726" s="12" t="s">
        <v>361</v>
      </c>
      <c r="H726" s="12" t="s">
        <v>1025</v>
      </c>
      <c r="I726" s="12" t="s">
        <v>1026</v>
      </c>
    </row>
    <row r="727" spans="1:9">
      <c r="A727" s="14">
        <v>10888</v>
      </c>
      <c r="B727" s="14" t="s">
        <v>438</v>
      </c>
      <c r="C727" s="12" t="s">
        <v>129</v>
      </c>
      <c r="D727" s="15" t="str">
        <f t="shared" si="11"/>
        <v>Du Customer Care_Malad - MGT</v>
      </c>
      <c r="E727" s="12" t="s">
        <v>126</v>
      </c>
      <c r="F727" s="12" t="s">
        <v>360</v>
      </c>
      <c r="G727" s="12" t="s">
        <v>361</v>
      </c>
      <c r="H727" s="12" t="s">
        <v>1025</v>
      </c>
      <c r="I727" s="12" t="s">
        <v>1026</v>
      </c>
    </row>
    <row r="728" spans="1:9">
      <c r="A728" s="14">
        <v>10888</v>
      </c>
      <c r="B728" s="14" t="s">
        <v>438</v>
      </c>
      <c r="C728" s="12" t="s">
        <v>116</v>
      </c>
      <c r="D728" s="15" t="str">
        <f t="shared" si="11"/>
        <v>Du Customer Care_Malad - PRD</v>
      </c>
      <c r="E728" s="12" t="s">
        <v>126</v>
      </c>
      <c r="F728" s="12" t="s">
        <v>360</v>
      </c>
      <c r="G728" s="12" t="s">
        <v>361</v>
      </c>
      <c r="H728" s="12" t="s">
        <v>1025</v>
      </c>
      <c r="I728" s="12" t="s">
        <v>1026</v>
      </c>
    </row>
    <row r="729" spans="1:9">
      <c r="A729" s="14">
        <v>10888</v>
      </c>
      <c r="B729" s="14" t="s">
        <v>438</v>
      </c>
      <c r="C729" s="12" t="s">
        <v>111</v>
      </c>
      <c r="D729" s="15" t="str">
        <f t="shared" si="11"/>
        <v>Du Customer Care_Malad - QLY</v>
      </c>
      <c r="E729" s="12" t="s">
        <v>112</v>
      </c>
      <c r="F729" s="12" t="s">
        <v>113</v>
      </c>
      <c r="G729" s="12" t="s">
        <v>114</v>
      </c>
      <c r="H729" s="12" t="s">
        <v>1025</v>
      </c>
      <c r="I729" s="12" t="s">
        <v>1026</v>
      </c>
    </row>
    <row r="730" spans="1:9">
      <c r="A730" s="14">
        <v>10888</v>
      </c>
      <c r="B730" s="14" t="s">
        <v>438</v>
      </c>
      <c r="C730" s="12" t="s">
        <v>510</v>
      </c>
      <c r="D730" s="15" t="str">
        <f t="shared" si="11"/>
        <v>Du Customer Care_Malad - RST</v>
      </c>
      <c r="E730" s="12" t="s">
        <v>126</v>
      </c>
      <c r="F730" s="12" t="s">
        <v>360</v>
      </c>
      <c r="G730" s="12" t="s">
        <v>361</v>
      </c>
      <c r="H730" s="12" t="s">
        <v>1025</v>
      </c>
      <c r="I730" s="12" t="s">
        <v>1026</v>
      </c>
    </row>
    <row r="731" spans="1:9">
      <c r="A731" s="14">
        <v>10888</v>
      </c>
      <c r="B731" s="14" t="s">
        <v>438</v>
      </c>
      <c r="C731" s="12" t="s">
        <v>172</v>
      </c>
      <c r="D731" s="15" t="str">
        <f t="shared" si="11"/>
        <v>Du Customer Care_Malad - SME</v>
      </c>
      <c r="E731" s="12" t="s">
        <v>126</v>
      </c>
      <c r="F731" s="12" t="s">
        <v>360</v>
      </c>
      <c r="G731" s="12" t="s">
        <v>361</v>
      </c>
      <c r="H731" s="12" t="s">
        <v>1025</v>
      </c>
      <c r="I731" s="12" t="s">
        <v>1026</v>
      </c>
    </row>
    <row r="732" spans="1:9">
      <c r="A732" s="14">
        <v>10888</v>
      </c>
      <c r="B732" s="14" t="s">
        <v>438</v>
      </c>
      <c r="C732" s="12" t="s">
        <v>139</v>
      </c>
      <c r="D732" s="15" t="str">
        <f t="shared" si="11"/>
        <v>Du Customer Care_Malad - SMGT</v>
      </c>
      <c r="E732" s="12" t="s">
        <v>126</v>
      </c>
      <c r="F732" s="12" t="s">
        <v>360</v>
      </c>
      <c r="G732" s="12" t="s">
        <v>361</v>
      </c>
      <c r="H732" s="12" t="s">
        <v>1025</v>
      </c>
      <c r="I732" s="12" t="s">
        <v>1026</v>
      </c>
    </row>
    <row r="733" spans="1:9">
      <c r="A733" s="14">
        <v>10888</v>
      </c>
      <c r="B733" s="14" t="s">
        <v>438</v>
      </c>
      <c r="C733" s="12" t="s">
        <v>119</v>
      </c>
      <c r="D733" s="15" t="str">
        <f t="shared" si="11"/>
        <v>Du Customer Care_Malad - SQM</v>
      </c>
      <c r="E733" s="12" t="s">
        <v>112</v>
      </c>
      <c r="F733" s="12" t="s">
        <v>113</v>
      </c>
      <c r="G733" s="12" t="s">
        <v>114</v>
      </c>
      <c r="H733" s="12" t="s">
        <v>1025</v>
      </c>
      <c r="I733" s="12" t="s">
        <v>1026</v>
      </c>
    </row>
    <row r="734" spans="1:9">
      <c r="A734" s="14">
        <v>10888</v>
      </c>
      <c r="B734" s="14" t="s">
        <v>438</v>
      </c>
      <c r="C734" s="12" t="s">
        <v>145</v>
      </c>
      <c r="D734" s="15" t="str">
        <f t="shared" si="11"/>
        <v>Du Customer Care_Malad - SUP</v>
      </c>
      <c r="E734" s="12" t="s">
        <v>126</v>
      </c>
      <c r="F734" s="12" t="s">
        <v>360</v>
      </c>
      <c r="G734" s="12" t="s">
        <v>361</v>
      </c>
      <c r="H734" s="12" t="s">
        <v>1025</v>
      </c>
      <c r="I734" s="12" t="s">
        <v>1026</v>
      </c>
    </row>
    <row r="735" spans="1:9">
      <c r="A735" s="14">
        <v>10888</v>
      </c>
      <c r="B735" s="14" t="s">
        <v>438</v>
      </c>
      <c r="C735" s="12" t="s">
        <v>196</v>
      </c>
      <c r="D735" s="15" t="str">
        <f t="shared" si="11"/>
        <v>Du Customer Care_Malad - SUT</v>
      </c>
      <c r="E735" s="12" t="s">
        <v>126</v>
      </c>
      <c r="F735" s="12" t="s">
        <v>360</v>
      </c>
      <c r="G735" s="12" t="s">
        <v>361</v>
      </c>
      <c r="H735" s="12" t="s">
        <v>1025</v>
      </c>
      <c r="I735" s="12" t="s">
        <v>1026</v>
      </c>
    </row>
    <row r="736" spans="1:9">
      <c r="A736" s="14">
        <v>10888</v>
      </c>
      <c r="B736" s="14" t="s">
        <v>438</v>
      </c>
      <c r="C736" s="12" t="s">
        <v>198</v>
      </c>
      <c r="D736" s="15" t="str">
        <f t="shared" si="11"/>
        <v>Du Customer Care_Malad - TEC</v>
      </c>
      <c r="E736" s="12" t="s">
        <v>126</v>
      </c>
      <c r="F736" s="12" t="s">
        <v>360</v>
      </c>
      <c r="G736" s="12" t="s">
        <v>361</v>
      </c>
      <c r="H736" s="12" t="s">
        <v>1025</v>
      </c>
      <c r="I736" s="12" t="s">
        <v>1026</v>
      </c>
    </row>
    <row r="737" spans="1:9">
      <c r="A737" s="14">
        <v>10888</v>
      </c>
      <c r="B737" s="14" t="s">
        <v>438</v>
      </c>
      <c r="C737" s="12" t="s">
        <v>180</v>
      </c>
      <c r="D737" s="15" t="str">
        <f t="shared" si="11"/>
        <v>Du Customer Care_Malad - TMG</v>
      </c>
      <c r="E737" s="12" t="s">
        <v>126</v>
      </c>
      <c r="F737" s="12" t="s">
        <v>360</v>
      </c>
      <c r="G737" s="12" t="s">
        <v>361</v>
      </c>
      <c r="H737" s="12" t="s">
        <v>1025</v>
      </c>
      <c r="I737" s="12" t="s">
        <v>1026</v>
      </c>
    </row>
    <row r="738" spans="1:9">
      <c r="A738" s="14">
        <v>10888</v>
      </c>
      <c r="B738" s="14" t="s">
        <v>438</v>
      </c>
      <c r="C738" s="12" t="s">
        <v>203</v>
      </c>
      <c r="D738" s="15" t="str">
        <f t="shared" si="11"/>
        <v>Du Customer Care_Malad - TRG</v>
      </c>
      <c r="E738" s="12" t="s">
        <v>112</v>
      </c>
      <c r="F738" s="12" t="s">
        <v>204</v>
      </c>
      <c r="G738" s="12" t="s">
        <v>205</v>
      </c>
      <c r="H738" s="12" t="s">
        <v>1025</v>
      </c>
      <c r="I738" s="12" t="s">
        <v>1026</v>
      </c>
    </row>
    <row r="739" spans="1:9">
      <c r="A739" s="14">
        <v>10888</v>
      </c>
      <c r="B739" s="14" t="s">
        <v>438</v>
      </c>
      <c r="C739" s="12" t="s">
        <v>208</v>
      </c>
      <c r="D739" s="15" t="str">
        <f t="shared" si="11"/>
        <v>Du Customer Care_Malad - TTR</v>
      </c>
      <c r="E739" s="12" t="s">
        <v>112</v>
      </c>
      <c r="F739" s="12" t="s">
        <v>204</v>
      </c>
      <c r="G739" s="12" t="s">
        <v>205</v>
      </c>
      <c r="H739" s="12" t="s">
        <v>1025</v>
      </c>
      <c r="I739" s="12" t="s">
        <v>1026</v>
      </c>
    </row>
    <row r="740" spans="1:9">
      <c r="A740" s="14">
        <v>10840</v>
      </c>
      <c r="B740" s="14" t="s">
        <v>424</v>
      </c>
      <c r="C740" s="12" t="s">
        <v>185</v>
      </c>
      <c r="D740" s="15" t="str">
        <f t="shared" si="11"/>
        <v>EgyptAir - BIDT Audit - TPS</v>
      </c>
      <c r="E740" s="12" t="s">
        <v>126</v>
      </c>
      <c r="F740" s="12" t="s">
        <v>163</v>
      </c>
      <c r="G740" s="12" t="s">
        <v>164</v>
      </c>
      <c r="H740" s="12" t="s">
        <v>1025</v>
      </c>
      <c r="I740" s="12" t="s">
        <v>1026</v>
      </c>
    </row>
    <row r="741" spans="1:9">
      <c r="A741" s="14">
        <v>12427</v>
      </c>
      <c r="B741" s="14" t="s">
        <v>477</v>
      </c>
      <c r="C741" s="12" t="s">
        <v>116</v>
      </c>
      <c r="D741" s="15" t="str">
        <f t="shared" si="11"/>
        <v>Elevance - Cred Offshore - PRD</v>
      </c>
      <c r="E741" s="12" t="s">
        <v>126</v>
      </c>
      <c r="F741" s="12" t="s">
        <v>163</v>
      </c>
      <c r="G741" s="12" t="s">
        <v>164</v>
      </c>
      <c r="H741" s="12" t="s">
        <v>1025</v>
      </c>
      <c r="I741" s="12" t="s">
        <v>1026</v>
      </c>
    </row>
    <row r="742" spans="1:9">
      <c r="A742" s="14">
        <v>12427</v>
      </c>
      <c r="B742" s="14" t="s">
        <v>477</v>
      </c>
      <c r="C742" s="12" t="s">
        <v>145</v>
      </c>
      <c r="D742" s="15" t="str">
        <f t="shared" si="11"/>
        <v>Elevance - Cred Offshore - SUP</v>
      </c>
      <c r="E742" s="12" t="s">
        <v>126</v>
      </c>
      <c r="F742" s="12" t="s">
        <v>163</v>
      </c>
      <c r="G742" s="12" t="s">
        <v>164</v>
      </c>
      <c r="H742" s="12" t="s">
        <v>1025</v>
      </c>
      <c r="I742" s="12" t="s">
        <v>1026</v>
      </c>
    </row>
    <row r="743" spans="1:9">
      <c r="A743" s="14">
        <v>12427</v>
      </c>
      <c r="B743" s="14" t="s">
        <v>477</v>
      </c>
      <c r="C743" s="12" t="s">
        <v>180</v>
      </c>
      <c r="D743" s="15" t="str">
        <f t="shared" si="11"/>
        <v>Elevance - Cred Offshore - TMG</v>
      </c>
      <c r="E743" s="12" t="s">
        <v>126</v>
      </c>
      <c r="F743" s="12" t="s">
        <v>163</v>
      </c>
      <c r="G743" s="12" t="s">
        <v>164</v>
      </c>
      <c r="H743" s="12" t="s">
        <v>1025</v>
      </c>
      <c r="I743" s="12" t="s">
        <v>1026</v>
      </c>
    </row>
    <row r="744" spans="1:9">
      <c r="A744" s="14">
        <v>12427</v>
      </c>
      <c r="B744" s="14" t="s">
        <v>477</v>
      </c>
      <c r="C744" s="12" t="s">
        <v>185</v>
      </c>
      <c r="D744" s="15" t="str">
        <f t="shared" si="11"/>
        <v>Elevance - Cred Offshore - TPS</v>
      </c>
      <c r="E744" s="12" t="s">
        <v>126</v>
      </c>
      <c r="F744" s="12" t="s">
        <v>163</v>
      </c>
      <c r="G744" s="12" t="s">
        <v>164</v>
      </c>
      <c r="H744" s="12" t="s">
        <v>1025</v>
      </c>
      <c r="I744" s="12" t="s">
        <v>1026</v>
      </c>
    </row>
    <row r="745" spans="1:9">
      <c r="A745" s="14">
        <v>12505</v>
      </c>
      <c r="B745" s="14" t="s">
        <v>488</v>
      </c>
      <c r="C745" s="12" t="s">
        <v>193</v>
      </c>
      <c r="D745" s="15" t="str">
        <f t="shared" si="11"/>
        <v>Elevance - Phase 2 Discovery - DEV</v>
      </c>
      <c r="E745" s="12" t="s">
        <v>117</v>
      </c>
      <c r="F745" s="12" t="s">
        <v>117</v>
      </c>
      <c r="G745" s="12" t="s">
        <v>117</v>
      </c>
      <c r="H745" s="12" t="s">
        <v>1025</v>
      </c>
      <c r="I745" s="12" t="s">
        <v>1026</v>
      </c>
    </row>
    <row r="746" spans="1:9">
      <c r="A746" s="14">
        <v>12505</v>
      </c>
      <c r="B746" s="14" t="s">
        <v>488</v>
      </c>
      <c r="C746" s="12" t="s">
        <v>116</v>
      </c>
      <c r="D746" s="15" t="str">
        <f t="shared" si="11"/>
        <v>Elevance - Phase 2 Discovery - PRD</v>
      </c>
      <c r="E746" s="12" t="s">
        <v>117</v>
      </c>
      <c r="F746" s="12" t="s">
        <v>117</v>
      </c>
      <c r="G746" s="12" t="s">
        <v>117</v>
      </c>
      <c r="H746" s="12" t="s">
        <v>1025</v>
      </c>
      <c r="I746" s="12" t="s">
        <v>1026</v>
      </c>
    </row>
    <row r="747" spans="1:9">
      <c r="A747" s="14">
        <v>12607</v>
      </c>
      <c r="B747" s="14" t="s">
        <v>490</v>
      </c>
      <c r="C747" s="12" t="s">
        <v>116</v>
      </c>
      <c r="D747" s="15" t="str">
        <f t="shared" si="11"/>
        <v>Elevance RPA_BOT Dev and Maint - PRD</v>
      </c>
      <c r="E747" s="12" t="s">
        <v>117</v>
      </c>
      <c r="F747" s="12" t="s">
        <v>117</v>
      </c>
      <c r="G747" s="12" t="s">
        <v>117</v>
      </c>
      <c r="H747" s="12" t="s">
        <v>1025</v>
      </c>
      <c r="I747" s="12" t="s">
        <v>1026</v>
      </c>
    </row>
    <row r="748" spans="1:9">
      <c r="A748" s="14">
        <v>18050</v>
      </c>
      <c r="B748" s="14" t="s">
        <v>622</v>
      </c>
      <c r="C748" s="12" t="s">
        <v>161</v>
      </c>
      <c r="D748" s="15" t="str">
        <f t="shared" si="11"/>
        <v>Embrace SQRS - ECC</v>
      </c>
      <c r="E748" s="12" t="s">
        <v>126</v>
      </c>
      <c r="F748" s="12" t="s">
        <v>163</v>
      </c>
      <c r="G748" s="12" t="s">
        <v>164</v>
      </c>
      <c r="H748" s="12" t="s">
        <v>1025</v>
      </c>
      <c r="I748" s="12" t="s">
        <v>1026</v>
      </c>
    </row>
    <row r="749" spans="1:9">
      <c r="A749" s="14">
        <v>18050</v>
      </c>
      <c r="B749" s="14" t="s">
        <v>622</v>
      </c>
      <c r="C749" s="12" t="s">
        <v>250</v>
      </c>
      <c r="D749" s="15" t="str">
        <f t="shared" si="11"/>
        <v>Embrace SQRS - LED</v>
      </c>
      <c r="E749" s="12" t="s">
        <v>126</v>
      </c>
      <c r="F749" s="12" t="s">
        <v>163</v>
      </c>
      <c r="G749" s="12" t="s">
        <v>164</v>
      </c>
      <c r="H749" s="12" t="s">
        <v>1025</v>
      </c>
      <c r="I749" s="12" t="s">
        <v>1026</v>
      </c>
    </row>
    <row r="750" spans="1:9">
      <c r="A750" s="14">
        <v>18050</v>
      </c>
      <c r="B750" s="14" t="s">
        <v>622</v>
      </c>
      <c r="C750" s="12" t="s">
        <v>177</v>
      </c>
      <c r="D750" s="15" t="str">
        <f t="shared" si="11"/>
        <v>Embrace SQRS - OPS</v>
      </c>
      <c r="E750" s="12" t="s">
        <v>126</v>
      </c>
      <c r="F750" s="12" t="s">
        <v>163</v>
      </c>
      <c r="G750" s="12" t="s">
        <v>164</v>
      </c>
      <c r="H750" s="12" t="s">
        <v>1025</v>
      </c>
      <c r="I750" s="12" t="s">
        <v>1026</v>
      </c>
    </row>
    <row r="751" spans="1:9">
      <c r="A751" s="14">
        <v>18050</v>
      </c>
      <c r="B751" s="14" t="s">
        <v>622</v>
      </c>
      <c r="C751" s="12" t="s">
        <v>116</v>
      </c>
      <c r="D751" s="15" t="str">
        <f t="shared" si="11"/>
        <v>Embrace SQRS - PRD</v>
      </c>
      <c r="E751" s="12" t="s">
        <v>126</v>
      </c>
      <c r="F751" s="12" t="s">
        <v>163</v>
      </c>
      <c r="G751" s="12" t="s">
        <v>164</v>
      </c>
      <c r="H751" s="12" t="s">
        <v>1025</v>
      </c>
      <c r="I751" s="12" t="s">
        <v>1026</v>
      </c>
    </row>
    <row r="752" spans="1:9">
      <c r="A752" s="14">
        <v>18050</v>
      </c>
      <c r="B752" s="14" t="s">
        <v>622</v>
      </c>
      <c r="C752" s="12" t="s">
        <v>230</v>
      </c>
      <c r="D752" s="15" t="str">
        <f t="shared" si="11"/>
        <v>Embrace SQRS - PRSP</v>
      </c>
      <c r="E752" s="12" t="s">
        <v>126</v>
      </c>
      <c r="F752" s="12" t="s">
        <v>163</v>
      </c>
      <c r="G752" s="12" t="s">
        <v>164</v>
      </c>
      <c r="H752" s="12" t="s">
        <v>1025</v>
      </c>
      <c r="I752" s="12" t="s">
        <v>1026</v>
      </c>
    </row>
    <row r="753" spans="1:9">
      <c r="A753" s="14">
        <v>18050</v>
      </c>
      <c r="B753" s="14" t="s">
        <v>622</v>
      </c>
      <c r="C753" s="12" t="s">
        <v>172</v>
      </c>
      <c r="D753" s="15" t="str">
        <f t="shared" si="11"/>
        <v>Embrace SQRS - SME</v>
      </c>
      <c r="E753" s="12" t="s">
        <v>126</v>
      </c>
      <c r="F753" s="12" t="s">
        <v>163</v>
      </c>
      <c r="G753" s="12" t="s">
        <v>164</v>
      </c>
      <c r="H753" s="12" t="s">
        <v>1025</v>
      </c>
      <c r="I753" s="12" t="s">
        <v>1026</v>
      </c>
    </row>
    <row r="754" spans="1:9">
      <c r="A754" s="14">
        <v>18050</v>
      </c>
      <c r="B754" s="14" t="s">
        <v>622</v>
      </c>
      <c r="C754" s="12" t="s">
        <v>145</v>
      </c>
      <c r="D754" s="15" t="str">
        <f t="shared" si="11"/>
        <v>Embrace SQRS - SUP</v>
      </c>
      <c r="E754" s="12" t="s">
        <v>126</v>
      </c>
      <c r="F754" s="12" t="s">
        <v>163</v>
      </c>
      <c r="G754" s="12" t="s">
        <v>164</v>
      </c>
      <c r="H754" s="12" t="s">
        <v>1025</v>
      </c>
      <c r="I754" s="12" t="s">
        <v>1026</v>
      </c>
    </row>
    <row r="755" spans="1:9">
      <c r="A755" s="14">
        <v>18050</v>
      </c>
      <c r="B755" s="14" t="s">
        <v>622</v>
      </c>
      <c r="C755" s="12" t="s">
        <v>180</v>
      </c>
      <c r="D755" s="15" t="str">
        <f t="shared" si="11"/>
        <v>Embrace SQRS - TMG</v>
      </c>
      <c r="E755" s="12" t="s">
        <v>126</v>
      </c>
      <c r="F755" s="12" t="s">
        <v>163</v>
      </c>
      <c r="G755" s="12" t="s">
        <v>164</v>
      </c>
      <c r="H755" s="12" t="s">
        <v>1025</v>
      </c>
      <c r="I755" s="12" t="s">
        <v>1026</v>
      </c>
    </row>
    <row r="756" spans="1:9">
      <c r="A756" s="14">
        <v>18050</v>
      </c>
      <c r="B756" s="14" t="s">
        <v>622</v>
      </c>
      <c r="C756" s="12" t="s">
        <v>185</v>
      </c>
      <c r="D756" s="15" t="str">
        <f t="shared" si="11"/>
        <v>Embrace SQRS - TPS</v>
      </c>
      <c r="E756" s="12" t="s">
        <v>126</v>
      </c>
      <c r="F756" s="12" t="s">
        <v>163</v>
      </c>
      <c r="G756" s="12" t="s">
        <v>164</v>
      </c>
      <c r="H756" s="12" t="s">
        <v>1025</v>
      </c>
      <c r="I756" s="12" t="s">
        <v>1026</v>
      </c>
    </row>
    <row r="757" spans="1:9">
      <c r="A757" s="14">
        <v>93022</v>
      </c>
      <c r="B757" s="14" t="s">
        <v>493</v>
      </c>
      <c r="C757" s="12" t="s">
        <v>145</v>
      </c>
      <c r="D757" s="15" t="str">
        <f t="shared" si="11"/>
        <v>Employee Communications - SUP</v>
      </c>
      <c r="E757" s="12" t="s">
        <v>104</v>
      </c>
      <c r="F757" s="12" t="s">
        <v>494</v>
      </c>
      <c r="G757" s="12" t="s">
        <v>114</v>
      </c>
      <c r="H757" s="12" t="s">
        <v>1025</v>
      </c>
      <c r="I757" s="12" t="s">
        <v>1026</v>
      </c>
    </row>
    <row r="758" spans="1:9">
      <c r="A758" s="14">
        <v>97128</v>
      </c>
      <c r="B758" s="14" t="s">
        <v>1009</v>
      </c>
      <c r="C758" s="12" t="s">
        <v>180</v>
      </c>
      <c r="D758" s="15" t="str">
        <f t="shared" si="11"/>
        <v>Employee Experience - TMG</v>
      </c>
      <c r="E758" s="12" t="s">
        <v>104</v>
      </c>
      <c r="F758" s="12" t="s">
        <v>410</v>
      </c>
      <c r="G758" s="12" t="s">
        <v>114</v>
      </c>
      <c r="H758" s="12" t="s">
        <v>1025</v>
      </c>
      <c r="I758" s="12" t="s">
        <v>1026</v>
      </c>
    </row>
    <row r="759" spans="1:9">
      <c r="A759" s="31">
        <v>18077</v>
      </c>
      <c r="B759" s="14" t="s">
        <v>634</v>
      </c>
      <c r="C759" s="12" t="s">
        <v>185</v>
      </c>
      <c r="D759" s="15" t="str">
        <f t="shared" si="11"/>
        <v>ENACT MI - TPS</v>
      </c>
      <c r="E759" s="12" t="s">
        <v>126</v>
      </c>
      <c r="F759" s="12" t="s">
        <v>163</v>
      </c>
      <c r="G759" s="12" t="s">
        <v>164</v>
      </c>
      <c r="H759" s="12" t="s">
        <v>1025</v>
      </c>
      <c r="I759" s="12" t="s">
        <v>1026</v>
      </c>
    </row>
    <row r="760" spans="1:9">
      <c r="A760" s="14">
        <v>95112</v>
      </c>
      <c r="B760" s="14" t="s">
        <v>986</v>
      </c>
      <c r="C760" s="12" t="s">
        <v>145</v>
      </c>
      <c r="D760" s="15" t="str">
        <f t="shared" si="11"/>
        <v>Endpoint Security &amp; Transforma - SUP</v>
      </c>
      <c r="E760" s="12" t="s">
        <v>117</v>
      </c>
      <c r="F760" s="12" t="s">
        <v>117</v>
      </c>
      <c r="G760" s="12" t="s">
        <v>117</v>
      </c>
      <c r="H760" s="12" t="s">
        <v>1025</v>
      </c>
      <c r="I760" s="12" t="s">
        <v>1026</v>
      </c>
    </row>
    <row r="761" spans="1:9">
      <c r="A761" s="14">
        <v>96112</v>
      </c>
      <c r="B761" s="14" t="s">
        <v>1004</v>
      </c>
      <c r="C761" s="12" t="s">
        <v>145</v>
      </c>
      <c r="D761" s="15" t="str">
        <f t="shared" si="11"/>
        <v>Endpoint Security &amp; Transforma
 - SUP</v>
      </c>
      <c r="E761" s="12" t="s">
        <v>104</v>
      </c>
      <c r="F761" s="12" t="s">
        <v>263</v>
      </c>
      <c r="G761" s="12" t="s">
        <v>264</v>
      </c>
      <c r="H761" s="12" t="s">
        <v>1025</v>
      </c>
      <c r="I761" s="12" t="s">
        <v>1026</v>
      </c>
    </row>
    <row r="762" spans="1:9">
      <c r="A762" s="14">
        <v>89003</v>
      </c>
      <c r="B762" s="14" t="s">
        <v>496</v>
      </c>
      <c r="C762" s="12" t="s">
        <v>116</v>
      </c>
      <c r="D762" s="15" t="str">
        <f t="shared" si="11"/>
        <v>Enterprise application mainten - PRD</v>
      </c>
      <c r="E762" s="12" t="s">
        <v>117</v>
      </c>
      <c r="F762" s="12" t="s">
        <v>117</v>
      </c>
      <c r="G762" s="12" t="s">
        <v>117</v>
      </c>
      <c r="H762" s="12" t="s">
        <v>1025</v>
      </c>
      <c r="I762" s="12" t="s">
        <v>1026</v>
      </c>
    </row>
    <row r="763" spans="1:9">
      <c r="A763" s="14">
        <v>89004</v>
      </c>
      <c r="B763" s="14" t="s">
        <v>496</v>
      </c>
      <c r="C763" s="12" t="s">
        <v>116</v>
      </c>
      <c r="D763" s="15" t="str">
        <f t="shared" si="11"/>
        <v>Enterprise application mainten - PRD</v>
      </c>
      <c r="E763" s="12" t="s">
        <v>117</v>
      </c>
      <c r="F763" s="12" t="s">
        <v>117</v>
      </c>
      <c r="G763" s="12" t="s">
        <v>117</v>
      </c>
      <c r="H763" s="12" t="s">
        <v>1025</v>
      </c>
      <c r="I763" s="12" t="s">
        <v>1026</v>
      </c>
    </row>
    <row r="764" spans="1:9">
      <c r="A764" s="14">
        <v>89005</v>
      </c>
      <c r="B764" s="14" t="s">
        <v>496</v>
      </c>
      <c r="C764" s="12" t="s">
        <v>116</v>
      </c>
      <c r="D764" s="15" t="str">
        <f t="shared" si="11"/>
        <v>Enterprise application mainten - PRD</v>
      </c>
      <c r="E764" s="12" t="s">
        <v>117</v>
      </c>
      <c r="F764" s="12" t="s">
        <v>117</v>
      </c>
      <c r="G764" s="12" t="s">
        <v>117</v>
      </c>
      <c r="H764" s="12" t="s">
        <v>1025</v>
      </c>
      <c r="I764" s="12" t="s">
        <v>1026</v>
      </c>
    </row>
    <row r="765" spans="1:9">
      <c r="A765" s="14">
        <v>89006</v>
      </c>
      <c r="B765" s="14" t="s">
        <v>496</v>
      </c>
      <c r="C765" s="12" t="s">
        <v>116</v>
      </c>
      <c r="D765" s="15" t="str">
        <f t="shared" si="11"/>
        <v>Enterprise application mainten - PRD</v>
      </c>
      <c r="E765" s="12" t="s">
        <v>117</v>
      </c>
      <c r="F765" s="12" t="s">
        <v>117</v>
      </c>
      <c r="G765" s="12" t="s">
        <v>117</v>
      </c>
      <c r="H765" s="12" t="s">
        <v>1025</v>
      </c>
      <c r="I765" s="12" t="s">
        <v>1026</v>
      </c>
    </row>
    <row r="766" spans="1:9">
      <c r="A766" s="14">
        <v>90403</v>
      </c>
      <c r="B766" s="14" t="s">
        <v>924</v>
      </c>
      <c r="C766" s="12" t="s">
        <v>145</v>
      </c>
      <c r="D766" s="15" t="str">
        <f t="shared" si="11"/>
        <v>Enterprise Compliance Manageme - SUP</v>
      </c>
      <c r="E766" s="12" t="s">
        <v>104</v>
      </c>
      <c r="F766" s="12" t="s">
        <v>122</v>
      </c>
      <c r="G766" s="12" t="s">
        <v>114</v>
      </c>
      <c r="H766" s="12" t="s">
        <v>1025</v>
      </c>
      <c r="I766" s="12" t="s">
        <v>1026</v>
      </c>
    </row>
    <row r="767" spans="1:9">
      <c r="A767" s="14">
        <v>10697</v>
      </c>
      <c r="B767" s="14" t="s">
        <v>317</v>
      </c>
      <c r="C767" s="12" t="s">
        <v>133</v>
      </c>
      <c r="D767" s="15" t="str">
        <f t="shared" si="11"/>
        <v>Enterprise IT Managed Services - AMG</v>
      </c>
      <c r="E767" s="12" t="s">
        <v>126</v>
      </c>
      <c r="F767" s="12" t="s">
        <v>360</v>
      </c>
      <c r="G767" s="12" t="s">
        <v>361</v>
      </c>
      <c r="H767" s="12" t="s">
        <v>1025</v>
      </c>
      <c r="I767" s="12" t="s">
        <v>1026</v>
      </c>
    </row>
    <row r="768" spans="1:9">
      <c r="A768" s="14">
        <v>10697</v>
      </c>
      <c r="B768" s="14" t="s">
        <v>317</v>
      </c>
      <c r="C768" s="12" t="s">
        <v>116</v>
      </c>
      <c r="D768" s="15" t="str">
        <f t="shared" si="11"/>
        <v>Enterprise IT Managed Services - PRD</v>
      </c>
      <c r="E768" s="12" t="s">
        <v>126</v>
      </c>
      <c r="F768" s="12" t="s">
        <v>360</v>
      </c>
      <c r="G768" s="12" t="s">
        <v>361</v>
      </c>
      <c r="H768" s="12" t="s">
        <v>1025</v>
      </c>
      <c r="I768" s="12" t="s">
        <v>1026</v>
      </c>
    </row>
    <row r="769" spans="1:9">
      <c r="A769" s="14">
        <v>10697</v>
      </c>
      <c r="B769" s="14" t="s">
        <v>317</v>
      </c>
      <c r="C769" s="12" t="s">
        <v>145</v>
      </c>
      <c r="D769" s="15" t="str">
        <f t="shared" si="11"/>
        <v>Enterprise IT Managed Services - SUP</v>
      </c>
      <c r="E769" s="12" t="s">
        <v>126</v>
      </c>
      <c r="F769" s="12" t="s">
        <v>360</v>
      </c>
      <c r="G769" s="12" t="s">
        <v>361</v>
      </c>
      <c r="H769" s="12" t="s">
        <v>1025</v>
      </c>
      <c r="I769" s="12" t="s">
        <v>1026</v>
      </c>
    </row>
    <row r="770" spans="1:9">
      <c r="A770" s="14">
        <v>10697</v>
      </c>
      <c r="B770" s="14" t="s">
        <v>317</v>
      </c>
      <c r="C770" s="12" t="s">
        <v>198</v>
      </c>
      <c r="D770" s="15" t="str">
        <f t="shared" ref="D770:D833" si="12">B770&amp;" - "&amp;C770</f>
        <v>Enterprise IT Managed Services - TEC</v>
      </c>
      <c r="E770" s="12" t="s">
        <v>126</v>
      </c>
      <c r="F770" s="12" t="s">
        <v>360</v>
      </c>
      <c r="G770" s="12" t="s">
        <v>361</v>
      </c>
      <c r="H770" s="12" t="s">
        <v>1025</v>
      </c>
      <c r="I770" s="12" t="s">
        <v>1026</v>
      </c>
    </row>
    <row r="771" spans="1:9">
      <c r="A771" s="14">
        <v>10697</v>
      </c>
      <c r="B771" s="14" t="s">
        <v>317</v>
      </c>
      <c r="C771" s="12" t="s">
        <v>180</v>
      </c>
      <c r="D771" s="15" t="str">
        <f t="shared" si="12"/>
        <v>Enterprise IT Managed Services - TMG</v>
      </c>
      <c r="E771" s="12" t="s">
        <v>126</v>
      </c>
      <c r="F771" s="12" t="s">
        <v>360</v>
      </c>
      <c r="G771" s="12" t="s">
        <v>361</v>
      </c>
      <c r="H771" s="12" t="s">
        <v>1025</v>
      </c>
      <c r="I771" s="12" t="s">
        <v>1026</v>
      </c>
    </row>
    <row r="772" spans="1:9">
      <c r="A772" s="14">
        <v>91840</v>
      </c>
      <c r="B772" s="14" t="s">
        <v>950</v>
      </c>
      <c r="C772" s="12" t="s">
        <v>145</v>
      </c>
      <c r="D772" s="15" t="str">
        <f t="shared" si="12"/>
        <v>Enterprise Service Delivery SG - SUP</v>
      </c>
      <c r="E772" s="12" t="s">
        <v>126</v>
      </c>
      <c r="F772" s="12" t="s">
        <v>360</v>
      </c>
      <c r="G772" s="12" t="s">
        <v>361</v>
      </c>
      <c r="H772" s="12" t="s">
        <v>1025</v>
      </c>
      <c r="I772" s="12" t="s">
        <v>1026</v>
      </c>
    </row>
    <row r="773" spans="1:9">
      <c r="A773" s="14">
        <v>91840</v>
      </c>
      <c r="B773" s="14" t="s">
        <v>950</v>
      </c>
      <c r="C773" s="12" t="s">
        <v>198</v>
      </c>
      <c r="D773" s="15" t="str">
        <f t="shared" si="12"/>
        <v>Enterprise Service Delivery SG - TEC</v>
      </c>
      <c r="E773" s="12" t="s">
        <v>126</v>
      </c>
      <c r="F773" s="12" t="s">
        <v>360</v>
      </c>
      <c r="G773" s="12" t="s">
        <v>361</v>
      </c>
      <c r="H773" s="12" t="s">
        <v>1025</v>
      </c>
      <c r="I773" s="12" t="s">
        <v>1026</v>
      </c>
    </row>
    <row r="774" spans="1:9">
      <c r="A774" s="14">
        <v>90567</v>
      </c>
      <c r="B774" s="14" t="s">
        <v>930</v>
      </c>
      <c r="C774" s="12" t="s">
        <v>145</v>
      </c>
      <c r="D774" s="15" t="str">
        <f t="shared" si="12"/>
        <v>Environment Social Governance - SUP</v>
      </c>
      <c r="E774" s="12" t="s">
        <v>104</v>
      </c>
      <c r="F774" s="12" t="s">
        <v>518</v>
      </c>
      <c r="G774" s="12" t="s">
        <v>350</v>
      </c>
      <c r="H774" s="12" t="s">
        <v>1025</v>
      </c>
      <c r="I774" s="12" t="s">
        <v>1026</v>
      </c>
    </row>
    <row r="775" spans="1:9">
      <c r="A775" s="14">
        <v>10877</v>
      </c>
      <c r="B775" s="14" t="s">
        <v>436</v>
      </c>
      <c r="C775" s="12" t="s">
        <v>150</v>
      </c>
      <c r="D775" s="15" t="str">
        <f t="shared" si="12"/>
        <v>Envysion Video Audit - CCS</v>
      </c>
      <c r="E775" s="12" t="s">
        <v>126</v>
      </c>
      <c r="F775" s="12" t="s">
        <v>163</v>
      </c>
      <c r="G775" s="12" t="s">
        <v>164</v>
      </c>
      <c r="H775" s="12" t="s">
        <v>1025</v>
      </c>
      <c r="I775" s="12" t="s">
        <v>1026</v>
      </c>
    </row>
    <row r="776" spans="1:9">
      <c r="A776" s="14">
        <v>10877</v>
      </c>
      <c r="B776" s="14" t="s">
        <v>436</v>
      </c>
      <c r="C776" s="12" t="s">
        <v>161</v>
      </c>
      <c r="D776" s="15" t="str">
        <f t="shared" si="12"/>
        <v>Envysion Video Audit - ECC</v>
      </c>
      <c r="E776" s="12" t="s">
        <v>126</v>
      </c>
      <c r="F776" s="12" t="s">
        <v>163</v>
      </c>
      <c r="G776" s="12" t="s">
        <v>164</v>
      </c>
      <c r="H776" s="12" t="s">
        <v>1025</v>
      </c>
      <c r="I776" s="12" t="s">
        <v>1026</v>
      </c>
    </row>
    <row r="777" spans="1:9">
      <c r="A777" s="14">
        <v>10877</v>
      </c>
      <c r="B777" s="14" t="s">
        <v>436</v>
      </c>
      <c r="C777" s="12" t="s">
        <v>177</v>
      </c>
      <c r="D777" s="15" t="str">
        <f t="shared" si="12"/>
        <v>Envysion Video Audit - OPS</v>
      </c>
      <c r="E777" s="12" t="s">
        <v>126</v>
      </c>
      <c r="F777" s="12" t="s">
        <v>163</v>
      </c>
      <c r="G777" s="12" t="s">
        <v>164</v>
      </c>
      <c r="H777" s="12" t="s">
        <v>1025</v>
      </c>
      <c r="I777" s="12" t="s">
        <v>1026</v>
      </c>
    </row>
    <row r="778" spans="1:9">
      <c r="A778" s="14">
        <v>10877</v>
      </c>
      <c r="B778" s="14" t="s">
        <v>436</v>
      </c>
      <c r="C778" s="12" t="s">
        <v>418</v>
      </c>
      <c r="D778" s="15" t="str">
        <f t="shared" si="12"/>
        <v>Envysion Video Audit - QLC</v>
      </c>
      <c r="E778" s="12" t="s">
        <v>112</v>
      </c>
      <c r="F778" s="12" t="s">
        <v>113</v>
      </c>
      <c r="G778" s="12" t="s">
        <v>114</v>
      </c>
      <c r="H778" s="12" t="s">
        <v>1025</v>
      </c>
      <c r="I778" s="12" t="s">
        <v>1026</v>
      </c>
    </row>
    <row r="779" spans="1:9">
      <c r="A779" s="14">
        <v>10877</v>
      </c>
      <c r="B779" s="14" t="s">
        <v>436</v>
      </c>
      <c r="C779" s="12" t="s">
        <v>145</v>
      </c>
      <c r="D779" s="15" t="str">
        <f t="shared" si="12"/>
        <v>Envysion Video Audit - SUP</v>
      </c>
      <c r="E779" s="12" t="s">
        <v>126</v>
      </c>
      <c r="F779" s="12" t="s">
        <v>163</v>
      </c>
      <c r="G779" s="12" t="s">
        <v>164</v>
      </c>
      <c r="H779" s="12" t="s">
        <v>1025</v>
      </c>
      <c r="I779" s="12" t="s">
        <v>1026</v>
      </c>
    </row>
    <row r="780" spans="1:9">
      <c r="A780" s="14">
        <v>10877</v>
      </c>
      <c r="B780" s="14" t="s">
        <v>436</v>
      </c>
      <c r="C780" s="12" t="s">
        <v>196</v>
      </c>
      <c r="D780" s="15" t="str">
        <f t="shared" si="12"/>
        <v>Envysion Video Audit - SUT</v>
      </c>
      <c r="E780" s="12" t="s">
        <v>126</v>
      </c>
      <c r="F780" s="12" t="s">
        <v>163</v>
      </c>
      <c r="G780" s="12" t="s">
        <v>164</v>
      </c>
      <c r="H780" s="12" t="s">
        <v>1025</v>
      </c>
      <c r="I780" s="12" t="s">
        <v>1026</v>
      </c>
    </row>
    <row r="781" spans="1:9">
      <c r="A781" s="14">
        <v>10877</v>
      </c>
      <c r="B781" s="14" t="s">
        <v>436</v>
      </c>
      <c r="C781" s="12" t="s">
        <v>180</v>
      </c>
      <c r="D781" s="15" t="str">
        <f t="shared" si="12"/>
        <v>Envysion Video Audit - TMG</v>
      </c>
      <c r="E781" s="12" t="s">
        <v>126</v>
      </c>
      <c r="F781" s="12" t="s">
        <v>163</v>
      </c>
      <c r="G781" s="12" t="s">
        <v>164</v>
      </c>
      <c r="H781" s="12" t="s">
        <v>1025</v>
      </c>
      <c r="I781" s="12" t="s">
        <v>1026</v>
      </c>
    </row>
    <row r="782" spans="1:9">
      <c r="A782" s="14">
        <v>10877</v>
      </c>
      <c r="B782" s="14" t="s">
        <v>436</v>
      </c>
      <c r="C782" s="12" t="s">
        <v>185</v>
      </c>
      <c r="D782" s="15" t="str">
        <f t="shared" si="12"/>
        <v>Envysion Video Audit - TPS</v>
      </c>
      <c r="E782" s="12" t="s">
        <v>126</v>
      </c>
      <c r="F782" s="12" t="s">
        <v>163</v>
      </c>
      <c r="G782" s="12" t="s">
        <v>164</v>
      </c>
      <c r="H782" s="12" t="s">
        <v>1025</v>
      </c>
      <c r="I782" s="12" t="s">
        <v>1026</v>
      </c>
    </row>
    <row r="783" spans="1:9">
      <c r="A783" s="14">
        <v>10877</v>
      </c>
      <c r="B783" s="14" t="s">
        <v>436</v>
      </c>
      <c r="C783" s="12" t="s">
        <v>203</v>
      </c>
      <c r="D783" s="15" t="str">
        <f t="shared" si="12"/>
        <v>Envysion Video Audit - TRG</v>
      </c>
      <c r="E783" s="12" t="s">
        <v>112</v>
      </c>
      <c r="F783" s="12" t="s">
        <v>204</v>
      </c>
      <c r="G783" s="12" t="s">
        <v>205</v>
      </c>
      <c r="H783" s="12" t="s">
        <v>1025</v>
      </c>
      <c r="I783" s="12" t="s">
        <v>1026</v>
      </c>
    </row>
    <row r="784" spans="1:9">
      <c r="A784" s="14">
        <v>40225</v>
      </c>
      <c r="B784" s="14" t="s">
        <v>684</v>
      </c>
      <c r="C784" s="12" t="s">
        <v>129</v>
      </c>
      <c r="D784" s="15" t="str">
        <f t="shared" si="12"/>
        <v>Equity Research - MGT</v>
      </c>
      <c r="E784" s="12" t="s">
        <v>126</v>
      </c>
      <c r="F784" s="12" t="s">
        <v>184</v>
      </c>
      <c r="G784" s="12" t="s">
        <v>184</v>
      </c>
      <c r="H784" s="12" t="s">
        <v>1025</v>
      </c>
      <c r="I784" s="12" t="s">
        <v>1026</v>
      </c>
    </row>
    <row r="785" spans="1:9">
      <c r="A785" s="14">
        <v>40225</v>
      </c>
      <c r="B785" s="14" t="s">
        <v>684</v>
      </c>
      <c r="C785" s="12" t="s">
        <v>116</v>
      </c>
      <c r="D785" s="15" t="str">
        <f t="shared" si="12"/>
        <v>Equity Research - PRD</v>
      </c>
      <c r="E785" s="12" t="s">
        <v>126</v>
      </c>
      <c r="F785" s="12" t="s">
        <v>184</v>
      </c>
      <c r="G785" s="12" t="s">
        <v>184</v>
      </c>
      <c r="H785" s="12" t="s">
        <v>1025</v>
      </c>
      <c r="I785" s="12" t="s">
        <v>1026</v>
      </c>
    </row>
    <row r="786" spans="1:9">
      <c r="A786" s="14">
        <v>40225</v>
      </c>
      <c r="B786" s="14" t="s">
        <v>684</v>
      </c>
      <c r="C786" s="12" t="s">
        <v>172</v>
      </c>
      <c r="D786" s="15" t="str">
        <f t="shared" si="12"/>
        <v>Equity Research - SME</v>
      </c>
      <c r="E786" s="12" t="s">
        <v>126</v>
      </c>
      <c r="F786" s="12" t="s">
        <v>184</v>
      </c>
      <c r="G786" s="12" t="s">
        <v>184</v>
      </c>
      <c r="H786" s="12" t="s">
        <v>1025</v>
      </c>
      <c r="I786" s="12" t="s">
        <v>1026</v>
      </c>
    </row>
    <row r="787" spans="1:9">
      <c r="A787" s="14">
        <v>40225</v>
      </c>
      <c r="B787" s="14" t="s">
        <v>684</v>
      </c>
      <c r="C787" s="12" t="s">
        <v>145</v>
      </c>
      <c r="D787" s="15" t="str">
        <f t="shared" si="12"/>
        <v>Equity Research - SUP</v>
      </c>
      <c r="E787" s="12" t="s">
        <v>126</v>
      </c>
      <c r="F787" s="12" t="s">
        <v>184</v>
      </c>
      <c r="G787" s="12" t="s">
        <v>184</v>
      </c>
      <c r="H787" s="12" t="s">
        <v>1025</v>
      </c>
      <c r="I787" s="12" t="s">
        <v>1026</v>
      </c>
    </row>
    <row r="788" spans="1:9">
      <c r="A788" s="14">
        <v>51488</v>
      </c>
      <c r="B788" s="14" t="s">
        <v>816</v>
      </c>
      <c r="C788" s="12" t="s">
        <v>116</v>
      </c>
      <c r="D788" s="15" t="str">
        <f t="shared" si="12"/>
        <v>EquityResedential-2308-2312-Or - PRD</v>
      </c>
      <c r="E788" s="12" t="s">
        <v>117</v>
      </c>
      <c r="F788" s="12" t="s">
        <v>117</v>
      </c>
      <c r="G788" s="12" t="s">
        <v>117</v>
      </c>
      <c r="H788" s="12" t="s">
        <v>1025</v>
      </c>
      <c r="I788" s="12" t="s">
        <v>1026</v>
      </c>
    </row>
    <row r="789" spans="1:9">
      <c r="A789" s="14">
        <v>95305</v>
      </c>
      <c r="B789" s="14" t="s">
        <v>498</v>
      </c>
      <c r="C789" s="12" t="s">
        <v>129</v>
      </c>
      <c r="D789" s="15" t="str">
        <f t="shared" si="12"/>
        <v>ESG Ariba - MGT</v>
      </c>
      <c r="E789" s="12" t="s">
        <v>104</v>
      </c>
      <c r="F789" s="12" t="s">
        <v>263</v>
      </c>
      <c r="G789" s="12" t="s">
        <v>264</v>
      </c>
      <c r="H789" s="12" t="s">
        <v>1025</v>
      </c>
      <c r="I789" s="12" t="s">
        <v>1026</v>
      </c>
    </row>
    <row r="790" spans="1:9">
      <c r="A790" s="14">
        <v>96113</v>
      </c>
      <c r="B790" s="14" t="s">
        <v>1005</v>
      </c>
      <c r="C790" s="12" t="s">
        <v>145</v>
      </c>
      <c r="D790" s="15" t="str">
        <f t="shared" si="12"/>
        <v>ESG BI-EPM Apps - SUP</v>
      </c>
      <c r="E790" s="12" t="s">
        <v>104</v>
      </c>
      <c r="F790" s="12" t="s">
        <v>263</v>
      </c>
      <c r="G790" s="12" t="s">
        <v>264</v>
      </c>
      <c r="H790" s="12" t="s">
        <v>1025</v>
      </c>
      <c r="I790" s="12" t="s">
        <v>1026</v>
      </c>
    </row>
    <row r="791" spans="1:9">
      <c r="A791" s="14">
        <v>95250</v>
      </c>
      <c r="B791" s="14" t="s">
        <v>500</v>
      </c>
      <c r="C791" s="12" t="s">
        <v>262</v>
      </c>
      <c r="D791" s="15" t="str">
        <f t="shared" si="12"/>
        <v>ESG CORP APPS - GSI</v>
      </c>
      <c r="E791" s="12" t="s">
        <v>104</v>
      </c>
      <c r="F791" s="12" t="s">
        <v>117</v>
      </c>
      <c r="G791" s="12" t="s">
        <v>117</v>
      </c>
      <c r="H791" s="12" t="s">
        <v>1025</v>
      </c>
      <c r="I791" s="12" t="s">
        <v>1026</v>
      </c>
    </row>
    <row r="792" spans="1:9">
      <c r="A792" s="14">
        <v>95250</v>
      </c>
      <c r="B792" s="14" t="s">
        <v>500</v>
      </c>
      <c r="C792" s="12" t="s">
        <v>415</v>
      </c>
      <c r="D792" s="15" t="str">
        <f t="shared" si="12"/>
        <v>ESG CORP APPS - GTI</v>
      </c>
      <c r="E792" s="12" t="s">
        <v>104</v>
      </c>
      <c r="F792" s="12" t="s">
        <v>117</v>
      </c>
      <c r="G792" s="12" t="s">
        <v>117</v>
      </c>
      <c r="H792" s="12" t="s">
        <v>1025</v>
      </c>
      <c r="I792" s="12" t="s">
        <v>1026</v>
      </c>
    </row>
    <row r="793" spans="1:9">
      <c r="A793" s="14">
        <v>95250</v>
      </c>
      <c r="B793" s="14" t="s">
        <v>500</v>
      </c>
      <c r="C793" s="12" t="s">
        <v>129</v>
      </c>
      <c r="D793" s="15" t="str">
        <f t="shared" si="12"/>
        <v>ESG CORP APPS - MGT</v>
      </c>
      <c r="E793" s="12" t="s">
        <v>104</v>
      </c>
      <c r="F793" s="12" t="s">
        <v>117</v>
      </c>
      <c r="G793" s="12" t="s">
        <v>117</v>
      </c>
      <c r="H793" s="12" t="s">
        <v>1025</v>
      </c>
      <c r="I793" s="12" t="s">
        <v>1026</v>
      </c>
    </row>
    <row r="794" spans="1:9">
      <c r="A794" s="14">
        <v>95250</v>
      </c>
      <c r="B794" s="14" t="s">
        <v>500</v>
      </c>
      <c r="C794" s="12" t="s">
        <v>139</v>
      </c>
      <c r="D794" s="15" t="str">
        <f t="shared" si="12"/>
        <v>ESG CORP APPS - SMGT</v>
      </c>
      <c r="E794" s="12" t="s">
        <v>104</v>
      </c>
      <c r="F794" s="12" t="s">
        <v>117</v>
      </c>
      <c r="G794" s="12" t="s">
        <v>117</v>
      </c>
      <c r="H794" s="12" t="s">
        <v>1025</v>
      </c>
      <c r="I794" s="12" t="s">
        <v>1026</v>
      </c>
    </row>
    <row r="795" spans="1:9">
      <c r="A795" s="14">
        <v>95250</v>
      </c>
      <c r="B795" s="14" t="s">
        <v>500</v>
      </c>
      <c r="C795" s="12" t="s">
        <v>145</v>
      </c>
      <c r="D795" s="15" t="str">
        <f t="shared" si="12"/>
        <v>ESG CORP APPS - SUP</v>
      </c>
      <c r="E795" s="12" t="s">
        <v>104</v>
      </c>
      <c r="F795" s="12" t="s">
        <v>117</v>
      </c>
      <c r="G795" s="12" t="s">
        <v>117</v>
      </c>
      <c r="H795" s="12" t="s">
        <v>1025</v>
      </c>
      <c r="I795" s="12" t="s">
        <v>1026</v>
      </c>
    </row>
    <row r="796" spans="1:9">
      <c r="A796" s="14">
        <v>95309</v>
      </c>
      <c r="B796" s="14" t="s">
        <v>993</v>
      </c>
      <c r="C796" s="12" t="s">
        <v>145</v>
      </c>
      <c r="D796" s="15" t="str">
        <f t="shared" si="12"/>
        <v>ESG EPM Apps - SUP</v>
      </c>
      <c r="E796" s="12" t="s">
        <v>104</v>
      </c>
      <c r="F796" s="12" t="s">
        <v>263</v>
      </c>
      <c r="G796" s="12" t="s">
        <v>264</v>
      </c>
      <c r="H796" s="12" t="s">
        <v>1025</v>
      </c>
      <c r="I796" s="12" t="s">
        <v>1026</v>
      </c>
    </row>
    <row r="797" spans="1:9">
      <c r="A797" s="14">
        <v>95309</v>
      </c>
      <c r="B797" s="14" t="s">
        <v>993</v>
      </c>
      <c r="C797" s="12" t="s">
        <v>180</v>
      </c>
      <c r="D797" s="15" t="str">
        <f t="shared" si="12"/>
        <v>ESG EPM Apps - TMG</v>
      </c>
      <c r="E797" s="12" t="s">
        <v>104</v>
      </c>
      <c r="F797" s="12" t="s">
        <v>263</v>
      </c>
      <c r="G797" s="12" t="s">
        <v>264</v>
      </c>
      <c r="H797" s="12" t="s">
        <v>1025</v>
      </c>
      <c r="I797" s="12" t="s">
        <v>1026</v>
      </c>
    </row>
    <row r="798" spans="1:9">
      <c r="A798" s="14">
        <v>95300</v>
      </c>
      <c r="B798" s="14" t="s">
        <v>505</v>
      </c>
      <c r="C798" s="12" t="s">
        <v>133</v>
      </c>
      <c r="D798" s="15" t="str">
        <f t="shared" si="12"/>
        <v>ESG Finance - AMG</v>
      </c>
      <c r="E798" s="12" t="s">
        <v>104</v>
      </c>
      <c r="F798" s="12" t="s">
        <v>263</v>
      </c>
      <c r="G798" s="12" t="s">
        <v>264</v>
      </c>
      <c r="H798" s="12" t="s">
        <v>1025</v>
      </c>
      <c r="I798" s="12" t="s">
        <v>1026</v>
      </c>
    </row>
    <row r="799" spans="1:9">
      <c r="A799" s="14">
        <v>95300</v>
      </c>
      <c r="B799" s="14" t="s">
        <v>505</v>
      </c>
      <c r="C799" s="12" t="s">
        <v>262</v>
      </c>
      <c r="D799" s="15" t="str">
        <f t="shared" si="12"/>
        <v>ESG Finance - GSI</v>
      </c>
      <c r="E799" s="12" t="s">
        <v>104</v>
      </c>
      <c r="F799" s="12" t="s">
        <v>263</v>
      </c>
      <c r="G799" s="12" t="s">
        <v>264</v>
      </c>
      <c r="H799" s="12" t="s">
        <v>1025</v>
      </c>
      <c r="I799" s="12" t="s">
        <v>1026</v>
      </c>
    </row>
    <row r="800" spans="1:9">
      <c r="A800" s="14">
        <v>95300</v>
      </c>
      <c r="B800" s="14" t="s">
        <v>505</v>
      </c>
      <c r="C800" s="12" t="s">
        <v>129</v>
      </c>
      <c r="D800" s="15" t="str">
        <f t="shared" si="12"/>
        <v>ESG Finance - MGT</v>
      </c>
      <c r="E800" s="12" t="s">
        <v>104</v>
      </c>
      <c r="F800" s="12" t="s">
        <v>263</v>
      </c>
      <c r="G800" s="12" t="s">
        <v>264</v>
      </c>
      <c r="H800" s="12" t="s">
        <v>1025</v>
      </c>
      <c r="I800" s="12" t="s">
        <v>1026</v>
      </c>
    </row>
    <row r="801" spans="1:9">
      <c r="A801" s="14">
        <v>95300</v>
      </c>
      <c r="B801" s="14" t="s">
        <v>505</v>
      </c>
      <c r="C801" s="12" t="s">
        <v>139</v>
      </c>
      <c r="D801" s="15" t="str">
        <f t="shared" si="12"/>
        <v>ESG Finance - SMGT</v>
      </c>
      <c r="E801" s="12" t="s">
        <v>104</v>
      </c>
      <c r="F801" s="12" t="s">
        <v>263</v>
      </c>
      <c r="G801" s="12" t="s">
        <v>264</v>
      </c>
      <c r="H801" s="12" t="s">
        <v>1025</v>
      </c>
      <c r="I801" s="12" t="s">
        <v>1026</v>
      </c>
    </row>
    <row r="802" spans="1:9">
      <c r="A802" s="14">
        <v>95300</v>
      </c>
      <c r="B802" s="14" t="s">
        <v>505</v>
      </c>
      <c r="C802" s="12" t="s">
        <v>145</v>
      </c>
      <c r="D802" s="15" t="str">
        <f t="shared" si="12"/>
        <v>ESG Finance - SUP</v>
      </c>
      <c r="E802" s="12" t="s">
        <v>104</v>
      </c>
      <c r="F802" s="12" t="s">
        <v>263</v>
      </c>
      <c r="G802" s="12" t="s">
        <v>264</v>
      </c>
      <c r="H802" s="12" t="s">
        <v>1025</v>
      </c>
      <c r="I802" s="12" t="s">
        <v>1026</v>
      </c>
    </row>
    <row r="803" spans="1:9">
      <c r="A803" s="14">
        <v>95300</v>
      </c>
      <c r="B803" s="14" t="s">
        <v>505</v>
      </c>
      <c r="C803" s="12" t="s">
        <v>180</v>
      </c>
      <c r="D803" s="15" t="str">
        <f t="shared" si="12"/>
        <v>ESG Finance - TMG</v>
      </c>
      <c r="E803" s="12" t="s">
        <v>104</v>
      </c>
      <c r="F803" s="12" t="s">
        <v>263</v>
      </c>
      <c r="G803" s="12" t="s">
        <v>264</v>
      </c>
      <c r="H803" s="12" t="s">
        <v>1025</v>
      </c>
      <c r="I803" s="12" t="s">
        <v>1026</v>
      </c>
    </row>
    <row r="804" spans="1:9">
      <c r="A804" s="14">
        <v>95304</v>
      </c>
      <c r="B804" s="14" t="s">
        <v>989</v>
      </c>
      <c r="C804" s="12" t="s">
        <v>262</v>
      </c>
      <c r="D804" s="15" t="str">
        <f t="shared" si="12"/>
        <v>ESG HCM - GSI</v>
      </c>
      <c r="E804" s="12" t="s">
        <v>104</v>
      </c>
      <c r="F804" s="12" t="s">
        <v>263</v>
      </c>
      <c r="G804" s="12" t="s">
        <v>264</v>
      </c>
      <c r="H804" s="12" t="s">
        <v>1025</v>
      </c>
      <c r="I804" s="12" t="s">
        <v>1026</v>
      </c>
    </row>
    <row r="805" spans="1:9">
      <c r="A805" s="14">
        <v>95304</v>
      </c>
      <c r="B805" s="14" t="s">
        <v>989</v>
      </c>
      <c r="C805" s="12" t="s">
        <v>129</v>
      </c>
      <c r="D805" s="15" t="str">
        <f t="shared" si="12"/>
        <v>ESG HCM - MGT</v>
      </c>
      <c r="E805" s="12" t="s">
        <v>104</v>
      </c>
      <c r="F805" s="12" t="s">
        <v>263</v>
      </c>
      <c r="G805" s="12" t="s">
        <v>264</v>
      </c>
      <c r="H805" s="12" t="s">
        <v>1025</v>
      </c>
      <c r="I805" s="12" t="s">
        <v>1026</v>
      </c>
    </row>
    <row r="806" spans="1:9">
      <c r="A806" s="14">
        <v>95304</v>
      </c>
      <c r="B806" s="14" t="s">
        <v>989</v>
      </c>
      <c r="C806" s="12" t="s">
        <v>139</v>
      </c>
      <c r="D806" s="15" t="str">
        <f t="shared" si="12"/>
        <v>ESG HCM - SMGT</v>
      </c>
      <c r="E806" s="12" t="s">
        <v>104</v>
      </c>
      <c r="F806" s="12" t="s">
        <v>263</v>
      </c>
      <c r="G806" s="12" t="s">
        <v>264</v>
      </c>
      <c r="H806" s="12" t="s">
        <v>1025</v>
      </c>
      <c r="I806" s="12" t="s">
        <v>1026</v>
      </c>
    </row>
    <row r="807" spans="1:9">
      <c r="A807" s="14">
        <v>95304</v>
      </c>
      <c r="B807" s="14" t="s">
        <v>989</v>
      </c>
      <c r="C807" s="12" t="s">
        <v>145</v>
      </c>
      <c r="D807" s="15" t="str">
        <f t="shared" si="12"/>
        <v>ESG HCM - SUP</v>
      </c>
      <c r="E807" s="12" t="s">
        <v>104</v>
      </c>
      <c r="F807" s="12" t="s">
        <v>263</v>
      </c>
      <c r="G807" s="12" t="s">
        <v>264</v>
      </c>
      <c r="H807" s="12" t="s">
        <v>1025</v>
      </c>
      <c r="I807" s="12" t="s">
        <v>1026</v>
      </c>
    </row>
    <row r="808" spans="1:9">
      <c r="A808" s="14">
        <v>95304</v>
      </c>
      <c r="B808" s="14" t="s">
        <v>989</v>
      </c>
      <c r="C808" s="12" t="s">
        <v>180</v>
      </c>
      <c r="D808" s="15" t="str">
        <f t="shared" si="12"/>
        <v>ESG HCM - TMG</v>
      </c>
      <c r="E808" s="12" t="s">
        <v>104</v>
      </c>
      <c r="F808" s="12" t="s">
        <v>263</v>
      </c>
      <c r="G808" s="12" t="s">
        <v>264</v>
      </c>
      <c r="H808" s="12" t="s">
        <v>1025</v>
      </c>
      <c r="I808" s="12" t="s">
        <v>1026</v>
      </c>
    </row>
    <row r="809" spans="1:9">
      <c r="A809" s="14">
        <v>95306</v>
      </c>
      <c r="B809" s="14" t="s">
        <v>990</v>
      </c>
      <c r="C809" s="12" t="s">
        <v>262</v>
      </c>
      <c r="D809" s="15" t="str">
        <f t="shared" si="12"/>
        <v>ESG IROZ - GSI</v>
      </c>
      <c r="E809" s="12" t="s">
        <v>104</v>
      </c>
      <c r="F809" s="12" t="s">
        <v>263</v>
      </c>
      <c r="G809" s="12" t="s">
        <v>264</v>
      </c>
      <c r="H809" s="12" t="s">
        <v>1025</v>
      </c>
      <c r="I809" s="12" t="s">
        <v>1026</v>
      </c>
    </row>
    <row r="810" spans="1:9">
      <c r="A810" s="14">
        <v>95306</v>
      </c>
      <c r="B810" s="14" t="s">
        <v>990</v>
      </c>
      <c r="C810" s="12" t="s">
        <v>415</v>
      </c>
      <c r="D810" s="15" t="str">
        <f t="shared" si="12"/>
        <v>ESG IROZ - GTI</v>
      </c>
      <c r="E810" s="12" t="s">
        <v>104</v>
      </c>
      <c r="F810" s="12" t="s">
        <v>263</v>
      </c>
      <c r="G810" s="12" t="s">
        <v>264</v>
      </c>
      <c r="H810" s="12" t="s">
        <v>1025</v>
      </c>
      <c r="I810" s="12" t="s">
        <v>1026</v>
      </c>
    </row>
    <row r="811" spans="1:9">
      <c r="A811" s="14">
        <v>95306</v>
      </c>
      <c r="B811" s="14" t="s">
        <v>990</v>
      </c>
      <c r="C811" s="12" t="s">
        <v>145</v>
      </c>
      <c r="D811" s="15" t="str">
        <f t="shared" si="12"/>
        <v>ESG IROZ - SUP</v>
      </c>
      <c r="E811" s="12" t="s">
        <v>104</v>
      </c>
      <c r="F811" s="12" t="s">
        <v>263</v>
      </c>
      <c r="G811" s="12" t="s">
        <v>264</v>
      </c>
      <c r="H811" s="12" t="s">
        <v>1025</v>
      </c>
      <c r="I811" s="12" t="s">
        <v>1026</v>
      </c>
    </row>
    <row r="812" spans="1:9">
      <c r="A812" s="14">
        <v>95308</v>
      </c>
      <c r="B812" s="14" t="s">
        <v>992</v>
      </c>
      <c r="C812" s="12" t="s">
        <v>145</v>
      </c>
      <c r="D812" s="15" t="str">
        <f t="shared" si="12"/>
        <v>ESG Smartrecruiter - SUP</v>
      </c>
      <c r="E812" s="12" t="s">
        <v>104</v>
      </c>
      <c r="F812" s="12" t="s">
        <v>263</v>
      </c>
      <c r="G812" s="12" t="s">
        <v>264</v>
      </c>
      <c r="H812" s="12" t="s">
        <v>1025</v>
      </c>
      <c r="I812" s="12" t="s">
        <v>1026</v>
      </c>
    </row>
    <row r="813" spans="1:9">
      <c r="A813" s="14">
        <v>95307</v>
      </c>
      <c r="B813" s="14" t="s">
        <v>991</v>
      </c>
      <c r="C813" s="12" t="s">
        <v>262</v>
      </c>
      <c r="D813" s="15" t="str">
        <f t="shared" si="12"/>
        <v>ESG SQMS - GSI</v>
      </c>
      <c r="E813" s="12" t="s">
        <v>104</v>
      </c>
      <c r="F813" s="12" t="s">
        <v>263</v>
      </c>
      <c r="G813" s="12" t="s">
        <v>264</v>
      </c>
      <c r="H813" s="12" t="s">
        <v>1025</v>
      </c>
      <c r="I813" s="12" t="s">
        <v>1026</v>
      </c>
    </row>
    <row r="814" spans="1:9">
      <c r="A814" s="14">
        <v>95307</v>
      </c>
      <c r="B814" s="14" t="s">
        <v>991</v>
      </c>
      <c r="C814" s="12" t="s">
        <v>415</v>
      </c>
      <c r="D814" s="15" t="str">
        <f t="shared" si="12"/>
        <v>ESG SQMS - GTI</v>
      </c>
      <c r="E814" s="12" t="s">
        <v>104</v>
      </c>
      <c r="F814" s="12" t="s">
        <v>263</v>
      </c>
      <c r="G814" s="12" t="s">
        <v>264</v>
      </c>
      <c r="H814" s="12" t="s">
        <v>1025</v>
      </c>
      <c r="I814" s="12" t="s">
        <v>1026</v>
      </c>
    </row>
    <row r="815" spans="1:9">
      <c r="A815" s="14">
        <v>95307</v>
      </c>
      <c r="B815" s="14" t="s">
        <v>991</v>
      </c>
      <c r="C815" s="12" t="s">
        <v>139</v>
      </c>
      <c r="D815" s="15" t="str">
        <f t="shared" si="12"/>
        <v>ESG SQMS - SMGT</v>
      </c>
      <c r="E815" s="12" t="s">
        <v>104</v>
      </c>
      <c r="F815" s="12" t="s">
        <v>263</v>
      </c>
      <c r="G815" s="12" t="s">
        <v>264</v>
      </c>
      <c r="H815" s="12" t="s">
        <v>1025</v>
      </c>
      <c r="I815" s="12" t="s">
        <v>1026</v>
      </c>
    </row>
    <row r="816" spans="1:9">
      <c r="A816" s="14">
        <v>95307</v>
      </c>
      <c r="B816" s="14" t="s">
        <v>991</v>
      </c>
      <c r="C816" s="12" t="s">
        <v>145</v>
      </c>
      <c r="D816" s="15" t="str">
        <f t="shared" si="12"/>
        <v>ESG SQMS - SUP</v>
      </c>
      <c r="E816" s="12" t="s">
        <v>104</v>
      </c>
      <c r="F816" s="12" t="s">
        <v>263</v>
      </c>
      <c r="G816" s="12" t="s">
        <v>264</v>
      </c>
      <c r="H816" s="12" t="s">
        <v>1025</v>
      </c>
      <c r="I816" s="12" t="s">
        <v>1026</v>
      </c>
    </row>
    <row r="817" spans="1:9">
      <c r="A817" s="14">
        <v>10482</v>
      </c>
      <c r="B817" s="14" t="s">
        <v>243</v>
      </c>
      <c r="C817" s="12" t="s">
        <v>492</v>
      </c>
      <c r="D817" s="15" t="str">
        <f t="shared" si="12"/>
        <v>Everest Re UK Supportt - AGD</v>
      </c>
      <c r="E817" s="12" t="s">
        <v>126</v>
      </c>
      <c r="F817" s="12" t="s">
        <v>163</v>
      </c>
      <c r="G817" s="12" t="s">
        <v>164</v>
      </c>
      <c r="H817" s="12" t="s">
        <v>1025</v>
      </c>
      <c r="I817" s="12" t="s">
        <v>1026</v>
      </c>
    </row>
    <row r="818" spans="1:9">
      <c r="A818" s="14">
        <v>10482</v>
      </c>
      <c r="B818" s="14" t="s">
        <v>243</v>
      </c>
      <c r="C818" s="12" t="s">
        <v>145</v>
      </c>
      <c r="D818" s="15" t="str">
        <f t="shared" si="12"/>
        <v>Everest Re UK Supportt - SUP</v>
      </c>
      <c r="E818" s="12" t="s">
        <v>126</v>
      </c>
      <c r="F818" s="12" t="s">
        <v>163</v>
      </c>
      <c r="G818" s="12" t="s">
        <v>164</v>
      </c>
      <c r="H818" s="12" t="s">
        <v>1025</v>
      </c>
      <c r="I818" s="12" t="s">
        <v>1026</v>
      </c>
    </row>
    <row r="819" spans="1:9">
      <c r="A819" s="14">
        <v>10482</v>
      </c>
      <c r="B819" s="14" t="s">
        <v>243</v>
      </c>
      <c r="C819" s="12" t="s">
        <v>196</v>
      </c>
      <c r="D819" s="15" t="str">
        <f t="shared" si="12"/>
        <v>Everest Re UK Supportt - SUT</v>
      </c>
      <c r="E819" s="12" t="s">
        <v>126</v>
      </c>
      <c r="F819" s="12" t="s">
        <v>163</v>
      </c>
      <c r="G819" s="12" t="s">
        <v>164</v>
      </c>
      <c r="H819" s="12" t="s">
        <v>1025</v>
      </c>
      <c r="I819" s="12" t="s">
        <v>1026</v>
      </c>
    </row>
    <row r="820" spans="1:9">
      <c r="A820" s="14">
        <v>10482</v>
      </c>
      <c r="B820" s="14" t="s">
        <v>243</v>
      </c>
      <c r="C820" s="12" t="s">
        <v>185</v>
      </c>
      <c r="D820" s="15" t="str">
        <f t="shared" si="12"/>
        <v>Everest Re UK Supportt - TPS</v>
      </c>
      <c r="E820" s="12" t="s">
        <v>126</v>
      </c>
      <c r="F820" s="12" t="s">
        <v>163</v>
      </c>
      <c r="G820" s="12" t="s">
        <v>164</v>
      </c>
      <c r="H820" s="12" t="s">
        <v>1025</v>
      </c>
      <c r="I820" s="12" t="s">
        <v>1026</v>
      </c>
    </row>
    <row r="821" spans="1:9">
      <c r="A821" s="14">
        <v>10948</v>
      </c>
      <c r="B821" s="14" t="s">
        <v>487</v>
      </c>
      <c r="C821" s="12" t="s">
        <v>185</v>
      </c>
      <c r="D821" s="15" t="str">
        <f t="shared" si="12"/>
        <v>Everest_CreditControl_Europe - TPS</v>
      </c>
      <c r="E821" s="12" t="s">
        <v>126</v>
      </c>
      <c r="F821" s="12" t="s">
        <v>163</v>
      </c>
      <c r="G821" s="12" t="s">
        <v>164</v>
      </c>
      <c r="H821" s="12" t="s">
        <v>1025</v>
      </c>
      <c r="I821" s="12" t="s">
        <v>1026</v>
      </c>
    </row>
    <row r="822" spans="1:9">
      <c r="A822" s="14">
        <v>97202</v>
      </c>
      <c r="B822" s="14" t="s">
        <v>511</v>
      </c>
      <c r="C822" s="12" t="s">
        <v>129</v>
      </c>
      <c r="D822" s="15" t="str">
        <f t="shared" si="12"/>
        <v>Executive Recruitment - MGT</v>
      </c>
      <c r="E822" s="12" t="s">
        <v>104</v>
      </c>
      <c r="F822" s="12" t="s">
        <v>512</v>
      </c>
      <c r="G822" s="12" t="s">
        <v>114</v>
      </c>
      <c r="H822" s="12" t="s">
        <v>1025</v>
      </c>
      <c r="I822" s="12" t="s">
        <v>1026</v>
      </c>
    </row>
    <row r="823" spans="1:9">
      <c r="A823" s="14">
        <v>97202</v>
      </c>
      <c r="B823" s="14" t="s">
        <v>511</v>
      </c>
      <c r="C823" s="12" t="s">
        <v>514</v>
      </c>
      <c r="D823" s="15" t="str">
        <f t="shared" si="12"/>
        <v>Executive Recruitment - REC</v>
      </c>
      <c r="E823" s="12" t="s">
        <v>104</v>
      </c>
      <c r="F823" s="12" t="s">
        <v>512</v>
      </c>
      <c r="G823" s="12" t="s">
        <v>114</v>
      </c>
      <c r="H823" s="12" t="s">
        <v>1025</v>
      </c>
      <c r="I823" s="12" t="s">
        <v>1026</v>
      </c>
    </row>
    <row r="824" spans="1:9">
      <c r="A824" s="14">
        <v>97202</v>
      </c>
      <c r="B824" s="14" t="s">
        <v>511</v>
      </c>
      <c r="C824" s="12" t="s">
        <v>145</v>
      </c>
      <c r="D824" s="15" t="str">
        <f t="shared" si="12"/>
        <v>Executive Recruitment - SUP</v>
      </c>
      <c r="E824" s="12" t="s">
        <v>104</v>
      </c>
      <c r="F824" s="12" t="s">
        <v>512</v>
      </c>
      <c r="G824" s="12" t="s">
        <v>114</v>
      </c>
      <c r="H824" s="12" t="s">
        <v>1025</v>
      </c>
      <c r="I824" s="12" t="s">
        <v>1026</v>
      </c>
    </row>
    <row r="825" spans="1:9">
      <c r="A825" s="14">
        <v>97202</v>
      </c>
      <c r="B825" s="14" t="s">
        <v>511</v>
      </c>
      <c r="C825" s="12" t="s">
        <v>180</v>
      </c>
      <c r="D825" s="15" t="str">
        <f t="shared" si="12"/>
        <v>Executive Recruitment - TMG</v>
      </c>
      <c r="E825" s="12" t="s">
        <v>104</v>
      </c>
      <c r="F825" s="12" t="s">
        <v>512</v>
      </c>
      <c r="G825" s="12" t="s">
        <v>114</v>
      </c>
      <c r="H825" s="12" t="s">
        <v>1025</v>
      </c>
      <c r="I825" s="12" t="s">
        <v>1026</v>
      </c>
    </row>
    <row r="826" spans="1:9">
      <c r="A826" s="14">
        <v>10112</v>
      </c>
      <c r="B826" s="14" t="s">
        <v>225</v>
      </c>
      <c r="C826" s="12" t="s">
        <v>185</v>
      </c>
      <c r="D826" s="15" t="str">
        <f t="shared" si="12"/>
        <v>Expedia Airline BO - TPS</v>
      </c>
      <c r="E826" s="12" t="s">
        <v>126</v>
      </c>
      <c r="F826" s="12" t="s">
        <v>163</v>
      </c>
      <c r="G826" s="12" t="s">
        <v>164</v>
      </c>
      <c r="H826" s="12" t="s">
        <v>1025</v>
      </c>
      <c r="I826" s="12" t="s">
        <v>1026</v>
      </c>
    </row>
    <row r="827" spans="1:9">
      <c r="A827" s="14">
        <v>10832</v>
      </c>
      <c r="B827" s="14" t="s">
        <v>419</v>
      </c>
      <c r="C827" s="12" t="s">
        <v>150</v>
      </c>
      <c r="D827" s="15" t="str">
        <f t="shared" si="12"/>
        <v>Expedia -AirOps ADM Pilot - CCS</v>
      </c>
      <c r="E827" s="12" t="s">
        <v>126</v>
      </c>
      <c r="F827" s="12" t="s">
        <v>163</v>
      </c>
      <c r="G827" s="12" t="s">
        <v>164</v>
      </c>
      <c r="H827" s="12" t="s">
        <v>1025</v>
      </c>
      <c r="I827" s="12" t="s">
        <v>1026</v>
      </c>
    </row>
    <row r="828" spans="1:9">
      <c r="A828" s="14">
        <v>10832</v>
      </c>
      <c r="B828" s="14" t="s">
        <v>419</v>
      </c>
      <c r="C828" s="12" t="s">
        <v>306</v>
      </c>
      <c r="D828" s="15" t="str">
        <f t="shared" si="12"/>
        <v>Expedia -AirOps ADM Pilot - FAO</v>
      </c>
      <c r="E828" s="12" t="s">
        <v>126</v>
      </c>
      <c r="F828" s="12" t="s">
        <v>163</v>
      </c>
      <c r="G828" s="12" t="s">
        <v>164</v>
      </c>
      <c r="H828" s="12" t="s">
        <v>1025</v>
      </c>
      <c r="I828" s="12" t="s">
        <v>1026</v>
      </c>
    </row>
    <row r="829" spans="1:9">
      <c r="A829" s="14">
        <v>10832</v>
      </c>
      <c r="B829" s="14" t="s">
        <v>419</v>
      </c>
      <c r="C829" s="12" t="s">
        <v>116</v>
      </c>
      <c r="D829" s="15" t="str">
        <f t="shared" si="12"/>
        <v>Expedia -AirOps ADM Pilot - PRD</v>
      </c>
      <c r="E829" s="12" t="s">
        <v>126</v>
      </c>
      <c r="F829" s="12" t="s">
        <v>163</v>
      </c>
      <c r="G829" s="12" t="s">
        <v>164</v>
      </c>
      <c r="H829" s="12" t="s">
        <v>1025</v>
      </c>
      <c r="I829" s="12" t="s">
        <v>1026</v>
      </c>
    </row>
    <row r="830" spans="1:9">
      <c r="A830" s="14">
        <v>10832</v>
      </c>
      <c r="B830" s="14" t="s">
        <v>419</v>
      </c>
      <c r="C830" s="12" t="s">
        <v>230</v>
      </c>
      <c r="D830" s="15" t="str">
        <f t="shared" si="12"/>
        <v>Expedia -AirOps ADM Pilot - PRSP</v>
      </c>
      <c r="E830" s="12" t="s">
        <v>126</v>
      </c>
      <c r="F830" s="12" t="s">
        <v>163</v>
      </c>
      <c r="G830" s="12" t="s">
        <v>164</v>
      </c>
      <c r="H830" s="12" t="s">
        <v>1025</v>
      </c>
      <c r="I830" s="12" t="s">
        <v>1026</v>
      </c>
    </row>
    <row r="831" spans="1:9">
      <c r="A831" s="14">
        <v>10832</v>
      </c>
      <c r="B831" s="14" t="s">
        <v>419</v>
      </c>
      <c r="C831" s="12" t="s">
        <v>145</v>
      </c>
      <c r="D831" s="15" t="str">
        <f t="shared" si="12"/>
        <v>Expedia -AirOps ADM Pilot - SUP</v>
      </c>
      <c r="E831" s="12" t="s">
        <v>126</v>
      </c>
      <c r="F831" s="12" t="s">
        <v>163</v>
      </c>
      <c r="G831" s="12" t="s">
        <v>164</v>
      </c>
      <c r="H831" s="12" t="s">
        <v>1025</v>
      </c>
      <c r="I831" s="12" t="s">
        <v>1026</v>
      </c>
    </row>
    <row r="832" spans="1:9">
      <c r="A832" s="14">
        <v>10832</v>
      </c>
      <c r="B832" s="14" t="s">
        <v>419</v>
      </c>
      <c r="C832" s="12" t="s">
        <v>180</v>
      </c>
      <c r="D832" s="15" t="str">
        <f t="shared" si="12"/>
        <v>Expedia -AirOps ADM Pilot - TMG</v>
      </c>
      <c r="E832" s="12" t="s">
        <v>126</v>
      </c>
      <c r="F832" s="12" t="s">
        <v>163</v>
      </c>
      <c r="G832" s="12" t="s">
        <v>164</v>
      </c>
      <c r="H832" s="12" t="s">
        <v>1025</v>
      </c>
      <c r="I832" s="12" t="s">
        <v>1026</v>
      </c>
    </row>
    <row r="833" spans="1:9">
      <c r="A833" s="14">
        <v>10832</v>
      </c>
      <c r="B833" s="14" t="s">
        <v>419</v>
      </c>
      <c r="C833" s="12" t="s">
        <v>185</v>
      </c>
      <c r="D833" s="15" t="str">
        <f t="shared" si="12"/>
        <v>Expedia -AirOps ADM Pilot - TPS</v>
      </c>
      <c r="E833" s="12" t="s">
        <v>126</v>
      </c>
      <c r="F833" s="12" t="s">
        <v>163</v>
      </c>
      <c r="G833" s="12" t="s">
        <v>164</v>
      </c>
      <c r="H833" s="12" t="s">
        <v>1025</v>
      </c>
      <c r="I833" s="12" t="s">
        <v>1026</v>
      </c>
    </row>
    <row r="834" spans="1:9">
      <c r="A834" s="14">
        <v>10779</v>
      </c>
      <c r="B834" s="14" t="s">
        <v>377</v>
      </c>
      <c r="C834" s="12" t="s">
        <v>138</v>
      </c>
      <c r="D834" s="15" t="str">
        <f t="shared" ref="D834:D897" si="13">B834&amp;" - "&amp;C834</f>
        <v>Expedia Sanctions - BOS</v>
      </c>
      <c r="E834" s="12" t="s">
        <v>126</v>
      </c>
      <c r="F834" s="12" t="s">
        <v>163</v>
      </c>
      <c r="G834" s="12" t="s">
        <v>164</v>
      </c>
      <c r="H834" s="12" t="s">
        <v>1025</v>
      </c>
      <c r="I834" s="12" t="s">
        <v>1026</v>
      </c>
    </row>
    <row r="835" spans="1:9">
      <c r="A835" s="14">
        <v>10779</v>
      </c>
      <c r="B835" s="14" t="s">
        <v>377</v>
      </c>
      <c r="C835" s="12" t="s">
        <v>116</v>
      </c>
      <c r="D835" s="15" t="str">
        <f t="shared" si="13"/>
        <v>Expedia Sanctions - PRD</v>
      </c>
      <c r="E835" s="12" t="s">
        <v>126</v>
      </c>
      <c r="F835" s="12" t="s">
        <v>163</v>
      </c>
      <c r="G835" s="12" t="s">
        <v>164</v>
      </c>
      <c r="H835" s="12" t="s">
        <v>1025</v>
      </c>
      <c r="I835" s="12" t="s">
        <v>1026</v>
      </c>
    </row>
    <row r="836" spans="1:9">
      <c r="A836" s="14">
        <v>10779</v>
      </c>
      <c r="B836" s="14" t="s">
        <v>377</v>
      </c>
      <c r="C836" s="12" t="s">
        <v>111</v>
      </c>
      <c r="D836" s="15" t="str">
        <f t="shared" si="13"/>
        <v>Expedia Sanctions - QLY</v>
      </c>
      <c r="E836" s="12" t="s">
        <v>112</v>
      </c>
      <c r="F836" s="12" t="s">
        <v>113</v>
      </c>
      <c r="G836" s="12" t="s">
        <v>114</v>
      </c>
      <c r="H836" s="12" t="s">
        <v>1025</v>
      </c>
      <c r="I836" s="12" t="s">
        <v>1026</v>
      </c>
    </row>
    <row r="837" spans="1:9">
      <c r="A837" s="14">
        <v>10779</v>
      </c>
      <c r="B837" s="14" t="s">
        <v>377</v>
      </c>
      <c r="C837" s="12" t="s">
        <v>172</v>
      </c>
      <c r="D837" s="15" t="str">
        <f t="shared" si="13"/>
        <v>Expedia Sanctions - SME</v>
      </c>
      <c r="E837" s="12" t="s">
        <v>126</v>
      </c>
      <c r="F837" s="12" t="s">
        <v>163</v>
      </c>
      <c r="G837" s="12" t="s">
        <v>164</v>
      </c>
      <c r="H837" s="12" t="s">
        <v>1025</v>
      </c>
      <c r="I837" s="12" t="s">
        <v>1026</v>
      </c>
    </row>
    <row r="838" spans="1:9">
      <c r="A838" s="14">
        <v>10779</v>
      </c>
      <c r="B838" s="14" t="s">
        <v>377</v>
      </c>
      <c r="C838" s="12" t="s">
        <v>145</v>
      </c>
      <c r="D838" s="15" t="str">
        <f t="shared" si="13"/>
        <v>Expedia Sanctions - SUP</v>
      </c>
      <c r="E838" s="12" t="s">
        <v>126</v>
      </c>
      <c r="F838" s="12" t="s">
        <v>163</v>
      </c>
      <c r="G838" s="12" t="s">
        <v>164</v>
      </c>
      <c r="H838" s="12" t="s">
        <v>1025</v>
      </c>
      <c r="I838" s="12" t="s">
        <v>1026</v>
      </c>
    </row>
    <row r="839" spans="1:9">
      <c r="A839" s="14">
        <v>10779</v>
      </c>
      <c r="B839" s="14" t="s">
        <v>377</v>
      </c>
      <c r="C839" s="12" t="s">
        <v>180</v>
      </c>
      <c r="D839" s="15" t="str">
        <f t="shared" si="13"/>
        <v>Expedia Sanctions - TMG</v>
      </c>
      <c r="E839" s="12" t="s">
        <v>126</v>
      </c>
      <c r="F839" s="12" t="s">
        <v>163</v>
      </c>
      <c r="G839" s="12" t="s">
        <v>164</v>
      </c>
      <c r="H839" s="12" t="s">
        <v>1025</v>
      </c>
      <c r="I839" s="12" t="s">
        <v>1026</v>
      </c>
    </row>
    <row r="840" spans="1:9">
      <c r="A840" s="14">
        <v>10945</v>
      </c>
      <c r="B840" s="14" t="s">
        <v>484</v>
      </c>
      <c r="C840" s="12" t="s">
        <v>150</v>
      </c>
      <c r="D840" s="15" t="str">
        <f t="shared" si="13"/>
        <v>Expedia Settlement - CCS</v>
      </c>
      <c r="E840" s="12" t="s">
        <v>126</v>
      </c>
      <c r="F840" s="12" t="s">
        <v>163</v>
      </c>
      <c r="G840" s="12" t="s">
        <v>164</v>
      </c>
      <c r="H840" s="12" t="s">
        <v>1025</v>
      </c>
      <c r="I840" s="12" t="s">
        <v>1026</v>
      </c>
    </row>
    <row r="841" spans="1:9">
      <c r="A841" s="14">
        <v>10945</v>
      </c>
      <c r="B841" s="14" t="s">
        <v>484</v>
      </c>
      <c r="C841" s="12" t="s">
        <v>116</v>
      </c>
      <c r="D841" s="15" t="str">
        <f t="shared" si="13"/>
        <v>Expedia Settlement - PRD</v>
      </c>
      <c r="E841" s="12" t="s">
        <v>126</v>
      </c>
      <c r="F841" s="12" t="s">
        <v>163</v>
      </c>
      <c r="G841" s="12" t="s">
        <v>164</v>
      </c>
      <c r="H841" s="12" t="s">
        <v>1025</v>
      </c>
      <c r="I841" s="12" t="s">
        <v>1026</v>
      </c>
    </row>
    <row r="842" spans="1:9">
      <c r="A842" s="14">
        <v>10018</v>
      </c>
      <c r="B842" s="14" t="s">
        <v>165</v>
      </c>
      <c r="C842" s="12" t="s">
        <v>150</v>
      </c>
      <c r="D842" s="15" t="str">
        <f t="shared" si="13"/>
        <v>Expedia Global English - CCS</v>
      </c>
      <c r="E842" s="12" t="s">
        <v>126</v>
      </c>
      <c r="F842" s="12" t="s">
        <v>163</v>
      </c>
      <c r="G842" s="12" t="s">
        <v>164</v>
      </c>
      <c r="H842" s="12" t="s">
        <v>1025</v>
      </c>
      <c r="I842" s="12" t="s">
        <v>1026</v>
      </c>
    </row>
    <row r="843" spans="1:9">
      <c r="A843" s="14">
        <v>10018</v>
      </c>
      <c r="B843" s="14" t="s">
        <v>165</v>
      </c>
      <c r="C843" s="12" t="s">
        <v>116</v>
      </c>
      <c r="D843" s="15" t="str">
        <f t="shared" si="13"/>
        <v>Expedia Global English - PRD</v>
      </c>
      <c r="E843" s="12" t="s">
        <v>126</v>
      </c>
      <c r="F843" s="12" t="s">
        <v>163</v>
      </c>
      <c r="G843" s="12" t="s">
        <v>164</v>
      </c>
      <c r="H843" s="12" t="s">
        <v>1025</v>
      </c>
      <c r="I843" s="12" t="s">
        <v>1026</v>
      </c>
    </row>
    <row r="844" spans="1:9">
      <c r="A844" s="14">
        <v>92101</v>
      </c>
      <c r="B844" s="14" t="s">
        <v>517</v>
      </c>
      <c r="C844" s="12" t="s">
        <v>348</v>
      </c>
      <c r="D844" s="15" t="str">
        <f t="shared" si="13"/>
        <v>Facility &amp; Property Mgmnt - GM - ADM</v>
      </c>
      <c r="E844" s="12" t="s">
        <v>104</v>
      </c>
      <c r="F844" s="12" t="s">
        <v>518</v>
      </c>
      <c r="G844" s="12" t="s">
        <v>350</v>
      </c>
      <c r="H844" s="12" t="s">
        <v>1025</v>
      </c>
      <c r="I844" s="12" t="s">
        <v>1026</v>
      </c>
    </row>
    <row r="845" spans="1:9">
      <c r="A845" s="14">
        <v>92101</v>
      </c>
      <c r="B845" s="14" t="s">
        <v>517</v>
      </c>
      <c r="C845" s="12" t="s">
        <v>129</v>
      </c>
      <c r="D845" s="15" t="str">
        <f t="shared" si="13"/>
        <v>Facility &amp; Property Mgmnt - GM - MGT</v>
      </c>
      <c r="E845" s="12" t="s">
        <v>104</v>
      </c>
      <c r="F845" s="12" t="s">
        <v>518</v>
      </c>
      <c r="G845" s="12" t="s">
        <v>350</v>
      </c>
      <c r="H845" s="12" t="s">
        <v>1025</v>
      </c>
      <c r="I845" s="12" t="s">
        <v>1026</v>
      </c>
    </row>
    <row r="846" spans="1:9">
      <c r="A846" s="14">
        <v>92101</v>
      </c>
      <c r="B846" s="14" t="s">
        <v>517</v>
      </c>
      <c r="C846" s="12" t="s">
        <v>145</v>
      </c>
      <c r="D846" s="15" t="str">
        <f t="shared" si="13"/>
        <v>Facility &amp; Property Mgmnt - GM - SUP</v>
      </c>
      <c r="E846" s="12" t="s">
        <v>104</v>
      </c>
      <c r="F846" s="12" t="s">
        <v>518</v>
      </c>
      <c r="G846" s="12" t="s">
        <v>350</v>
      </c>
      <c r="H846" s="12" t="s">
        <v>1025</v>
      </c>
      <c r="I846" s="12" t="s">
        <v>1026</v>
      </c>
    </row>
    <row r="847" spans="1:9">
      <c r="A847" s="14">
        <v>92101</v>
      </c>
      <c r="B847" s="14" t="s">
        <v>517</v>
      </c>
      <c r="C847" s="12" t="s">
        <v>180</v>
      </c>
      <c r="D847" s="15" t="str">
        <f t="shared" si="13"/>
        <v>Facility &amp; Property Mgmnt - GM - TMG</v>
      </c>
      <c r="E847" s="12" t="s">
        <v>104</v>
      </c>
      <c r="F847" s="12" t="s">
        <v>518</v>
      </c>
      <c r="G847" s="12" t="s">
        <v>350</v>
      </c>
      <c r="H847" s="12" t="s">
        <v>1025</v>
      </c>
      <c r="I847" s="12" t="s">
        <v>1026</v>
      </c>
    </row>
    <row r="848" spans="1:9">
      <c r="A848" s="14">
        <v>92201</v>
      </c>
      <c r="B848" s="14" t="s">
        <v>521</v>
      </c>
      <c r="C848" s="12" t="s">
        <v>348</v>
      </c>
      <c r="D848" s="15" t="str">
        <f t="shared" si="13"/>
        <v>FACILITY &amp; PROPERTY MGMT - SGA - ADM</v>
      </c>
      <c r="E848" s="12" t="s">
        <v>104</v>
      </c>
      <c r="F848" s="12" t="s">
        <v>518</v>
      </c>
      <c r="G848" s="12" t="s">
        <v>350</v>
      </c>
      <c r="H848" s="12" t="s">
        <v>1025</v>
      </c>
      <c r="I848" s="12" t="s">
        <v>1026</v>
      </c>
    </row>
    <row r="849" spans="1:9">
      <c r="A849" s="14">
        <v>92201</v>
      </c>
      <c r="B849" s="14" t="s">
        <v>521</v>
      </c>
      <c r="C849" s="12" t="s">
        <v>129</v>
      </c>
      <c r="D849" s="15" t="str">
        <f t="shared" si="13"/>
        <v>FACILITY &amp; PROPERTY MGMT - SGA - MGT</v>
      </c>
      <c r="E849" s="12" t="s">
        <v>104</v>
      </c>
      <c r="F849" s="12" t="s">
        <v>518</v>
      </c>
      <c r="G849" s="12" t="s">
        <v>350</v>
      </c>
      <c r="H849" s="12" t="s">
        <v>1025</v>
      </c>
      <c r="I849" s="12" t="s">
        <v>1026</v>
      </c>
    </row>
    <row r="850" spans="1:9">
      <c r="A850" s="14">
        <v>92201</v>
      </c>
      <c r="B850" s="14" t="s">
        <v>521</v>
      </c>
      <c r="C850" s="12" t="s">
        <v>139</v>
      </c>
      <c r="D850" s="15" t="str">
        <f t="shared" si="13"/>
        <v>FACILITY &amp; PROPERTY MGMT - SGA - SMGT</v>
      </c>
      <c r="E850" s="12" t="s">
        <v>104</v>
      </c>
      <c r="F850" s="12" t="s">
        <v>518</v>
      </c>
      <c r="G850" s="12" t="s">
        <v>350</v>
      </c>
      <c r="H850" s="12" t="s">
        <v>1025</v>
      </c>
      <c r="I850" s="12" t="s">
        <v>1026</v>
      </c>
    </row>
    <row r="851" spans="1:9">
      <c r="A851" s="14">
        <v>92201</v>
      </c>
      <c r="B851" s="14" t="s">
        <v>521</v>
      </c>
      <c r="C851" s="12" t="s">
        <v>145</v>
      </c>
      <c r="D851" s="15" t="str">
        <f t="shared" si="13"/>
        <v>FACILITY &amp; PROPERTY MGMT - SGA - SUP</v>
      </c>
      <c r="E851" s="12" t="s">
        <v>104</v>
      </c>
      <c r="F851" s="12" t="s">
        <v>518</v>
      </c>
      <c r="G851" s="12" t="s">
        <v>350</v>
      </c>
      <c r="H851" s="12" t="s">
        <v>1025</v>
      </c>
      <c r="I851" s="12" t="s">
        <v>1026</v>
      </c>
    </row>
    <row r="852" spans="1:9">
      <c r="A852" s="14">
        <v>10762</v>
      </c>
      <c r="B852" s="14" t="s">
        <v>367</v>
      </c>
      <c r="C852" s="12" t="s">
        <v>185</v>
      </c>
      <c r="D852" s="15" t="str">
        <f t="shared" si="13"/>
        <v>Fare and BIDT Audit - TPS</v>
      </c>
      <c r="E852" s="12" t="s">
        <v>126</v>
      </c>
      <c r="F852" s="12" t="s">
        <v>163</v>
      </c>
      <c r="G852" s="12" t="s">
        <v>164</v>
      </c>
      <c r="H852" s="12" t="s">
        <v>1025</v>
      </c>
      <c r="I852" s="12" t="s">
        <v>1026</v>
      </c>
    </row>
    <row r="853" spans="1:9">
      <c r="A853" s="14">
        <v>40102</v>
      </c>
      <c r="B853" s="14" t="s">
        <v>672</v>
      </c>
      <c r="C853" s="12" t="s">
        <v>116</v>
      </c>
      <c r="D853" s="15" t="str">
        <f t="shared" si="13"/>
        <v>FD_Srilanka - PRD</v>
      </c>
      <c r="E853" s="12" t="s">
        <v>126</v>
      </c>
      <c r="F853" s="12" t="s">
        <v>163</v>
      </c>
      <c r="G853" s="12" t="s">
        <v>164</v>
      </c>
      <c r="H853" s="12" t="s">
        <v>1025</v>
      </c>
      <c r="I853" s="12" t="s">
        <v>1026</v>
      </c>
    </row>
    <row r="854" spans="1:9">
      <c r="A854" s="14">
        <v>40102</v>
      </c>
      <c r="B854" s="14" t="s">
        <v>672</v>
      </c>
      <c r="C854" s="12" t="s">
        <v>185</v>
      </c>
      <c r="D854" s="15" t="str">
        <f t="shared" si="13"/>
        <v>FD_Srilanka - TPS</v>
      </c>
      <c r="E854" s="12" t="s">
        <v>126</v>
      </c>
      <c r="F854" s="12" t="s">
        <v>163</v>
      </c>
      <c r="G854" s="12" t="s">
        <v>164</v>
      </c>
      <c r="H854" s="12" t="s">
        <v>1025</v>
      </c>
      <c r="I854" s="12" t="s">
        <v>1026</v>
      </c>
    </row>
    <row r="855" spans="1:9">
      <c r="A855" s="14">
        <v>96124</v>
      </c>
      <c r="B855" s="14" t="s">
        <v>525</v>
      </c>
      <c r="C855" s="12" t="s">
        <v>121</v>
      </c>
      <c r="D855" s="15" t="str">
        <f t="shared" si="13"/>
        <v>Finance Controls - MDM - F&amp;A</v>
      </c>
      <c r="E855" s="12" t="s">
        <v>104</v>
      </c>
      <c r="F855" s="12" t="s">
        <v>122</v>
      </c>
      <c r="G855" s="12" t="s">
        <v>114</v>
      </c>
      <c r="H855" s="12" t="s">
        <v>1025</v>
      </c>
      <c r="I855" s="12" t="s">
        <v>1026</v>
      </c>
    </row>
    <row r="856" spans="1:9">
      <c r="A856" s="14">
        <v>96124</v>
      </c>
      <c r="B856" s="14" t="s">
        <v>525</v>
      </c>
      <c r="C856" s="12" t="s">
        <v>129</v>
      </c>
      <c r="D856" s="15" t="str">
        <f t="shared" si="13"/>
        <v>Finance Controls - MDM - MGT</v>
      </c>
      <c r="E856" s="12" t="s">
        <v>104</v>
      </c>
      <c r="F856" s="12" t="s">
        <v>122</v>
      </c>
      <c r="G856" s="12" t="s">
        <v>114</v>
      </c>
      <c r="H856" s="12" t="s">
        <v>1025</v>
      </c>
      <c r="I856" s="12" t="s">
        <v>1026</v>
      </c>
    </row>
    <row r="857" spans="1:9">
      <c r="A857" s="14">
        <v>96124</v>
      </c>
      <c r="B857" s="14" t="s">
        <v>525</v>
      </c>
      <c r="C857" s="12" t="s">
        <v>145</v>
      </c>
      <c r="D857" s="15" t="str">
        <f t="shared" si="13"/>
        <v>Finance Controls - MDM - SUP</v>
      </c>
      <c r="E857" s="12" t="s">
        <v>104</v>
      </c>
      <c r="F857" s="12" t="s">
        <v>122</v>
      </c>
      <c r="G857" s="12" t="s">
        <v>114</v>
      </c>
      <c r="H857" s="12" t="s">
        <v>1025</v>
      </c>
      <c r="I857" s="12" t="s">
        <v>1026</v>
      </c>
    </row>
    <row r="858" spans="1:9">
      <c r="A858" s="14">
        <v>10084</v>
      </c>
      <c r="B858" s="14" t="s">
        <v>199</v>
      </c>
      <c r="C858" s="12" t="s">
        <v>193</v>
      </c>
      <c r="D858" s="15" t="str">
        <f t="shared" si="13"/>
        <v>Finastra - DEV</v>
      </c>
      <c r="E858" s="12" t="s">
        <v>117</v>
      </c>
      <c r="F858" s="12" t="s">
        <v>117</v>
      </c>
      <c r="G858" s="12" t="s">
        <v>117</v>
      </c>
      <c r="H858" s="12" t="s">
        <v>1025</v>
      </c>
      <c r="I858" s="12" t="s">
        <v>1026</v>
      </c>
    </row>
    <row r="859" spans="1:9">
      <c r="A859" s="14">
        <v>10088</v>
      </c>
      <c r="B859" s="14" t="s">
        <v>202</v>
      </c>
      <c r="C859" s="12" t="s">
        <v>150</v>
      </c>
      <c r="D859" s="15" t="str">
        <f t="shared" si="13"/>
        <v>FIS India - CCS</v>
      </c>
      <c r="E859" s="12" t="s">
        <v>126</v>
      </c>
      <c r="F859" s="12" t="s">
        <v>127</v>
      </c>
      <c r="G859" s="12" t="s">
        <v>128</v>
      </c>
      <c r="H859" s="12" t="s">
        <v>1025</v>
      </c>
      <c r="I859" s="12" t="s">
        <v>1026</v>
      </c>
    </row>
    <row r="860" spans="1:9">
      <c r="A860" s="14">
        <v>10118</v>
      </c>
      <c r="B860" s="14" t="s">
        <v>228</v>
      </c>
      <c r="C860" s="12" t="s">
        <v>150</v>
      </c>
      <c r="D860" s="15" t="str">
        <f t="shared" si="13"/>
        <v>Fiserv Back-Office India - CCS</v>
      </c>
      <c r="E860" s="12" t="s">
        <v>126</v>
      </c>
      <c r="F860" s="12" t="s">
        <v>127</v>
      </c>
      <c r="G860" s="12" t="s">
        <v>128</v>
      </c>
      <c r="H860" s="12" t="s">
        <v>1025</v>
      </c>
      <c r="I860" s="12" t="s">
        <v>1026</v>
      </c>
    </row>
    <row r="861" spans="1:9">
      <c r="A861" s="14">
        <v>18057</v>
      </c>
      <c r="B861" s="14" t="s">
        <v>623</v>
      </c>
      <c r="C861" s="12" t="s">
        <v>133</v>
      </c>
      <c r="D861" s="15" t="str">
        <f t="shared" si="13"/>
        <v>Flagstar PFA Delegated - AMG</v>
      </c>
      <c r="E861" s="12" t="s">
        <v>126</v>
      </c>
      <c r="F861" s="12" t="s">
        <v>163</v>
      </c>
      <c r="G861" s="12" t="s">
        <v>164</v>
      </c>
      <c r="H861" s="12" t="s">
        <v>1025</v>
      </c>
      <c r="I861" s="12" t="s">
        <v>1026</v>
      </c>
    </row>
    <row r="862" spans="1:9">
      <c r="A862" s="14">
        <v>18057</v>
      </c>
      <c r="B862" s="14" t="s">
        <v>623</v>
      </c>
      <c r="C862" s="12" t="s">
        <v>156</v>
      </c>
      <c r="D862" s="15" t="str">
        <f t="shared" si="13"/>
        <v>Flagstar PFA Delegated - CLR</v>
      </c>
      <c r="E862" s="12" t="s">
        <v>126</v>
      </c>
      <c r="F862" s="12" t="s">
        <v>163</v>
      </c>
      <c r="G862" s="12" t="s">
        <v>164</v>
      </c>
      <c r="H862" s="12" t="s">
        <v>1025</v>
      </c>
      <c r="I862" s="12" t="s">
        <v>1026</v>
      </c>
    </row>
    <row r="863" spans="1:9">
      <c r="A863" s="14">
        <v>18057</v>
      </c>
      <c r="B863" s="14" t="s">
        <v>623</v>
      </c>
      <c r="C863" s="12" t="s">
        <v>116</v>
      </c>
      <c r="D863" s="15" t="str">
        <f t="shared" si="13"/>
        <v>Flagstar PFA Delegated - PRD</v>
      </c>
      <c r="E863" s="12" t="s">
        <v>126</v>
      </c>
      <c r="F863" s="12" t="s">
        <v>163</v>
      </c>
      <c r="G863" s="12" t="s">
        <v>164</v>
      </c>
      <c r="H863" s="12" t="s">
        <v>1025</v>
      </c>
      <c r="I863" s="12" t="s">
        <v>1026</v>
      </c>
    </row>
    <row r="864" spans="1:9">
      <c r="A864" s="14">
        <v>18057</v>
      </c>
      <c r="B864" s="14" t="s">
        <v>623</v>
      </c>
      <c r="C864" s="12" t="s">
        <v>172</v>
      </c>
      <c r="D864" s="15" t="str">
        <f t="shared" si="13"/>
        <v>Flagstar PFA Delegated - SME</v>
      </c>
      <c r="E864" s="12" t="s">
        <v>126</v>
      </c>
      <c r="F864" s="12" t="s">
        <v>163</v>
      </c>
      <c r="G864" s="12" t="s">
        <v>164</v>
      </c>
      <c r="H864" s="12" t="s">
        <v>1025</v>
      </c>
      <c r="I864" s="12" t="s">
        <v>1026</v>
      </c>
    </row>
    <row r="865" spans="1:9">
      <c r="A865" s="14">
        <v>18057</v>
      </c>
      <c r="B865" s="14" t="s">
        <v>623</v>
      </c>
      <c r="C865" s="12" t="s">
        <v>145</v>
      </c>
      <c r="D865" s="15" t="str">
        <f t="shared" si="13"/>
        <v>Flagstar PFA Delegated - SUP</v>
      </c>
      <c r="E865" s="12" t="s">
        <v>126</v>
      </c>
      <c r="F865" s="12" t="s">
        <v>163</v>
      </c>
      <c r="G865" s="12" t="s">
        <v>164</v>
      </c>
      <c r="H865" s="12" t="s">
        <v>1025</v>
      </c>
      <c r="I865" s="12" t="s">
        <v>1026</v>
      </c>
    </row>
    <row r="866" spans="1:9">
      <c r="A866" s="14">
        <v>18057</v>
      </c>
      <c r="B866" s="14" t="s">
        <v>623</v>
      </c>
      <c r="C866" s="12" t="s">
        <v>180</v>
      </c>
      <c r="D866" s="15" t="str">
        <f t="shared" si="13"/>
        <v>Flagstar PFA Delegated - TMG</v>
      </c>
      <c r="E866" s="12" t="s">
        <v>126</v>
      </c>
      <c r="F866" s="12" t="s">
        <v>163</v>
      </c>
      <c r="G866" s="12" t="s">
        <v>164</v>
      </c>
      <c r="H866" s="12" t="s">
        <v>1025</v>
      </c>
      <c r="I866" s="12" t="s">
        <v>1026</v>
      </c>
    </row>
    <row r="867" spans="1:9">
      <c r="A867" s="14">
        <v>18057</v>
      </c>
      <c r="B867" s="14" t="s">
        <v>623</v>
      </c>
      <c r="C867" s="12" t="s">
        <v>185</v>
      </c>
      <c r="D867" s="15" t="str">
        <f t="shared" si="13"/>
        <v>Flagstar PFA Delegated - TPS</v>
      </c>
      <c r="E867" s="12" t="s">
        <v>126</v>
      </c>
      <c r="F867" s="12" t="s">
        <v>163</v>
      </c>
      <c r="G867" s="12" t="s">
        <v>164</v>
      </c>
      <c r="H867" s="12" t="s">
        <v>1025</v>
      </c>
      <c r="I867" s="12" t="s">
        <v>1026</v>
      </c>
    </row>
    <row r="868" spans="1:9">
      <c r="A868" s="14">
        <v>10717</v>
      </c>
      <c r="B868" s="14" t="s">
        <v>331</v>
      </c>
      <c r="C868" s="12" t="s">
        <v>150</v>
      </c>
      <c r="D868" s="15" t="str">
        <f t="shared" si="13"/>
        <v>FlightHub BO Ticket Res CS - CCS</v>
      </c>
      <c r="E868" s="12" t="s">
        <v>126</v>
      </c>
      <c r="F868" s="12" t="s">
        <v>127</v>
      </c>
      <c r="G868" s="12" t="s">
        <v>128</v>
      </c>
      <c r="H868" s="12" t="s">
        <v>1025</v>
      </c>
      <c r="I868" s="12" t="s">
        <v>1026</v>
      </c>
    </row>
    <row r="869" spans="1:9">
      <c r="A869" s="14">
        <v>10717</v>
      </c>
      <c r="B869" s="14" t="s">
        <v>331</v>
      </c>
      <c r="C869" s="12" t="s">
        <v>161</v>
      </c>
      <c r="D869" s="15" t="str">
        <f t="shared" si="13"/>
        <v>FlightHub BO Ticket Res CS - ECC</v>
      </c>
      <c r="E869" s="12" t="s">
        <v>126</v>
      </c>
      <c r="F869" s="12" t="s">
        <v>127</v>
      </c>
      <c r="G869" s="12" t="s">
        <v>128</v>
      </c>
      <c r="H869" s="12" t="s">
        <v>1025</v>
      </c>
      <c r="I869" s="12" t="s">
        <v>1026</v>
      </c>
    </row>
    <row r="870" spans="1:9">
      <c r="A870" s="14">
        <v>10717</v>
      </c>
      <c r="B870" s="14" t="s">
        <v>331</v>
      </c>
      <c r="C870" s="12" t="s">
        <v>145</v>
      </c>
      <c r="D870" s="15" t="str">
        <f t="shared" si="13"/>
        <v>FlightHub BO Ticket Res CS - SUP</v>
      </c>
      <c r="E870" s="12" t="s">
        <v>126</v>
      </c>
      <c r="F870" s="12" t="s">
        <v>127</v>
      </c>
      <c r="G870" s="12" t="s">
        <v>128</v>
      </c>
      <c r="H870" s="12" t="s">
        <v>1025</v>
      </c>
      <c r="I870" s="12" t="s">
        <v>1026</v>
      </c>
    </row>
    <row r="871" spans="1:9">
      <c r="A871" s="14">
        <v>10717</v>
      </c>
      <c r="B871" s="14" t="s">
        <v>331</v>
      </c>
      <c r="C871" s="12" t="s">
        <v>180</v>
      </c>
      <c r="D871" s="15" t="str">
        <f t="shared" si="13"/>
        <v>FlightHub BO Ticket Res CS - TMG</v>
      </c>
      <c r="E871" s="12" t="s">
        <v>126</v>
      </c>
      <c r="F871" s="12" t="s">
        <v>127</v>
      </c>
      <c r="G871" s="12" t="s">
        <v>128</v>
      </c>
      <c r="H871" s="12" t="s">
        <v>1025</v>
      </c>
      <c r="I871" s="12" t="s">
        <v>1026</v>
      </c>
    </row>
    <row r="872" spans="1:9">
      <c r="A872" s="14">
        <v>10717</v>
      </c>
      <c r="B872" s="14" t="s">
        <v>331</v>
      </c>
      <c r="C872" s="12" t="s">
        <v>185</v>
      </c>
      <c r="D872" s="15" t="str">
        <f t="shared" si="13"/>
        <v>FlightHub BO Ticket Res CS - TPS</v>
      </c>
      <c r="E872" s="12" t="s">
        <v>126</v>
      </c>
      <c r="F872" s="12" t="s">
        <v>127</v>
      </c>
      <c r="G872" s="12" t="s">
        <v>128</v>
      </c>
      <c r="H872" s="12" t="s">
        <v>1025</v>
      </c>
      <c r="I872" s="12" t="s">
        <v>1026</v>
      </c>
    </row>
    <row r="873" spans="1:9">
      <c r="A873" s="14">
        <v>10717</v>
      </c>
      <c r="B873" s="14" t="s">
        <v>331</v>
      </c>
      <c r="C873" s="12" t="s">
        <v>203</v>
      </c>
      <c r="D873" s="15" t="str">
        <f t="shared" si="13"/>
        <v>FlightHub BO Ticket Res CS - TRG</v>
      </c>
      <c r="E873" s="12" t="s">
        <v>112</v>
      </c>
      <c r="F873" s="12" t="s">
        <v>204</v>
      </c>
      <c r="G873" s="12" t="s">
        <v>205</v>
      </c>
      <c r="H873" s="12" t="s">
        <v>1025</v>
      </c>
      <c r="I873" s="12" t="s">
        <v>1026</v>
      </c>
    </row>
    <row r="874" spans="1:9">
      <c r="A874" s="14">
        <v>10717</v>
      </c>
      <c r="B874" s="14" t="s">
        <v>331</v>
      </c>
      <c r="C874" s="12" t="s">
        <v>546</v>
      </c>
      <c r="D874" s="15" t="str">
        <f t="shared" si="13"/>
        <v>FlightHub BO Ticket Res CS - TRN</v>
      </c>
      <c r="E874" s="12" t="s">
        <v>112</v>
      </c>
      <c r="F874" s="12" t="s">
        <v>204</v>
      </c>
      <c r="G874" s="12" t="s">
        <v>205</v>
      </c>
      <c r="H874" s="12" t="s">
        <v>1025</v>
      </c>
      <c r="I874" s="12" t="s">
        <v>1026</v>
      </c>
    </row>
    <row r="875" spans="1:9">
      <c r="A875" s="14">
        <v>93590</v>
      </c>
      <c r="B875" s="14" t="s">
        <v>963</v>
      </c>
      <c r="C875" s="12" t="s">
        <v>129</v>
      </c>
      <c r="D875" s="15" t="str">
        <f t="shared" si="13"/>
        <v>FMAAS_Pre-sales&amp;Sol - MGT</v>
      </c>
      <c r="E875" s="12" t="s">
        <v>104</v>
      </c>
      <c r="F875" s="12" t="s">
        <v>373</v>
      </c>
      <c r="G875" s="12" t="s">
        <v>114</v>
      </c>
      <c r="H875" s="12" t="s">
        <v>1025</v>
      </c>
      <c r="I875" s="12" t="s">
        <v>1026</v>
      </c>
    </row>
    <row r="876" spans="1:9">
      <c r="A876" s="14">
        <v>93590</v>
      </c>
      <c r="B876" s="14" t="s">
        <v>963</v>
      </c>
      <c r="C876" s="12" t="s">
        <v>145</v>
      </c>
      <c r="D876" s="15" t="str">
        <f t="shared" si="13"/>
        <v>FMAAS_Pre-sales&amp;Sol - SUP</v>
      </c>
      <c r="E876" s="12" t="s">
        <v>104</v>
      </c>
      <c r="F876" s="12" t="s">
        <v>373</v>
      </c>
      <c r="G876" s="12" t="s">
        <v>114</v>
      </c>
      <c r="H876" s="12" t="s">
        <v>1025</v>
      </c>
      <c r="I876" s="12" t="s">
        <v>1026</v>
      </c>
    </row>
    <row r="877" spans="1:9">
      <c r="A877" s="14">
        <v>51001</v>
      </c>
      <c r="B877" s="14" t="s">
        <v>685</v>
      </c>
      <c r="C877" s="12" t="s">
        <v>116</v>
      </c>
      <c r="D877" s="15" t="str">
        <f t="shared" si="13"/>
        <v>FORTINET-2207-2407-EBS-CloudTe - PRD</v>
      </c>
      <c r="E877" s="12" t="s">
        <v>117</v>
      </c>
      <c r="F877" s="12" t="s">
        <v>117</v>
      </c>
      <c r="G877" s="12" t="s">
        <v>117</v>
      </c>
      <c r="H877" s="12" t="s">
        <v>1025</v>
      </c>
      <c r="I877" s="12" t="s">
        <v>1026</v>
      </c>
    </row>
    <row r="878" spans="1:9">
      <c r="A878" s="14">
        <v>10920</v>
      </c>
      <c r="B878" s="14" t="s">
        <v>466</v>
      </c>
      <c r="C878" s="12" t="s">
        <v>116</v>
      </c>
      <c r="D878" s="15" t="str">
        <f t="shared" si="13"/>
        <v>FORVIS Sales Marketing Support - PRD</v>
      </c>
      <c r="E878" s="12" t="s">
        <v>126</v>
      </c>
      <c r="F878" s="12" t="s">
        <v>163</v>
      </c>
      <c r="G878" s="12" t="s">
        <v>164</v>
      </c>
      <c r="H878" s="12" t="s">
        <v>1025</v>
      </c>
      <c r="I878" s="12" t="s">
        <v>1026</v>
      </c>
    </row>
    <row r="879" spans="1:9">
      <c r="A879" s="14">
        <v>18058</v>
      </c>
      <c r="B879" s="14" t="s">
        <v>625</v>
      </c>
      <c r="C879" s="12" t="s">
        <v>172</v>
      </c>
      <c r="D879" s="15" t="str">
        <f t="shared" si="13"/>
        <v>Forward Lending - SME</v>
      </c>
      <c r="E879" s="12" t="s">
        <v>126</v>
      </c>
      <c r="F879" s="12" t="s">
        <v>163</v>
      </c>
      <c r="G879" s="12" t="s">
        <v>164</v>
      </c>
      <c r="H879" s="12" t="s">
        <v>1025</v>
      </c>
      <c r="I879" s="12" t="s">
        <v>1026</v>
      </c>
    </row>
    <row r="880" spans="1:9">
      <c r="A880" s="14">
        <v>18058</v>
      </c>
      <c r="B880" s="14" t="s">
        <v>625</v>
      </c>
      <c r="C880" s="12" t="s">
        <v>180</v>
      </c>
      <c r="D880" s="15" t="str">
        <f t="shared" si="13"/>
        <v>Forward Lending - TMG</v>
      </c>
      <c r="E880" s="12" t="s">
        <v>126</v>
      </c>
      <c r="F880" s="12" t="s">
        <v>163</v>
      </c>
      <c r="G880" s="12" t="s">
        <v>164</v>
      </c>
      <c r="H880" s="12" t="s">
        <v>1025</v>
      </c>
      <c r="I880" s="12" t="s">
        <v>1026</v>
      </c>
    </row>
    <row r="881" spans="1:9">
      <c r="A881" s="14">
        <v>18058</v>
      </c>
      <c r="B881" s="14" t="s">
        <v>625</v>
      </c>
      <c r="C881" s="12" t="s">
        <v>185</v>
      </c>
      <c r="D881" s="15" t="str">
        <f t="shared" si="13"/>
        <v>Forward Lending - TPS</v>
      </c>
      <c r="E881" s="12" t="s">
        <v>126</v>
      </c>
      <c r="F881" s="12" t="s">
        <v>163</v>
      </c>
      <c r="G881" s="12" t="s">
        <v>164</v>
      </c>
      <c r="H881" s="12" t="s">
        <v>1025</v>
      </c>
      <c r="I881" s="12" t="s">
        <v>1026</v>
      </c>
    </row>
    <row r="882" spans="1:9">
      <c r="A882" s="14">
        <v>18073</v>
      </c>
      <c r="B882" s="14" t="s">
        <v>633</v>
      </c>
      <c r="C882" s="12" t="s">
        <v>185</v>
      </c>
      <c r="D882" s="15" t="str">
        <f t="shared" si="13"/>
        <v>Foundation-Non_QM Undrwt - TPS</v>
      </c>
      <c r="E882" s="12" t="s">
        <v>126</v>
      </c>
      <c r="F882" s="12" t="s">
        <v>163</v>
      </c>
      <c r="G882" s="12" t="s">
        <v>164</v>
      </c>
      <c r="H882" s="12" t="s">
        <v>1025</v>
      </c>
      <c r="I882" s="12" t="s">
        <v>1026</v>
      </c>
    </row>
    <row r="883" spans="1:9">
      <c r="A883" s="14">
        <v>96103</v>
      </c>
      <c r="B883" s="14" t="s">
        <v>529</v>
      </c>
      <c r="C883" s="12" t="s">
        <v>133</v>
      </c>
      <c r="D883" s="15" t="str">
        <f t="shared" si="13"/>
        <v>FP &amp; A - AMG</v>
      </c>
      <c r="E883" s="12" t="s">
        <v>104</v>
      </c>
      <c r="F883" s="12" t="s">
        <v>122</v>
      </c>
      <c r="G883" s="12" t="s">
        <v>114</v>
      </c>
      <c r="H883" s="12" t="s">
        <v>1025</v>
      </c>
      <c r="I883" s="12" t="s">
        <v>1026</v>
      </c>
    </row>
    <row r="884" spans="1:9">
      <c r="A884" s="14">
        <v>96103</v>
      </c>
      <c r="B884" s="14" t="s">
        <v>529</v>
      </c>
      <c r="C884" s="12" t="s">
        <v>121</v>
      </c>
      <c r="D884" s="15" t="str">
        <f t="shared" si="13"/>
        <v>FP &amp; A - F&amp;A</v>
      </c>
      <c r="E884" s="12" t="s">
        <v>104</v>
      </c>
      <c r="F884" s="12" t="s">
        <v>122</v>
      </c>
      <c r="G884" s="12" t="s">
        <v>114</v>
      </c>
      <c r="H884" s="12" t="s">
        <v>1025</v>
      </c>
      <c r="I884" s="12" t="s">
        <v>1026</v>
      </c>
    </row>
    <row r="885" spans="1:9">
      <c r="A885" s="14">
        <v>96103</v>
      </c>
      <c r="B885" s="14" t="s">
        <v>529</v>
      </c>
      <c r="C885" s="12" t="s">
        <v>129</v>
      </c>
      <c r="D885" s="15" t="str">
        <f t="shared" si="13"/>
        <v>FP &amp; A - MGT</v>
      </c>
      <c r="E885" s="12" t="s">
        <v>104</v>
      </c>
      <c r="F885" s="12" t="s">
        <v>122</v>
      </c>
      <c r="G885" s="12" t="s">
        <v>114</v>
      </c>
      <c r="H885" s="12" t="s">
        <v>1025</v>
      </c>
      <c r="I885" s="12" t="s">
        <v>1026</v>
      </c>
    </row>
    <row r="886" spans="1:9">
      <c r="A886" s="14">
        <v>96103</v>
      </c>
      <c r="B886" s="14" t="s">
        <v>529</v>
      </c>
      <c r="C886" s="12" t="s">
        <v>139</v>
      </c>
      <c r="D886" s="15" t="str">
        <f t="shared" si="13"/>
        <v>FP &amp; A - SMGT</v>
      </c>
      <c r="E886" s="12" t="s">
        <v>104</v>
      </c>
      <c r="F886" s="12" t="s">
        <v>122</v>
      </c>
      <c r="G886" s="12" t="s">
        <v>114</v>
      </c>
      <c r="H886" s="12" t="s">
        <v>1025</v>
      </c>
      <c r="I886" s="12" t="s">
        <v>1026</v>
      </c>
    </row>
    <row r="887" spans="1:9">
      <c r="A887" s="14">
        <v>96103</v>
      </c>
      <c r="B887" s="14" t="s">
        <v>529</v>
      </c>
      <c r="C887" s="12" t="s">
        <v>145</v>
      </c>
      <c r="D887" s="15" t="str">
        <f t="shared" si="13"/>
        <v>FP &amp; A - SUP</v>
      </c>
      <c r="E887" s="12" t="s">
        <v>104</v>
      </c>
      <c r="F887" s="12" t="s">
        <v>122</v>
      </c>
      <c r="G887" s="12" t="s">
        <v>114</v>
      </c>
      <c r="H887" s="12" t="s">
        <v>1025</v>
      </c>
      <c r="I887" s="12" t="s">
        <v>1026</v>
      </c>
    </row>
    <row r="888" spans="1:9">
      <c r="A888" s="14">
        <v>10740</v>
      </c>
      <c r="B888" s="14" t="s">
        <v>354</v>
      </c>
      <c r="C888" s="12" t="s">
        <v>133</v>
      </c>
      <c r="D888" s="15" t="str">
        <f t="shared" si="13"/>
        <v>FrenchBee FDS - AMG</v>
      </c>
      <c r="E888" s="12" t="s">
        <v>126</v>
      </c>
      <c r="F888" s="12" t="s">
        <v>163</v>
      </c>
      <c r="G888" s="12" t="s">
        <v>164</v>
      </c>
      <c r="H888" s="12" t="s">
        <v>1025</v>
      </c>
      <c r="I888" s="12" t="s">
        <v>1026</v>
      </c>
    </row>
    <row r="889" spans="1:9">
      <c r="A889" s="14">
        <v>10117</v>
      </c>
      <c r="B889" s="14" t="s">
        <v>226</v>
      </c>
      <c r="C889" s="12" t="s">
        <v>150</v>
      </c>
      <c r="D889" s="15" t="str">
        <f t="shared" si="13"/>
        <v>FTD IND Ops - CCS</v>
      </c>
      <c r="E889" s="12" t="s">
        <v>126</v>
      </c>
      <c r="F889" s="12" t="s">
        <v>127</v>
      </c>
      <c r="G889" s="12" t="s">
        <v>128</v>
      </c>
      <c r="H889" s="12" t="s">
        <v>1025</v>
      </c>
      <c r="I889" s="12" t="s">
        <v>1026</v>
      </c>
    </row>
    <row r="890" spans="1:9">
      <c r="A890" s="14">
        <v>91324</v>
      </c>
      <c r="B890" s="14" t="s">
        <v>941</v>
      </c>
      <c r="C890" s="12" t="s">
        <v>138</v>
      </c>
      <c r="D890" s="15" t="str">
        <f t="shared" si="13"/>
        <v>FTP - SD - BOS</v>
      </c>
      <c r="E890" s="12" t="s">
        <v>126</v>
      </c>
      <c r="F890" s="12" t="s">
        <v>163</v>
      </c>
      <c r="G890" s="12" t="s">
        <v>164</v>
      </c>
      <c r="H890" s="12" t="s">
        <v>1025</v>
      </c>
      <c r="I890" s="12" t="s">
        <v>1026</v>
      </c>
    </row>
    <row r="891" spans="1:9">
      <c r="A891" s="14">
        <v>91324</v>
      </c>
      <c r="B891" s="14" t="s">
        <v>941</v>
      </c>
      <c r="C891" s="12" t="s">
        <v>150</v>
      </c>
      <c r="D891" s="15" t="str">
        <f t="shared" si="13"/>
        <v>FTP - SD - CCS</v>
      </c>
      <c r="E891" s="12" t="s">
        <v>126</v>
      </c>
      <c r="F891" s="12" t="s">
        <v>163</v>
      </c>
      <c r="G891" s="12" t="s">
        <v>164</v>
      </c>
      <c r="H891" s="12" t="s">
        <v>1025</v>
      </c>
      <c r="I891" s="12" t="s">
        <v>1026</v>
      </c>
    </row>
    <row r="892" spans="1:9">
      <c r="A892" s="14">
        <v>91324</v>
      </c>
      <c r="B892" s="14" t="s">
        <v>941</v>
      </c>
      <c r="C892" s="12" t="s">
        <v>306</v>
      </c>
      <c r="D892" s="15" t="str">
        <f t="shared" si="13"/>
        <v>FTP - SD - FAO</v>
      </c>
      <c r="E892" s="12" t="s">
        <v>126</v>
      </c>
      <c r="F892" s="12" t="s">
        <v>163</v>
      </c>
      <c r="G892" s="12" t="s">
        <v>164</v>
      </c>
      <c r="H892" s="12" t="s">
        <v>1025</v>
      </c>
      <c r="I892" s="12" t="s">
        <v>1026</v>
      </c>
    </row>
    <row r="893" spans="1:9">
      <c r="A893" s="14">
        <v>91324</v>
      </c>
      <c r="B893" s="14" t="s">
        <v>941</v>
      </c>
      <c r="C893" s="12" t="s">
        <v>250</v>
      </c>
      <c r="D893" s="15" t="str">
        <f t="shared" si="13"/>
        <v>FTP - SD - LED</v>
      </c>
      <c r="E893" s="12" t="s">
        <v>126</v>
      </c>
      <c r="F893" s="12" t="s">
        <v>163</v>
      </c>
      <c r="G893" s="12" t="s">
        <v>164</v>
      </c>
      <c r="H893" s="12" t="s">
        <v>1025</v>
      </c>
      <c r="I893" s="12" t="s">
        <v>1026</v>
      </c>
    </row>
    <row r="894" spans="1:9">
      <c r="A894" s="14">
        <v>91324</v>
      </c>
      <c r="B894" s="14" t="s">
        <v>941</v>
      </c>
      <c r="C894" s="12" t="s">
        <v>129</v>
      </c>
      <c r="D894" s="15" t="str">
        <f t="shared" si="13"/>
        <v>FTP - SD - MGT</v>
      </c>
      <c r="E894" s="12" t="s">
        <v>126</v>
      </c>
      <c r="F894" s="12" t="s">
        <v>163</v>
      </c>
      <c r="G894" s="12" t="s">
        <v>164</v>
      </c>
      <c r="H894" s="12" t="s">
        <v>1025</v>
      </c>
      <c r="I894" s="12" t="s">
        <v>1026</v>
      </c>
    </row>
    <row r="895" spans="1:9">
      <c r="A895" s="14">
        <v>91324</v>
      </c>
      <c r="B895" s="14" t="s">
        <v>941</v>
      </c>
      <c r="C895" s="12" t="s">
        <v>116</v>
      </c>
      <c r="D895" s="15" t="str">
        <f t="shared" si="13"/>
        <v>FTP - SD - PRD</v>
      </c>
      <c r="E895" s="12" t="s">
        <v>126</v>
      </c>
      <c r="F895" s="12" t="s">
        <v>163</v>
      </c>
      <c r="G895" s="12" t="s">
        <v>164</v>
      </c>
      <c r="H895" s="12" t="s">
        <v>1025</v>
      </c>
      <c r="I895" s="12" t="s">
        <v>1026</v>
      </c>
    </row>
    <row r="896" spans="1:9">
      <c r="A896" s="14">
        <v>91324</v>
      </c>
      <c r="B896" s="14" t="s">
        <v>941</v>
      </c>
      <c r="C896" s="12" t="s">
        <v>145</v>
      </c>
      <c r="D896" s="15" t="str">
        <f t="shared" si="13"/>
        <v>FTP - SD - SUP</v>
      </c>
      <c r="E896" s="12" t="s">
        <v>126</v>
      </c>
      <c r="F896" s="12" t="s">
        <v>163</v>
      </c>
      <c r="G896" s="12" t="s">
        <v>164</v>
      </c>
      <c r="H896" s="12" t="s">
        <v>1025</v>
      </c>
      <c r="I896" s="12" t="s">
        <v>1026</v>
      </c>
    </row>
    <row r="897" spans="1:9">
      <c r="A897" s="14">
        <v>91324</v>
      </c>
      <c r="B897" s="14" t="s">
        <v>941</v>
      </c>
      <c r="C897" s="12" t="s">
        <v>180</v>
      </c>
      <c r="D897" s="15" t="str">
        <f t="shared" si="13"/>
        <v>FTP - SD - TMG</v>
      </c>
      <c r="E897" s="12" t="s">
        <v>126</v>
      </c>
      <c r="F897" s="12" t="s">
        <v>163</v>
      </c>
      <c r="G897" s="12" t="s">
        <v>164</v>
      </c>
      <c r="H897" s="12" t="s">
        <v>1025</v>
      </c>
      <c r="I897" s="12" t="s">
        <v>1026</v>
      </c>
    </row>
    <row r="898" spans="1:9">
      <c r="A898" s="14">
        <v>91324</v>
      </c>
      <c r="B898" s="14" t="s">
        <v>941</v>
      </c>
      <c r="C898" s="12" t="s">
        <v>185</v>
      </c>
      <c r="D898" s="15" t="str">
        <f t="shared" ref="D898:D961" si="14">B898&amp;" - "&amp;C898</f>
        <v>FTP - SD - TPS</v>
      </c>
      <c r="E898" s="12" t="s">
        <v>126</v>
      </c>
      <c r="F898" s="12" t="s">
        <v>163</v>
      </c>
      <c r="G898" s="12" t="s">
        <v>164</v>
      </c>
      <c r="H898" s="12" t="s">
        <v>1025</v>
      </c>
      <c r="I898" s="12" t="s">
        <v>1026</v>
      </c>
    </row>
    <row r="899" spans="1:9">
      <c r="A899" s="14">
        <v>97320</v>
      </c>
      <c r="B899" s="14" t="s">
        <v>1011</v>
      </c>
      <c r="C899" s="12" t="s">
        <v>306</v>
      </c>
      <c r="D899" s="15" t="str">
        <f t="shared" si="14"/>
        <v>FTP - Training - FAO</v>
      </c>
      <c r="E899" s="12" t="s">
        <v>104</v>
      </c>
      <c r="F899" s="12" t="s">
        <v>370</v>
      </c>
      <c r="G899" s="12" t="s">
        <v>205</v>
      </c>
      <c r="H899" s="12" t="s">
        <v>1025</v>
      </c>
      <c r="I899" s="12" t="s">
        <v>1026</v>
      </c>
    </row>
    <row r="900" spans="1:9">
      <c r="A900" s="14">
        <v>97320</v>
      </c>
      <c r="B900" s="14" t="s">
        <v>1011</v>
      </c>
      <c r="C900" s="12" t="s">
        <v>129</v>
      </c>
      <c r="D900" s="15" t="str">
        <f t="shared" si="14"/>
        <v>FTP - Training - MGT</v>
      </c>
      <c r="E900" s="12" t="s">
        <v>104</v>
      </c>
      <c r="F900" s="12" t="s">
        <v>370</v>
      </c>
      <c r="G900" s="12" t="s">
        <v>205</v>
      </c>
      <c r="H900" s="12" t="s">
        <v>1025</v>
      </c>
      <c r="I900" s="12" t="s">
        <v>1026</v>
      </c>
    </row>
    <row r="901" spans="1:9">
      <c r="A901" s="14">
        <v>97320</v>
      </c>
      <c r="B901" s="14" t="s">
        <v>1011</v>
      </c>
      <c r="C901" s="12" t="s">
        <v>139</v>
      </c>
      <c r="D901" s="15" t="str">
        <f t="shared" si="14"/>
        <v>FTP - Training - SMGT</v>
      </c>
      <c r="E901" s="12" t="s">
        <v>104</v>
      </c>
      <c r="F901" s="12" t="s">
        <v>370</v>
      </c>
      <c r="G901" s="12" t="s">
        <v>205</v>
      </c>
      <c r="H901" s="12" t="s">
        <v>1025</v>
      </c>
      <c r="I901" s="12" t="s">
        <v>1026</v>
      </c>
    </row>
    <row r="902" spans="1:9">
      <c r="A902" s="14">
        <v>97320</v>
      </c>
      <c r="B902" s="14" t="s">
        <v>1011</v>
      </c>
      <c r="C902" s="12" t="s">
        <v>145</v>
      </c>
      <c r="D902" s="15" t="str">
        <f t="shared" si="14"/>
        <v>FTP - Training - SUP</v>
      </c>
      <c r="E902" s="12" t="s">
        <v>104</v>
      </c>
      <c r="F902" s="12" t="s">
        <v>370</v>
      </c>
      <c r="G902" s="12" t="s">
        <v>205</v>
      </c>
      <c r="H902" s="12" t="s">
        <v>1025</v>
      </c>
      <c r="I902" s="12" t="s">
        <v>1026</v>
      </c>
    </row>
    <row r="903" spans="1:9">
      <c r="A903" s="14">
        <v>97320</v>
      </c>
      <c r="B903" s="14" t="s">
        <v>1011</v>
      </c>
      <c r="C903" s="12" t="s">
        <v>546</v>
      </c>
      <c r="D903" s="15" t="str">
        <f t="shared" si="14"/>
        <v>FTP - Training - TRN</v>
      </c>
      <c r="E903" s="12" t="s">
        <v>104</v>
      </c>
      <c r="F903" s="12" t="s">
        <v>370</v>
      </c>
      <c r="G903" s="12" t="s">
        <v>205</v>
      </c>
      <c r="H903" s="12" t="s">
        <v>1025</v>
      </c>
      <c r="I903" s="12" t="s">
        <v>1026</v>
      </c>
    </row>
    <row r="904" spans="1:9">
      <c r="A904" s="14">
        <v>10736</v>
      </c>
      <c r="B904" s="14" t="s">
        <v>351</v>
      </c>
      <c r="C904" s="12" t="s">
        <v>111</v>
      </c>
      <c r="D904" s="15" t="str">
        <f t="shared" si="14"/>
        <v>GAM IT Support India Consol - QLY</v>
      </c>
      <c r="E904" s="12" t="s">
        <v>112</v>
      </c>
      <c r="F904" s="12" t="s">
        <v>113</v>
      </c>
      <c r="G904" s="12" t="s">
        <v>114</v>
      </c>
      <c r="H904" s="12" t="s">
        <v>1025</v>
      </c>
      <c r="I904" s="12" t="s">
        <v>1026</v>
      </c>
    </row>
    <row r="905" spans="1:9">
      <c r="A905" s="14">
        <v>10736</v>
      </c>
      <c r="B905" s="14" t="s">
        <v>351</v>
      </c>
      <c r="C905" s="12" t="s">
        <v>172</v>
      </c>
      <c r="D905" s="15" t="str">
        <f t="shared" si="14"/>
        <v>GAM IT Support India Consol - SME</v>
      </c>
      <c r="E905" s="12" t="s">
        <v>126</v>
      </c>
      <c r="F905" s="12" t="s">
        <v>163</v>
      </c>
      <c r="G905" s="12" t="s">
        <v>164</v>
      </c>
      <c r="H905" s="12" t="s">
        <v>1025</v>
      </c>
      <c r="I905" s="12" t="s">
        <v>1026</v>
      </c>
    </row>
    <row r="906" spans="1:9">
      <c r="A906" s="14">
        <v>10736</v>
      </c>
      <c r="B906" s="14" t="s">
        <v>351</v>
      </c>
      <c r="C906" s="12" t="s">
        <v>198</v>
      </c>
      <c r="D906" s="15" t="str">
        <f t="shared" si="14"/>
        <v>GAM IT Support India Consol - TEC</v>
      </c>
      <c r="E906" s="12" t="s">
        <v>126</v>
      </c>
      <c r="F906" s="12" t="s">
        <v>163</v>
      </c>
      <c r="G906" s="12" t="s">
        <v>164</v>
      </c>
      <c r="H906" s="12" t="s">
        <v>1025</v>
      </c>
      <c r="I906" s="12" t="s">
        <v>1026</v>
      </c>
    </row>
    <row r="907" spans="1:9">
      <c r="A907" s="14">
        <v>10736</v>
      </c>
      <c r="B907" s="14" t="s">
        <v>351</v>
      </c>
      <c r="C907" s="12" t="s">
        <v>180</v>
      </c>
      <c r="D907" s="15" t="str">
        <f t="shared" si="14"/>
        <v>GAM IT Support India Consol - TMG</v>
      </c>
      <c r="E907" s="12" t="s">
        <v>126</v>
      </c>
      <c r="F907" s="12" t="s">
        <v>163</v>
      </c>
      <c r="G907" s="12" t="s">
        <v>164</v>
      </c>
      <c r="H907" s="12" t="s">
        <v>1025</v>
      </c>
      <c r="I907" s="12" t="s">
        <v>1026</v>
      </c>
    </row>
    <row r="908" spans="1:9">
      <c r="A908" s="14">
        <v>91404</v>
      </c>
      <c r="B908" s="14" t="s">
        <v>533</v>
      </c>
      <c r="C908" s="12" t="s">
        <v>145</v>
      </c>
      <c r="D908" s="15" t="str">
        <f t="shared" si="14"/>
        <v>GDU2-Delivery-Leadership - SUP</v>
      </c>
      <c r="E908" s="12" t="s">
        <v>117</v>
      </c>
      <c r="F908" s="12" t="s">
        <v>117</v>
      </c>
      <c r="G908" s="12" t="s">
        <v>117</v>
      </c>
      <c r="H908" s="12" t="s">
        <v>1025</v>
      </c>
      <c r="I908" s="12" t="s">
        <v>1026</v>
      </c>
    </row>
    <row r="909" spans="1:9">
      <c r="A909" s="14">
        <v>12500</v>
      </c>
      <c r="B909" s="14" t="s">
        <v>534</v>
      </c>
      <c r="C909" s="12" t="s">
        <v>193</v>
      </c>
      <c r="D909" s="15" t="str">
        <f t="shared" si="14"/>
        <v>GE HC - FY22 Opportunities - DEV</v>
      </c>
      <c r="E909" s="12" t="s">
        <v>117</v>
      </c>
      <c r="F909" s="12" t="s">
        <v>117</v>
      </c>
      <c r="G909" s="12" t="s">
        <v>117</v>
      </c>
      <c r="H909" s="12" t="s">
        <v>1025</v>
      </c>
      <c r="I909" s="12" t="s">
        <v>1026</v>
      </c>
    </row>
    <row r="910" spans="1:9">
      <c r="A910" s="14">
        <v>12500</v>
      </c>
      <c r="B910" s="14" t="s">
        <v>534</v>
      </c>
      <c r="C910" s="12" t="s">
        <v>116</v>
      </c>
      <c r="D910" s="15" t="str">
        <f t="shared" si="14"/>
        <v>GE HC - FY22 Opportunities - PRD</v>
      </c>
      <c r="E910" s="12" t="s">
        <v>117</v>
      </c>
      <c r="F910" s="12" t="s">
        <v>117</v>
      </c>
      <c r="G910" s="12" t="s">
        <v>117</v>
      </c>
      <c r="H910" s="12" t="s">
        <v>1025</v>
      </c>
      <c r="I910" s="12" t="s">
        <v>1026</v>
      </c>
    </row>
    <row r="911" spans="1:9">
      <c r="A911" s="14">
        <v>12489</v>
      </c>
      <c r="B911" s="14" t="s">
        <v>536</v>
      </c>
      <c r="C911" s="12" t="s">
        <v>116</v>
      </c>
      <c r="D911" s="15" t="str">
        <f t="shared" si="14"/>
        <v>GE HC - IND Delivery - PRD</v>
      </c>
      <c r="E911" s="12" t="s">
        <v>117</v>
      </c>
      <c r="F911" s="12" t="s">
        <v>117</v>
      </c>
      <c r="G911" s="12" t="s">
        <v>117</v>
      </c>
      <c r="H911" s="12" t="s">
        <v>1025</v>
      </c>
      <c r="I911" s="12" t="s">
        <v>1026</v>
      </c>
    </row>
    <row r="912" spans="1:9">
      <c r="A912" s="14">
        <v>12489</v>
      </c>
      <c r="B912" s="14" t="s">
        <v>536</v>
      </c>
      <c r="C912" s="12" t="s">
        <v>145</v>
      </c>
      <c r="D912" s="15" t="str">
        <f t="shared" si="14"/>
        <v>GE HC - IND Delivery - SUP</v>
      </c>
      <c r="E912" s="12" t="s">
        <v>117</v>
      </c>
      <c r="F912" s="12" t="s">
        <v>117</v>
      </c>
      <c r="G912" s="12" t="s">
        <v>117</v>
      </c>
      <c r="H912" s="12" t="s">
        <v>1025</v>
      </c>
      <c r="I912" s="12" t="s">
        <v>1026</v>
      </c>
    </row>
    <row r="913" spans="1:9">
      <c r="A913" s="14">
        <v>12638</v>
      </c>
      <c r="B913" s="14" t="s">
        <v>611</v>
      </c>
      <c r="C913" s="12" t="s">
        <v>116</v>
      </c>
      <c r="D913" s="15" t="str">
        <f t="shared" si="14"/>
        <v>GE HC - Interfusion - PRD</v>
      </c>
      <c r="E913" s="12" t="s">
        <v>117</v>
      </c>
      <c r="F913" s="12" t="s">
        <v>117</v>
      </c>
      <c r="G913" s="12" t="s">
        <v>117</v>
      </c>
      <c r="H913" s="12" t="s">
        <v>1025</v>
      </c>
      <c r="I913" s="12" t="s">
        <v>1026</v>
      </c>
    </row>
    <row r="914" spans="1:9">
      <c r="A914" s="14">
        <v>12328</v>
      </c>
      <c r="B914" s="14" t="s">
        <v>532</v>
      </c>
      <c r="C914" s="12" t="s">
        <v>193</v>
      </c>
      <c r="D914" s="15" t="str">
        <f t="shared" si="14"/>
        <v>GE HC APS Development - DEV</v>
      </c>
      <c r="E914" s="12" t="s">
        <v>117</v>
      </c>
      <c r="F914" s="12" t="s">
        <v>117</v>
      </c>
      <c r="G914" s="12" t="s">
        <v>117</v>
      </c>
      <c r="H914" s="12" t="s">
        <v>1025</v>
      </c>
      <c r="I914" s="12" t="s">
        <v>1026</v>
      </c>
    </row>
    <row r="915" spans="1:9">
      <c r="A915" s="14">
        <v>12328</v>
      </c>
      <c r="B915" s="14" t="s">
        <v>532</v>
      </c>
      <c r="C915" s="12" t="s">
        <v>116</v>
      </c>
      <c r="D915" s="15" t="str">
        <f t="shared" si="14"/>
        <v>GE HC APS Development - PRD</v>
      </c>
      <c r="E915" s="12" t="s">
        <v>117</v>
      </c>
      <c r="F915" s="12" t="s">
        <v>117</v>
      </c>
      <c r="G915" s="12" t="s">
        <v>117</v>
      </c>
      <c r="H915" s="12" t="s">
        <v>1025</v>
      </c>
      <c r="I915" s="12" t="s">
        <v>1026</v>
      </c>
    </row>
    <row r="916" spans="1:9">
      <c r="A916" s="14">
        <v>12328</v>
      </c>
      <c r="B916" s="14" t="s">
        <v>532</v>
      </c>
      <c r="C916" s="12" t="s">
        <v>145</v>
      </c>
      <c r="D916" s="15" t="str">
        <f t="shared" si="14"/>
        <v>GE HC APS Development - SUP</v>
      </c>
      <c r="E916" s="12" t="s">
        <v>117</v>
      </c>
      <c r="F916" s="12" t="s">
        <v>117</v>
      </c>
      <c r="G916" s="12" t="s">
        <v>117</v>
      </c>
      <c r="H916" s="12" t="s">
        <v>1025</v>
      </c>
      <c r="I916" s="12" t="s">
        <v>1026</v>
      </c>
    </row>
    <row r="917" spans="1:9">
      <c r="A917" s="14">
        <v>12558</v>
      </c>
      <c r="B917" s="14" t="s">
        <v>586</v>
      </c>
      <c r="C917" s="12" t="s">
        <v>116</v>
      </c>
      <c r="D917" s="15" t="str">
        <f t="shared" si="14"/>
        <v>GE HC-FY23 Growth Opportunity - PRD</v>
      </c>
      <c r="E917" s="12" t="s">
        <v>117</v>
      </c>
      <c r="F917" s="12" t="s">
        <v>117</v>
      </c>
      <c r="G917" s="12" t="s">
        <v>117</v>
      </c>
      <c r="H917" s="12" t="s">
        <v>1025</v>
      </c>
      <c r="I917" s="12" t="s">
        <v>1026</v>
      </c>
    </row>
    <row r="918" spans="1:9">
      <c r="A918" s="14">
        <v>12622</v>
      </c>
      <c r="B918" s="14" t="s">
        <v>604</v>
      </c>
      <c r="C918" s="12" t="s">
        <v>193</v>
      </c>
      <c r="D918" s="15" t="str">
        <f t="shared" si="14"/>
        <v>GE HC-FY24 Growth Opportunity - DEV</v>
      </c>
      <c r="E918" s="12" t="s">
        <v>117</v>
      </c>
      <c r="F918" s="12" t="s">
        <v>117</v>
      </c>
      <c r="G918" s="12" t="s">
        <v>117</v>
      </c>
      <c r="H918" s="12" t="s">
        <v>1025</v>
      </c>
      <c r="I918" s="12" t="s">
        <v>1026</v>
      </c>
    </row>
    <row r="919" spans="1:9">
      <c r="A919" s="14">
        <v>12079</v>
      </c>
      <c r="B919" s="14" t="s">
        <v>507</v>
      </c>
      <c r="C919" s="12" t="s">
        <v>542</v>
      </c>
      <c r="D919" s="15" t="str">
        <f t="shared" si="14"/>
        <v>GEHC-IT Product Support - ADV</v>
      </c>
      <c r="E919" s="12" t="s">
        <v>117</v>
      </c>
      <c r="F919" s="12" t="s">
        <v>117</v>
      </c>
      <c r="G919" s="12" t="s">
        <v>117</v>
      </c>
      <c r="H919" s="12" t="s">
        <v>1025</v>
      </c>
      <c r="I919" s="12" t="s">
        <v>1026</v>
      </c>
    </row>
    <row r="920" spans="1:9">
      <c r="A920" s="14">
        <v>12079</v>
      </c>
      <c r="B920" s="14" t="s">
        <v>507</v>
      </c>
      <c r="C920" s="12" t="s">
        <v>193</v>
      </c>
      <c r="D920" s="15" t="str">
        <f t="shared" si="14"/>
        <v>GEHC-IT Product Support - DEV</v>
      </c>
      <c r="E920" s="12" t="s">
        <v>117</v>
      </c>
      <c r="F920" s="12" t="s">
        <v>117</v>
      </c>
      <c r="G920" s="12" t="s">
        <v>117</v>
      </c>
      <c r="H920" s="12" t="s">
        <v>1025</v>
      </c>
      <c r="I920" s="12" t="s">
        <v>1026</v>
      </c>
    </row>
    <row r="921" spans="1:9">
      <c r="A921" s="14">
        <v>12079</v>
      </c>
      <c r="B921" s="14" t="s">
        <v>507</v>
      </c>
      <c r="C921" s="12" t="s">
        <v>250</v>
      </c>
      <c r="D921" s="15" t="str">
        <f t="shared" si="14"/>
        <v>GEHC-IT Product Support - LED</v>
      </c>
      <c r="E921" s="12" t="s">
        <v>117</v>
      </c>
      <c r="F921" s="12" t="s">
        <v>117</v>
      </c>
      <c r="G921" s="12" t="s">
        <v>117</v>
      </c>
      <c r="H921" s="12" t="s">
        <v>1025</v>
      </c>
      <c r="I921" s="12" t="s">
        <v>1026</v>
      </c>
    </row>
    <row r="922" spans="1:9">
      <c r="A922" s="14">
        <v>12079</v>
      </c>
      <c r="B922" s="14" t="s">
        <v>507</v>
      </c>
      <c r="C922" s="12" t="s">
        <v>129</v>
      </c>
      <c r="D922" s="15" t="str">
        <f t="shared" si="14"/>
        <v>GEHC-IT Product Support - MGT</v>
      </c>
      <c r="E922" s="12" t="s">
        <v>117</v>
      </c>
      <c r="F922" s="12" t="s">
        <v>117</v>
      </c>
      <c r="G922" s="12" t="s">
        <v>117</v>
      </c>
      <c r="H922" s="12" t="s">
        <v>1025</v>
      </c>
      <c r="I922" s="12" t="s">
        <v>1026</v>
      </c>
    </row>
    <row r="923" spans="1:9">
      <c r="A923" s="14">
        <v>12079</v>
      </c>
      <c r="B923" s="14" t="s">
        <v>507</v>
      </c>
      <c r="C923" s="12" t="s">
        <v>547</v>
      </c>
      <c r="D923" s="15" t="str">
        <f t="shared" si="14"/>
        <v>GEHC-IT Product Support - PHR</v>
      </c>
      <c r="E923" s="12" t="s">
        <v>117</v>
      </c>
      <c r="F923" s="12" t="s">
        <v>117</v>
      </c>
      <c r="G923" s="12" t="s">
        <v>117</v>
      </c>
      <c r="H923" s="12" t="s">
        <v>1025</v>
      </c>
      <c r="I923" s="12" t="s">
        <v>1026</v>
      </c>
    </row>
    <row r="924" spans="1:9">
      <c r="A924" s="14">
        <v>12079</v>
      </c>
      <c r="B924" s="14" t="s">
        <v>507</v>
      </c>
      <c r="C924" s="12" t="s">
        <v>116</v>
      </c>
      <c r="D924" s="15" t="str">
        <f t="shared" si="14"/>
        <v>GEHC-IT Product Support - PRD</v>
      </c>
      <c r="E924" s="12" t="s">
        <v>117</v>
      </c>
      <c r="F924" s="12" t="s">
        <v>117</v>
      </c>
      <c r="G924" s="12" t="s">
        <v>117</v>
      </c>
      <c r="H924" s="12" t="s">
        <v>1025</v>
      </c>
      <c r="I924" s="12" t="s">
        <v>1026</v>
      </c>
    </row>
    <row r="925" spans="1:9">
      <c r="A925" s="14">
        <v>12079</v>
      </c>
      <c r="B925" s="14" t="s">
        <v>507</v>
      </c>
      <c r="C925" s="12" t="s">
        <v>172</v>
      </c>
      <c r="D925" s="15" t="str">
        <f t="shared" si="14"/>
        <v>GEHC-IT Product Support - SME</v>
      </c>
      <c r="E925" s="12" t="s">
        <v>117</v>
      </c>
      <c r="F925" s="12" t="s">
        <v>117</v>
      </c>
      <c r="G925" s="12" t="s">
        <v>117</v>
      </c>
      <c r="H925" s="12" t="s">
        <v>1025</v>
      </c>
      <c r="I925" s="12" t="s">
        <v>1026</v>
      </c>
    </row>
    <row r="926" spans="1:9">
      <c r="A926" s="14">
        <v>12079</v>
      </c>
      <c r="B926" s="14" t="s">
        <v>507</v>
      </c>
      <c r="C926" s="12" t="s">
        <v>145</v>
      </c>
      <c r="D926" s="15" t="str">
        <f t="shared" si="14"/>
        <v>GEHC-IT Product Support - SUP</v>
      </c>
      <c r="E926" s="12" t="s">
        <v>117</v>
      </c>
      <c r="F926" s="12" t="s">
        <v>117</v>
      </c>
      <c r="G926" s="12" t="s">
        <v>117</v>
      </c>
      <c r="H926" s="12" t="s">
        <v>1025</v>
      </c>
      <c r="I926" s="12" t="s">
        <v>1026</v>
      </c>
    </row>
    <row r="927" spans="1:9">
      <c r="A927" s="14">
        <v>96742</v>
      </c>
      <c r="B927" s="14" t="s">
        <v>549</v>
      </c>
      <c r="C927" s="12" t="s">
        <v>129</v>
      </c>
      <c r="D927" s="15" t="str">
        <f t="shared" si="14"/>
        <v>Geo Business Finance - MGT</v>
      </c>
      <c r="E927" s="12" t="s">
        <v>104</v>
      </c>
      <c r="F927" s="12" t="s">
        <v>122</v>
      </c>
      <c r="G927" s="12" t="s">
        <v>114</v>
      </c>
      <c r="H927" s="12" t="s">
        <v>1025</v>
      </c>
      <c r="I927" s="12" t="s">
        <v>1026</v>
      </c>
    </row>
    <row r="928" spans="1:9">
      <c r="A928" s="14">
        <v>96742</v>
      </c>
      <c r="B928" s="14" t="s">
        <v>549</v>
      </c>
      <c r="C928" s="12" t="s">
        <v>139</v>
      </c>
      <c r="D928" s="15" t="str">
        <f t="shared" si="14"/>
        <v>Geo Business Finance - SMGT</v>
      </c>
      <c r="E928" s="12" t="s">
        <v>104</v>
      </c>
      <c r="F928" s="12" t="s">
        <v>122</v>
      </c>
      <c r="G928" s="12" t="s">
        <v>114</v>
      </c>
      <c r="H928" s="12" t="s">
        <v>1025</v>
      </c>
      <c r="I928" s="12" t="s">
        <v>1026</v>
      </c>
    </row>
    <row r="929" spans="1:9">
      <c r="A929" s="14">
        <v>96742</v>
      </c>
      <c r="B929" s="14" t="s">
        <v>549</v>
      </c>
      <c r="C929" s="12" t="s">
        <v>145</v>
      </c>
      <c r="D929" s="15" t="str">
        <f t="shared" si="14"/>
        <v>Geo Business Finance - SUP</v>
      </c>
      <c r="E929" s="12" t="s">
        <v>104</v>
      </c>
      <c r="F929" s="12" t="s">
        <v>122</v>
      </c>
      <c r="G929" s="12" t="s">
        <v>114</v>
      </c>
      <c r="H929" s="12" t="s">
        <v>1025</v>
      </c>
      <c r="I929" s="12" t="s">
        <v>1026</v>
      </c>
    </row>
    <row r="930" spans="1:9">
      <c r="A930" s="14">
        <v>96207</v>
      </c>
      <c r="B930" s="14" t="s">
        <v>553</v>
      </c>
      <c r="C930" s="12" t="s">
        <v>121</v>
      </c>
      <c r="D930" s="15" t="str">
        <f t="shared" si="14"/>
        <v>GFSS-Attendance _ Payroll Supp - F&amp;A</v>
      </c>
      <c r="E930" s="12" t="s">
        <v>104</v>
      </c>
      <c r="F930" s="12" t="s">
        <v>554</v>
      </c>
      <c r="G930" s="12" t="s">
        <v>114</v>
      </c>
      <c r="H930" s="12" t="s">
        <v>1025</v>
      </c>
      <c r="I930" s="12" t="s">
        <v>1026</v>
      </c>
    </row>
    <row r="931" spans="1:9">
      <c r="A931" s="14">
        <v>96207</v>
      </c>
      <c r="B931" s="14" t="s">
        <v>553</v>
      </c>
      <c r="C931" s="12" t="s">
        <v>556</v>
      </c>
      <c r="D931" s="15" t="str">
        <f t="shared" si="14"/>
        <v>GFSS-Attendance _ Payroll Supp - HRD</v>
      </c>
      <c r="E931" s="12" t="s">
        <v>104</v>
      </c>
      <c r="F931" s="12" t="s">
        <v>554</v>
      </c>
      <c r="G931" s="12" t="s">
        <v>114</v>
      </c>
      <c r="H931" s="12" t="s">
        <v>1025</v>
      </c>
      <c r="I931" s="12" t="s">
        <v>1026</v>
      </c>
    </row>
    <row r="932" spans="1:9">
      <c r="A932" s="14">
        <v>96207</v>
      </c>
      <c r="B932" s="14" t="s">
        <v>553</v>
      </c>
      <c r="C932" s="12" t="s">
        <v>145</v>
      </c>
      <c r="D932" s="15" t="str">
        <f t="shared" si="14"/>
        <v>GFSS-Attendance _ Payroll Supp - SUP</v>
      </c>
      <c r="E932" s="12" t="s">
        <v>104</v>
      </c>
      <c r="F932" s="12" t="s">
        <v>554</v>
      </c>
      <c r="G932" s="12" t="s">
        <v>114</v>
      </c>
      <c r="H932" s="12" t="s">
        <v>1025</v>
      </c>
      <c r="I932" s="12" t="s">
        <v>1026</v>
      </c>
    </row>
    <row r="933" spans="1:9">
      <c r="A933" s="14">
        <v>10738</v>
      </c>
      <c r="B933" s="14" t="s">
        <v>353</v>
      </c>
      <c r="C933" s="12" t="s">
        <v>150</v>
      </c>
      <c r="D933" s="15" t="str">
        <f t="shared" si="14"/>
        <v>GHW WFM - CCS</v>
      </c>
      <c r="E933" s="12" t="s">
        <v>112</v>
      </c>
      <c r="F933" s="12" t="s">
        <v>867</v>
      </c>
      <c r="G933" s="12" t="s">
        <v>114</v>
      </c>
      <c r="H933" s="12" t="s">
        <v>1025</v>
      </c>
      <c r="I933" s="12" t="s">
        <v>1026</v>
      </c>
    </row>
    <row r="934" spans="1:9">
      <c r="A934" s="14">
        <v>10738</v>
      </c>
      <c r="B934" s="14" t="s">
        <v>353</v>
      </c>
      <c r="C934" s="12" t="s">
        <v>171</v>
      </c>
      <c r="D934" s="15" t="str">
        <f t="shared" si="14"/>
        <v>GHW WFM - ETE</v>
      </c>
      <c r="E934" s="12" t="s">
        <v>112</v>
      </c>
      <c r="F934" s="12" t="s">
        <v>867</v>
      </c>
      <c r="G934" s="12" t="s">
        <v>114</v>
      </c>
      <c r="H934" s="12" t="s">
        <v>1025</v>
      </c>
      <c r="I934" s="12" t="s">
        <v>1026</v>
      </c>
    </row>
    <row r="935" spans="1:9">
      <c r="A935" s="14">
        <v>10738</v>
      </c>
      <c r="B935" s="14" t="s">
        <v>353</v>
      </c>
      <c r="C935" s="12" t="s">
        <v>177</v>
      </c>
      <c r="D935" s="15" t="str">
        <f t="shared" si="14"/>
        <v>GHW WFM - OPS</v>
      </c>
      <c r="E935" s="12" t="s">
        <v>112</v>
      </c>
      <c r="F935" s="12" t="s">
        <v>867</v>
      </c>
      <c r="G935" s="12" t="s">
        <v>114</v>
      </c>
      <c r="H935" s="12" t="s">
        <v>1025</v>
      </c>
      <c r="I935" s="12" t="s">
        <v>1026</v>
      </c>
    </row>
    <row r="936" spans="1:9">
      <c r="A936" s="14">
        <v>10738</v>
      </c>
      <c r="B936" s="14" t="s">
        <v>353</v>
      </c>
      <c r="C936" s="12" t="s">
        <v>872</v>
      </c>
      <c r="D936" s="15" t="str">
        <f t="shared" si="14"/>
        <v>GHW WFM - RTA</v>
      </c>
      <c r="E936" s="12" t="s">
        <v>112</v>
      </c>
      <c r="F936" s="12" t="s">
        <v>867</v>
      </c>
      <c r="G936" s="12" t="s">
        <v>114</v>
      </c>
      <c r="H936" s="12" t="s">
        <v>1025</v>
      </c>
      <c r="I936" s="12" t="s">
        <v>1026</v>
      </c>
    </row>
    <row r="937" spans="1:9">
      <c r="A937" s="14">
        <v>10738</v>
      </c>
      <c r="B937" s="14" t="s">
        <v>353</v>
      </c>
      <c r="C937" s="12" t="s">
        <v>145</v>
      </c>
      <c r="D937" s="15" t="str">
        <f t="shared" si="14"/>
        <v>GHW WFM - SUP</v>
      </c>
      <c r="E937" s="12" t="s">
        <v>112</v>
      </c>
      <c r="F937" s="12" t="s">
        <v>867</v>
      </c>
      <c r="G937" s="12" t="s">
        <v>114</v>
      </c>
      <c r="H937" s="12" t="s">
        <v>1025</v>
      </c>
      <c r="I937" s="12" t="s">
        <v>1026</v>
      </c>
    </row>
    <row r="938" spans="1:9">
      <c r="A938" s="14">
        <v>10738</v>
      </c>
      <c r="B938" s="14" t="s">
        <v>353</v>
      </c>
      <c r="C938" s="12" t="s">
        <v>876</v>
      </c>
      <c r="D938" s="15" t="str">
        <f t="shared" si="14"/>
        <v>GHW WFM - WFM</v>
      </c>
      <c r="E938" s="12" t="s">
        <v>112</v>
      </c>
      <c r="F938" s="12" t="s">
        <v>867</v>
      </c>
      <c r="G938" s="12" t="s">
        <v>114</v>
      </c>
      <c r="H938" s="12" t="s">
        <v>1025</v>
      </c>
      <c r="I938" s="12" t="s">
        <v>1026</v>
      </c>
    </row>
    <row r="939" spans="1:9">
      <c r="A939" s="14">
        <v>51139</v>
      </c>
      <c r="B939" s="14" t="s">
        <v>711</v>
      </c>
      <c r="C939" s="12" t="s">
        <v>116</v>
      </c>
      <c r="D939" s="15" t="str">
        <f t="shared" si="14"/>
        <v>Glatfelter-ABAP-TOD - PRD</v>
      </c>
      <c r="E939" s="12" t="s">
        <v>117</v>
      </c>
      <c r="F939" s="12" t="s">
        <v>117</v>
      </c>
      <c r="G939" s="12" t="s">
        <v>117</v>
      </c>
      <c r="H939" s="12" t="s">
        <v>1025</v>
      </c>
      <c r="I939" s="12" t="s">
        <v>1026</v>
      </c>
    </row>
    <row r="940" spans="1:9">
      <c r="A940" s="14">
        <v>96725</v>
      </c>
      <c r="B940" s="14" t="s">
        <v>558</v>
      </c>
      <c r="C940" s="12" t="s">
        <v>121</v>
      </c>
      <c r="D940" s="15" t="str">
        <f t="shared" si="14"/>
        <v>Global Business Controller's - F&amp;A</v>
      </c>
      <c r="E940" s="12" t="s">
        <v>104</v>
      </c>
      <c r="F940" s="12" t="s">
        <v>122</v>
      </c>
      <c r="G940" s="12" t="s">
        <v>114</v>
      </c>
      <c r="H940" s="12" t="s">
        <v>1025</v>
      </c>
      <c r="I940" s="12" t="s">
        <v>1026</v>
      </c>
    </row>
    <row r="941" spans="1:9">
      <c r="A941" s="14">
        <v>96725</v>
      </c>
      <c r="B941" s="14" t="s">
        <v>558</v>
      </c>
      <c r="C941" s="12" t="s">
        <v>129</v>
      </c>
      <c r="D941" s="15" t="str">
        <f t="shared" si="14"/>
        <v>Global Business Controller's - MGT</v>
      </c>
      <c r="E941" s="12" t="s">
        <v>104</v>
      </c>
      <c r="F941" s="12" t="s">
        <v>122</v>
      </c>
      <c r="G941" s="12" t="s">
        <v>114</v>
      </c>
      <c r="H941" s="12" t="s">
        <v>1025</v>
      </c>
      <c r="I941" s="12" t="s">
        <v>1026</v>
      </c>
    </row>
    <row r="942" spans="1:9">
      <c r="A942" s="14">
        <v>96725</v>
      </c>
      <c r="B942" s="14" t="s">
        <v>558</v>
      </c>
      <c r="C942" s="12" t="s">
        <v>139</v>
      </c>
      <c r="D942" s="15" t="str">
        <f t="shared" si="14"/>
        <v>Global Business Controller's - SMGT</v>
      </c>
      <c r="E942" s="12" t="s">
        <v>104</v>
      </c>
      <c r="F942" s="12" t="s">
        <v>122</v>
      </c>
      <c r="G942" s="12" t="s">
        <v>114</v>
      </c>
      <c r="H942" s="12" t="s">
        <v>1025</v>
      </c>
      <c r="I942" s="12" t="s">
        <v>1026</v>
      </c>
    </row>
    <row r="943" spans="1:9">
      <c r="A943" s="14">
        <v>96725</v>
      </c>
      <c r="B943" s="14" t="s">
        <v>558</v>
      </c>
      <c r="C943" s="12" t="s">
        <v>145</v>
      </c>
      <c r="D943" s="15" t="str">
        <f t="shared" si="14"/>
        <v>Global Business Controller's - SUP</v>
      </c>
      <c r="E943" s="12" t="s">
        <v>104</v>
      </c>
      <c r="F943" s="12" t="s">
        <v>122</v>
      </c>
      <c r="G943" s="12" t="s">
        <v>114</v>
      </c>
      <c r="H943" s="12" t="s">
        <v>1025</v>
      </c>
      <c r="I943" s="12" t="s">
        <v>1026</v>
      </c>
    </row>
    <row r="944" spans="1:9">
      <c r="A944" s="14">
        <v>95508</v>
      </c>
      <c r="B944" s="14" t="s">
        <v>1000</v>
      </c>
      <c r="C944" s="12" t="s">
        <v>145</v>
      </c>
      <c r="D944" s="15" t="str">
        <f t="shared" si="14"/>
        <v>Global Data Privacy - SUP</v>
      </c>
      <c r="E944" s="12" t="s">
        <v>104</v>
      </c>
      <c r="F944" s="12" t="s">
        <v>263</v>
      </c>
      <c r="G944" s="12" t="s">
        <v>264</v>
      </c>
      <c r="H944" s="12" t="s">
        <v>1025</v>
      </c>
      <c r="I944" s="12" t="s">
        <v>1026</v>
      </c>
    </row>
    <row r="945" spans="1:9">
      <c r="A945" s="14">
        <v>96205</v>
      </c>
      <c r="B945" s="14" t="s">
        <v>561</v>
      </c>
      <c r="C945" s="12" t="s">
        <v>133</v>
      </c>
      <c r="D945" s="15" t="str">
        <f t="shared" si="14"/>
        <v>Global Finance Shared Services - AMG</v>
      </c>
      <c r="E945" s="12" t="s">
        <v>104</v>
      </c>
      <c r="F945" s="12" t="s">
        <v>122</v>
      </c>
      <c r="G945" s="12" t="s">
        <v>114</v>
      </c>
      <c r="H945" s="12" t="s">
        <v>1025</v>
      </c>
      <c r="I945" s="12" t="s">
        <v>1026</v>
      </c>
    </row>
    <row r="946" spans="1:9">
      <c r="A946" s="14">
        <v>96205</v>
      </c>
      <c r="B946" s="14" t="s">
        <v>561</v>
      </c>
      <c r="C946" s="12" t="s">
        <v>150</v>
      </c>
      <c r="D946" s="15" t="str">
        <f t="shared" si="14"/>
        <v>Global Finance Shared Services - CCS</v>
      </c>
      <c r="E946" s="12" t="s">
        <v>104</v>
      </c>
      <c r="F946" s="12" t="s">
        <v>122</v>
      </c>
      <c r="G946" s="12" t="s">
        <v>114</v>
      </c>
      <c r="H946" s="12" t="s">
        <v>1025</v>
      </c>
      <c r="I946" s="12" t="s">
        <v>1026</v>
      </c>
    </row>
    <row r="947" spans="1:9">
      <c r="A947" s="14">
        <v>96205</v>
      </c>
      <c r="B947" s="14" t="s">
        <v>561</v>
      </c>
      <c r="C947" s="12" t="s">
        <v>121</v>
      </c>
      <c r="D947" s="15" t="str">
        <f t="shared" si="14"/>
        <v>Global Finance Shared Services - F&amp;A</v>
      </c>
      <c r="E947" s="12" t="s">
        <v>104</v>
      </c>
      <c r="F947" s="12" t="s">
        <v>122</v>
      </c>
      <c r="G947" s="12" t="s">
        <v>114</v>
      </c>
      <c r="H947" s="12" t="s">
        <v>1025</v>
      </c>
      <c r="I947" s="12" t="s">
        <v>1026</v>
      </c>
    </row>
    <row r="948" spans="1:9">
      <c r="A948" s="14">
        <v>96205</v>
      </c>
      <c r="B948" s="14" t="s">
        <v>561</v>
      </c>
      <c r="C948" s="12" t="s">
        <v>129</v>
      </c>
      <c r="D948" s="15" t="str">
        <f t="shared" si="14"/>
        <v>Global Finance Shared Services - MGT</v>
      </c>
      <c r="E948" s="12" t="s">
        <v>104</v>
      </c>
      <c r="F948" s="12" t="s">
        <v>122</v>
      </c>
      <c r="G948" s="12" t="s">
        <v>114</v>
      </c>
      <c r="H948" s="12" t="s">
        <v>1025</v>
      </c>
      <c r="I948" s="12" t="s">
        <v>1026</v>
      </c>
    </row>
    <row r="949" spans="1:9">
      <c r="A949" s="14">
        <v>96205</v>
      </c>
      <c r="B949" s="14" t="s">
        <v>561</v>
      </c>
      <c r="C949" s="12" t="s">
        <v>139</v>
      </c>
      <c r="D949" s="15" t="str">
        <f t="shared" si="14"/>
        <v>Global Finance Shared Services - SMGT</v>
      </c>
      <c r="E949" s="12" t="s">
        <v>104</v>
      </c>
      <c r="F949" s="12" t="s">
        <v>122</v>
      </c>
      <c r="G949" s="12" t="s">
        <v>114</v>
      </c>
      <c r="H949" s="12" t="s">
        <v>1025</v>
      </c>
      <c r="I949" s="12" t="s">
        <v>1026</v>
      </c>
    </row>
    <row r="950" spans="1:9">
      <c r="A950" s="14">
        <v>96205</v>
      </c>
      <c r="B950" s="14" t="s">
        <v>561</v>
      </c>
      <c r="C950" s="12" t="s">
        <v>145</v>
      </c>
      <c r="D950" s="15" t="str">
        <f t="shared" si="14"/>
        <v>Global Finance Shared Services - SUP</v>
      </c>
      <c r="E950" s="12" t="s">
        <v>104</v>
      </c>
      <c r="F950" s="12" t="s">
        <v>122</v>
      </c>
      <c r="G950" s="12" t="s">
        <v>114</v>
      </c>
      <c r="H950" s="12" t="s">
        <v>1025</v>
      </c>
      <c r="I950" s="12" t="s">
        <v>1026</v>
      </c>
    </row>
    <row r="951" spans="1:9">
      <c r="A951" s="14">
        <v>96205</v>
      </c>
      <c r="B951" s="14" t="s">
        <v>561</v>
      </c>
      <c r="C951" s="12" t="s">
        <v>180</v>
      </c>
      <c r="D951" s="15" t="str">
        <f t="shared" si="14"/>
        <v>Global Finance Shared Services - TMG</v>
      </c>
      <c r="E951" s="12" t="s">
        <v>104</v>
      </c>
      <c r="F951" s="12" t="s">
        <v>122</v>
      </c>
      <c r="G951" s="12" t="s">
        <v>114</v>
      </c>
      <c r="H951" s="12" t="s">
        <v>1025</v>
      </c>
      <c r="I951" s="12" t="s">
        <v>1026</v>
      </c>
    </row>
    <row r="952" spans="1:9">
      <c r="A952" s="14">
        <v>98001</v>
      </c>
      <c r="B952" s="14" t="s">
        <v>567</v>
      </c>
      <c r="C952" s="12" t="s">
        <v>352</v>
      </c>
      <c r="D952" s="15" t="str">
        <f t="shared" si="14"/>
        <v>Global Initiatives - EAT</v>
      </c>
      <c r="E952" s="12" t="s">
        <v>104</v>
      </c>
      <c r="F952" s="12" t="s">
        <v>405</v>
      </c>
      <c r="G952" s="12" t="s">
        <v>114</v>
      </c>
      <c r="H952" s="12" t="s">
        <v>1025</v>
      </c>
      <c r="I952" s="12" t="s">
        <v>1026</v>
      </c>
    </row>
    <row r="953" spans="1:9">
      <c r="A953" s="14">
        <v>98001</v>
      </c>
      <c r="B953" s="14" t="s">
        <v>567</v>
      </c>
      <c r="C953" s="12" t="s">
        <v>569</v>
      </c>
      <c r="D953" s="15" t="str">
        <f t="shared" si="14"/>
        <v>Global Initiatives - GBS</v>
      </c>
      <c r="E953" s="12" t="s">
        <v>104</v>
      </c>
      <c r="F953" s="12" t="s">
        <v>405</v>
      </c>
      <c r="G953" s="12" t="s">
        <v>114</v>
      </c>
      <c r="H953" s="12" t="s">
        <v>1025</v>
      </c>
      <c r="I953" s="12" t="s">
        <v>1026</v>
      </c>
    </row>
    <row r="954" spans="1:9">
      <c r="A954" s="14">
        <v>98001</v>
      </c>
      <c r="B954" s="14" t="s">
        <v>567</v>
      </c>
      <c r="C954" s="12" t="s">
        <v>177</v>
      </c>
      <c r="D954" s="15" t="str">
        <f t="shared" si="14"/>
        <v>Global Initiatives - OPS</v>
      </c>
      <c r="E954" s="12" t="s">
        <v>104</v>
      </c>
      <c r="F954" s="12" t="s">
        <v>405</v>
      </c>
      <c r="G954" s="12" t="s">
        <v>114</v>
      </c>
      <c r="H954" s="12" t="s">
        <v>1025</v>
      </c>
      <c r="I954" s="12" t="s">
        <v>1026</v>
      </c>
    </row>
    <row r="955" spans="1:9">
      <c r="A955" s="14">
        <v>98001</v>
      </c>
      <c r="B955" s="14" t="s">
        <v>567</v>
      </c>
      <c r="C955" s="12" t="s">
        <v>139</v>
      </c>
      <c r="D955" s="15" t="str">
        <f t="shared" si="14"/>
        <v>Global Initiatives - SMGT</v>
      </c>
      <c r="E955" s="12" t="s">
        <v>104</v>
      </c>
      <c r="F955" s="12" t="s">
        <v>405</v>
      </c>
      <c r="G955" s="12" t="s">
        <v>114</v>
      </c>
      <c r="H955" s="12" t="s">
        <v>1025</v>
      </c>
      <c r="I955" s="12" t="s">
        <v>1026</v>
      </c>
    </row>
    <row r="956" spans="1:9">
      <c r="A956" s="14">
        <v>98001</v>
      </c>
      <c r="B956" s="14" t="s">
        <v>567</v>
      </c>
      <c r="C956" s="12" t="s">
        <v>145</v>
      </c>
      <c r="D956" s="15" t="str">
        <f t="shared" si="14"/>
        <v>Global Initiatives - SUP</v>
      </c>
      <c r="E956" s="12" t="s">
        <v>104</v>
      </c>
      <c r="F956" s="12" t="s">
        <v>405</v>
      </c>
      <c r="G956" s="12" t="s">
        <v>114</v>
      </c>
      <c r="H956" s="12" t="s">
        <v>1025</v>
      </c>
      <c r="I956" s="12" t="s">
        <v>1026</v>
      </c>
    </row>
    <row r="957" spans="1:9">
      <c r="A957" s="14">
        <v>99000</v>
      </c>
      <c r="B957" s="14" t="s">
        <v>573</v>
      </c>
      <c r="C957" s="12" t="s">
        <v>352</v>
      </c>
      <c r="D957" s="15" t="str">
        <f t="shared" si="14"/>
        <v>Global Office - EAT</v>
      </c>
      <c r="E957" s="12" t="s">
        <v>104</v>
      </c>
      <c r="F957" s="12" t="s">
        <v>518</v>
      </c>
      <c r="G957" s="12" t="s">
        <v>350</v>
      </c>
      <c r="H957" s="12" t="s">
        <v>1025</v>
      </c>
      <c r="I957" s="12" t="s">
        <v>1026</v>
      </c>
    </row>
    <row r="958" spans="1:9">
      <c r="A958" s="14">
        <v>99000</v>
      </c>
      <c r="B958" s="14" t="s">
        <v>573</v>
      </c>
      <c r="C958" s="12" t="s">
        <v>145</v>
      </c>
      <c r="D958" s="15" t="str">
        <f t="shared" si="14"/>
        <v>Global Office - SUP</v>
      </c>
      <c r="E958" s="12" t="s">
        <v>104</v>
      </c>
      <c r="F958" s="12" t="s">
        <v>518</v>
      </c>
      <c r="G958" s="12" t="s">
        <v>350</v>
      </c>
      <c r="H958" s="12" t="s">
        <v>1025</v>
      </c>
      <c r="I958" s="12" t="s">
        <v>1026</v>
      </c>
    </row>
    <row r="959" spans="1:9">
      <c r="A959" s="14">
        <v>98003</v>
      </c>
      <c r="B959" s="14" t="s">
        <v>574</v>
      </c>
      <c r="C959" s="12" t="s">
        <v>348</v>
      </c>
      <c r="D959" s="15" t="str">
        <f t="shared" si="14"/>
        <v>Global Procurement - ADM</v>
      </c>
      <c r="E959" s="12" t="s">
        <v>104</v>
      </c>
      <c r="F959" s="12" t="s">
        <v>575</v>
      </c>
      <c r="G959" s="12" t="s">
        <v>114</v>
      </c>
      <c r="H959" s="12" t="s">
        <v>1025</v>
      </c>
      <c r="I959" s="12" t="s">
        <v>1026</v>
      </c>
    </row>
    <row r="960" spans="1:9">
      <c r="A960" s="14">
        <v>98003</v>
      </c>
      <c r="B960" s="14" t="s">
        <v>574</v>
      </c>
      <c r="C960" s="12" t="s">
        <v>133</v>
      </c>
      <c r="D960" s="15" t="str">
        <f t="shared" si="14"/>
        <v>Global Procurement - AMG</v>
      </c>
      <c r="E960" s="12" t="s">
        <v>104</v>
      </c>
      <c r="F960" s="12" t="s">
        <v>575</v>
      </c>
      <c r="G960" s="12" t="s">
        <v>114</v>
      </c>
      <c r="H960" s="12" t="s">
        <v>1025</v>
      </c>
      <c r="I960" s="12" t="s">
        <v>1026</v>
      </c>
    </row>
    <row r="961" spans="1:9">
      <c r="A961" s="14">
        <v>98003</v>
      </c>
      <c r="B961" s="14" t="s">
        <v>574</v>
      </c>
      <c r="C961" s="12" t="s">
        <v>129</v>
      </c>
      <c r="D961" s="15" t="str">
        <f t="shared" si="14"/>
        <v>Global Procurement - MGT</v>
      </c>
      <c r="E961" s="12" t="s">
        <v>104</v>
      </c>
      <c r="F961" s="12" t="s">
        <v>575</v>
      </c>
      <c r="G961" s="12" t="s">
        <v>114</v>
      </c>
      <c r="H961" s="12" t="s">
        <v>1025</v>
      </c>
      <c r="I961" s="12" t="s">
        <v>1026</v>
      </c>
    </row>
    <row r="962" spans="1:9">
      <c r="A962" s="14">
        <v>98003</v>
      </c>
      <c r="B962" s="14" t="s">
        <v>574</v>
      </c>
      <c r="C962" s="12" t="s">
        <v>578</v>
      </c>
      <c r="D962" s="15" t="str">
        <f t="shared" ref="D962:D1025" si="15">B962&amp;" - "&amp;C962</f>
        <v>Global Procurement - PQM</v>
      </c>
      <c r="E962" s="12" t="s">
        <v>104</v>
      </c>
      <c r="F962" s="12" t="s">
        <v>575</v>
      </c>
      <c r="G962" s="12" t="s">
        <v>114</v>
      </c>
      <c r="H962" s="12" t="s">
        <v>1025</v>
      </c>
      <c r="I962" s="12" t="s">
        <v>1026</v>
      </c>
    </row>
    <row r="963" spans="1:9">
      <c r="A963" s="14">
        <v>98003</v>
      </c>
      <c r="B963" s="14" t="s">
        <v>574</v>
      </c>
      <c r="C963" s="12" t="s">
        <v>139</v>
      </c>
      <c r="D963" s="15" t="str">
        <f t="shared" si="15"/>
        <v>Global Procurement - SMGT</v>
      </c>
      <c r="E963" s="12" t="s">
        <v>104</v>
      </c>
      <c r="F963" s="12" t="s">
        <v>575</v>
      </c>
      <c r="G963" s="12" t="s">
        <v>114</v>
      </c>
      <c r="H963" s="12" t="s">
        <v>1025</v>
      </c>
      <c r="I963" s="12" t="s">
        <v>1026</v>
      </c>
    </row>
    <row r="964" spans="1:9">
      <c r="A964" s="14">
        <v>98003</v>
      </c>
      <c r="B964" s="14" t="s">
        <v>574</v>
      </c>
      <c r="C964" s="12" t="s">
        <v>145</v>
      </c>
      <c r="D964" s="15" t="str">
        <f t="shared" si="15"/>
        <v>Global Procurement - SUP</v>
      </c>
      <c r="E964" s="12" t="s">
        <v>104</v>
      </c>
      <c r="F964" s="12" t="s">
        <v>575</v>
      </c>
      <c r="G964" s="12" t="s">
        <v>114</v>
      </c>
      <c r="H964" s="12" t="s">
        <v>1025</v>
      </c>
      <c r="I964" s="12" t="s">
        <v>1026</v>
      </c>
    </row>
    <row r="965" spans="1:9">
      <c r="A965" s="14">
        <v>98003</v>
      </c>
      <c r="B965" s="14" t="s">
        <v>574</v>
      </c>
      <c r="C965" s="12" t="s">
        <v>180</v>
      </c>
      <c r="D965" s="15" t="str">
        <f t="shared" si="15"/>
        <v>Global Procurement - TMG</v>
      </c>
      <c r="E965" s="12" t="s">
        <v>104</v>
      </c>
      <c r="F965" s="12" t="s">
        <v>575</v>
      </c>
      <c r="G965" s="12" t="s">
        <v>114</v>
      </c>
      <c r="H965" s="12" t="s">
        <v>1025</v>
      </c>
      <c r="I965" s="12" t="s">
        <v>1026</v>
      </c>
    </row>
    <row r="966" spans="1:9">
      <c r="A966" s="14">
        <v>95101</v>
      </c>
      <c r="B966" s="14" t="s">
        <v>582</v>
      </c>
      <c r="C966" s="12" t="s">
        <v>415</v>
      </c>
      <c r="D966" s="15" t="str">
        <f t="shared" si="15"/>
        <v>Global TCO - GTI</v>
      </c>
      <c r="E966" s="12" t="s">
        <v>104</v>
      </c>
      <c r="F966" s="12" t="s">
        <v>263</v>
      </c>
      <c r="G966" s="12" t="s">
        <v>264</v>
      </c>
      <c r="H966" s="12" t="s">
        <v>1025</v>
      </c>
      <c r="I966" s="12" t="s">
        <v>1026</v>
      </c>
    </row>
    <row r="967" spans="1:9">
      <c r="A967" s="14">
        <v>95101</v>
      </c>
      <c r="B967" s="14" t="s">
        <v>582</v>
      </c>
      <c r="C967" s="12" t="s">
        <v>584</v>
      </c>
      <c r="D967" s="15" t="str">
        <f t="shared" si="15"/>
        <v>Global TCO - STE</v>
      </c>
      <c r="E967" s="12" t="s">
        <v>104</v>
      </c>
      <c r="F967" s="12" t="s">
        <v>263</v>
      </c>
      <c r="G967" s="12" t="s">
        <v>264</v>
      </c>
      <c r="H967" s="12" t="s">
        <v>1025</v>
      </c>
      <c r="I967" s="12" t="s">
        <v>1026</v>
      </c>
    </row>
    <row r="968" spans="1:9">
      <c r="A968" s="14">
        <v>95101</v>
      </c>
      <c r="B968" s="14" t="s">
        <v>582</v>
      </c>
      <c r="C968" s="12" t="s">
        <v>145</v>
      </c>
      <c r="D968" s="15" t="str">
        <f t="shared" si="15"/>
        <v>Global TCO - SUP</v>
      </c>
      <c r="E968" s="12" t="s">
        <v>104</v>
      </c>
      <c r="F968" s="12" t="s">
        <v>263</v>
      </c>
      <c r="G968" s="12" t="s">
        <v>264</v>
      </c>
      <c r="H968" s="12" t="s">
        <v>1025</v>
      </c>
      <c r="I968" s="12" t="s">
        <v>1026</v>
      </c>
    </row>
    <row r="969" spans="1:9">
      <c r="A969" s="14">
        <v>97324</v>
      </c>
      <c r="B969" s="14" t="s">
        <v>1012</v>
      </c>
      <c r="C969" s="12" t="s">
        <v>145</v>
      </c>
      <c r="D969" s="15" t="str">
        <f t="shared" si="15"/>
        <v>Global Training - SUP</v>
      </c>
      <c r="E969" s="12" t="s">
        <v>104</v>
      </c>
      <c r="F969" s="12" t="s">
        <v>204</v>
      </c>
      <c r="G969" s="12" t="s">
        <v>205</v>
      </c>
      <c r="H969" s="12" t="s">
        <v>1025</v>
      </c>
      <c r="I969" s="12" t="s">
        <v>1026</v>
      </c>
    </row>
    <row r="970" spans="1:9">
      <c r="A970" s="14">
        <v>97324</v>
      </c>
      <c r="B970" s="14" t="s">
        <v>1012</v>
      </c>
      <c r="C970" s="12" t="s">
        <v>203</v>
      </c>
      <c r="D970" s="15" t="str">
        <f t="shared" si="15"/>
        <v>Global Training - TRG</v>
      </c>
      <c r="E970" s="12" t="s">
        <v>104</v>
      </c>
      <c r="F970" s="12" t="s">
        <v>204</v>
      </c>
      <c r="G970" s="12" t="s">
        <v>205</v>
      </c>
      <c r="H970" s="12" t="s">
        <v>1025</v>
      </c>
      <c r="I970" s="12" t="s">
        <v>1026</v>
      </c>
    </row>
    <row r="971" spans="1:9">
      <c r="A971" s="14">
        <v>97324</v>
      </c>
      <c r="B971" s="14" t="s">
        <v>1012</v>
      </c>
      <c r="C971" s="12" t="s">
        <v>208</v>
      </c>
      <c r="D971" s="15" t="str">
        <f t="shared" si="15"/>
        <v>Global Training - TTR</v>
      </c>
      <c r="E971" s="12" t="s">
        <v>104</v>
      </c>
      <c r="F971" s="12" t="s">
        <v>204</v>
      </c>
      <c r="G971" s="12" t="s">
        <v>205</v>
      </c>
      <c r="H971" s="12" t="s">
        <v>1025</v>
      </c>
      <c r="I971" s="12" t="s">
        <v>1026</v>
      </c>
    </row>
    <row r="972" spans="1:9">
      <c r="A972" s="14">
        <v>25575</v>
      </c>
      <c r="B972" s="14" t="s">
        <v>651</v>
      </c>
      <c r="C972" s="12" t="s">
        <v>150</v>
      </c>
      <c r="D972" s="15" t="str">
        <f t="shared" si="15"/>
        <v>GoDaddy SMB High Value Sales - CCS</v>
      </c>
      <c r="E972" s="12" t="s">
        <v>126</v>
      </c>
      <c r="F972" s="12" t="s">
        <v>127</v>
      </c>
      <c r="G972" s="12" t="s">
        <v>128</v>
      </c>
      <c r="H972" s="12" t="s">
        <v>1025</v>
      </c>
      <c r="I972" s="12" t="s">
        <v>1026</v>
      </c>
    </row>
    <row r="973" spans="1:9">
      <c r="A973" s="14">
        <v>10674</v>
      </c>
      <c r="B973" s="14" t="s">
        <v>299</v>
      </c>
      <c r="C973" s="12" t="s">
        <v>306</v>
      </c>
      <c r="D973" s="15" t="str">
        <f t="shared" si="15"/>
        <v>GPC APAC India JC - FAO</v>
      </c>
      <c r="E973" s="12" t="s">
        <v>126</v>
      </c>
      <c r="F973" s="12" t="s">
        <v>163</v>
      </c>
      <c r="G973" s="12" t="s">
        <v>164</v>
      </c>
      <c r="H973" s="12" t="s">
        <v>1025</v>
      </c>
      <c r="I973" s="12" t="s">
        <v>1026</v>
      </c>
    </row>
    <row r="974" spans="1:9">
      <c r="A974" s="14">
        <v>10674</v>
      </c>
      <c r="B974" s="14" t="s">
        <v>299</v>
      </c>
      <c r="C974" s="12" t="s">
        <v>129</v>
      </c>
      <c r="D974" s="15" t="str">
        <f t="shared" si="15"/>
        <v>GPC APAC India JC - MGT</v>
      </c>
      <c r="E974" s="12" t="s">
        <v>126</v>
      </c>
      <c r="F974" s="12" t="s">
        <v>163</v>
      </c>
      <c r="G974" s="12" t="s">
        <v>164</v>
      </c>
      <c r="H974" s="12" t="s">
        <v>1025</v>
      </c>
      <c r="I974" s="12" t="s">
        <v>1026</v>
      </c>
    </row>
    <row r="975" spans="1:9">
      <c r="A975" s="14">
        <v>10674</v>
      </c>
      <c r="B975" s="14" t="s">
        <v>299</v>
      </c>
      <c r="C975" s="12" t="s">
        <v>116</v>
      </c>
      <c r="D975" s="15" t="str">
        <f t="shared" si="15"/>
        <v>GPC APAC India JC - PRD</v>
      </c>
      <c r="E975" s="12" t="s">
        <v>126</v>
      </c>
      <c r="F975" s="12" t="s">
        <v>163</v>
      </c>
      <c r="G975" s="12" t="s">
        <v>164</v>
      </c>
      <c r="H975" s="12" t="s">
        <v>1025</v>
      </c>
      <c r="I975" s="12" t="s">
        <v>1026</v>
      </c>
    </row>
    <row r="976" spans="1:9">
      <c r="A976" s="14">
        <v>10674</v>
      </c>
      <c r="B976" s="14" t="s">
        <v>299</v>
      </c>
      <c r="C976" s="12" t="s">
        <v>145</v>
      </c>
      <c r="D976" s="15" t="str">
        <f t="shared" si="15"/>
        <v>GPC APAC India JC - SUP</v>
      </c>
      <c r="E976" s="12" t="s">
        <v>126</v>
      </c>
      <c r="F976" s="12" t="s">
        <v>163</v>
      </c>
      <c r="G976" s="12" t="s">
        <v>164</v>
      </c>
      <c r="H976" s="12" t="s">
        <v>1025</v>
      </c>
      <c r="I976" s="12" t="s">
        <v>1026</v>
      </c>
    </row>
    <row r="977" spans="1:9">
      <c r="A977" s="14">
        <v>10674</v>
      </c>
      <c r="B977" s="14" t="s">
        <v>299</v>
      </c>
      <c r="C977" s="12" t="s">
        <v>198</v>
      </c>
      <c r="D977" s="15" t="str">
        <f t="shared" si="15"/>
        <v>GPC APAC India JC - TEC</v>
      </c>
      <c r="E977" s="12" t="s">
        <v>126</v>
      </c>
      <c r="F977" s="12" t="s">
        <v>163</v>
      </c>
      <c r="G977" s="12" t="s">
        <v>164</v>
      </c>
      <c r="H977" s="12" t="s">
        <v>1025</v>
      </c>
      <c r="I977" s="12" t="s">
        <v>1026</v>
      </c>
    </row>
    <row r="978" spans="1:9">
      <c r="A978" s="14">
        <v>10674</v>
      </c>
      <c r="B978" s="14" t="s">
        <v>299</v>
      </c>
      <c r="C978" s="12" t="s">
        <v>180</v>
      </c>
      <c r="D978" s="15" t="str">
        <f t="shared" si="15"/>
        <v>GPC APAC India JC - TMG</v>
      </c>
      <c r="E978" s="12" t="s">
        <v>126</v>
      </c>
      <c r="F978" s="12" t="s">
        <v>163</v>
      </c>
      <c r="G978" s="12" t="s">
        <v>164</v>
      </c>
      <c r="H978" s="12" t="s">
        <v>1025</v>
      </c>
      <c r="I978" s="12" t="s">
        <v>1026</v>
      </c>
    </row>
    <row r="979" spans="1:9">
      <c r="A979" s="14">
        <v>10674</v>
      </c>
      <c r="B979" s="14" t="s">
        <v>299</v>
      </c>
      <c r="C979" s="12" t="s">
        <v>185</v>
      </c>
      <c r="D979" s="15" t="str">
        <f t="shared" si="15"/>
        <v>GPC APAC India JC - TPS</v>
      </c>
      <c r="E979" s="12" t="s">
        <v>126</v>
      </c>
      <c r="F979" s="12" t="s">
        <v>163</v>
      </c>
      <c r="G979" s="12" t="s">
        <v>164</v>
      </c>
      <c r="H979" s="12" t="s">
        <v>1025</v>
      </c>
      <c r="I979" s="12" t="s">
        <v>1026</v>
      </c>
    </row>
    <row r="980" spans="1:9">
      <c r="A980" s="14">
        <v>10918</v>
      </c>
      <c r="B980" s="14" t="s">
        <v>464</v>
      </c>
      <c r="C980" s="12" t="s">
        <v>185</v>
      </c>
      <c r="D980" s="15" t="str">
        <f t="shared" si="15"/>
        <v>GPC GL Allocation Process - TPS</v>
      </c>
      <c r="E980" s="12" t="s">
        <v>126</v>
      </c>
      <c r="F980" s="12" t="s">
        <v>163</v>
      </c>
      <c r="G980" s="12" t="s">
        <v>164</v>
      </c>
      <c r="H980" s="12" t="s">
        <v>1025</v>
      </c>
      <c r="I980" s="12" t="s">
        <v>1026</v>
      </c>
    </row>
    <row r="981" spans="1:9">
      <c r="A981" s="14">
        <v>10614</v>
      </c>
      <c r="B981" s="14" t="s">
        <v>273</v>
      </c>
      <c r="C981" s="12" t="s">
        <v>138</v>
      </c>
      <c r="D981" s="15" t="str">
        <f t="shared" si="15"/>
        <v>GPCNA - BOS</v>
      </c>
      <c r="E981" s="12" t="s">
        <v>126</v>
      </c>
      <c r="F981" s="12" t="s">
        <v>163</v>
      </c>
      <c r="G981" s="12" t="s">
        <v>164</v>
      </c>
      <c r="H981" s="12" t="s">
        <v>1025</v>
      </c>
      <c r="I981" s="12" t="s">
        <v>1026</v>
      </c>
    </row>
    <row r="982" spans="1:9">
      <c r="A982" s="14">
        <v>10614</v>
      </c>
      <c r="B982" s="14" t="s">
        <v>273</v>
      </c>
      <c r="C982" s="12" t="s">
        <v>306</v>
      </c>
      <c r="D982" s="15" t="str">
        <f t="shared" si="15"/>
        <v>GPCNA - FAO</v>
      </c>
      <c r="E982" s="12" t="s">
        <v>126</v>
      </c>
      <c r="F982" s="12" t="s">
        <v>163</v>
      </c>
      <c r="G982" s="12" t="s">
        <v>164</v>
      </c>
      <c r="H982" s="12" t="s">
        <v>1025</v>
      </c>
      <c r="I982" s="12" t="s">
        <v>1026</v>
      </c>
    </row>
    <row r="983" spans="1:9">
      <c r="A983" s="14">
        <v>10614</v>
      </c>
      <c r="B983" s="14" t="s">
        <v>273</v>
      </c>
      <c r="C983" s="12" t="s">
        <v>116</v>
      </c>
      <c r="D983" s="15" t="str">
        <f t="shared" si="15"/>
        <v>GPCNA - PRD</v>
      </c>
      <c r="E983" s="12" t="s">
        <v>126</v>
      </c>
      <c r="F983" s="12" t="s">
        <v>163</v>
      </c>
      <c r="G983" s="12" t="s">
        <v>164</v>
      </c>
      <c r="H983" s="12" t="s">
        <v>1025</v>
      </c>
      <c r="I983" s="12" t="s">
        <v>1026</v>
      </c>
    </row>
    <row r="984" spans="1:9">
      <c r="A984" s="14">
        <v>10614</v>
      </c>
      <c r="B984" s="14" t="s">
        <v>273</v>
      </c>
      <c r="C984" s="12" t="s">
        <v>185</v>
      </c>
      <c r="D984" s="15" t="str">
        <f t="shared" si="15"/>
        <v>GPCNA - TPS</v>
      </c>
      <c r="E984" s="12" t="s">
        <v>126</v>
      </c>
      <c r="F984" s="12" t="s">
        <v>163</v>
      </c>
      <c r="G984" s="12" t="s">
        <v>164</v>
      </c>
      <c r="H984" s="12" t="s">
        <v>1025</v>
      </c>
      <c r="I984" s="12" t="s">
        <v>1026</v>
      </c>
    </row>
    <row r="985" spans="1:9">
      <c r="A985" s="14">
        <v>12083</v>
      </c>
      <c r="B985" s="14" t="s">
        <v>508</v>
      </c>
      <c r="C985" s="12" t="s">
        <v>185</v>
      </c>
      <c r="D985" s="15" t="str">
        <f t="shared" si="15"/>
        <v>Grady - Anesthesia - TPS</v>
      </c>
      <c r="E985" s="12" t="s">
        <v>126</v>
      </c>
      <c r="F985" s="12" t="s">
        <v>237</v>
      </c>
      <c r="G985" s="12" t="s">
        <v>238</v>
      </c>
      <c r="H985" s="12" t="s">
        <v>1025</v>
      </c>
      <c r="I985" s="12" t="s">
        <v>1026</v>
      </c>
    </row>
    <row r="986" spans="1:9">
      <c r="A986" s="14">
        <v>10471</v>
      </c>
      <c r="B986" s="14" t="s">
        <v>241</v>
      </c>
      <c r="C986" s="12" t="s">
        <v>185</v>
      </c>
      <c r="D986" s="15" t="str">
        <f t="shared" si="15"/>
        <v>GST for Malaysia Airlines - TPS</v>
      </c>
      <c r="E986" s="12" t="s">
        <v>126</v>
      </c>
      <c r="F986" s="12" t="s">
        <v>163</v>
      </c>
      <c r="G986" s="12" t="s">
        <v>164</v>
      </c>
      <c r="H986" s="12" t="s">
        <v>1025</v>
      </c>
      <c r="I986" s="12" t="s">
        <v>1026</v>
      </c>
    </row>
    <row r="987" spans="1:9">
      <c r="A987" s="14">
        <v>95100</v>
      </c>
      <c r="B987" s="14" t="s">
        <v>415</v>
      </c>
      <c r="C987" s="12" t="s">
        <v>145</v>
      </c>
      <c r="D987" s="15" t="str">
        <f t="shared" si="15"/>
        <v>GTI - SUP</v>
      </c>
      <c r="E987" s="12" t="s">
        <v>104</v>
      </c>
      <c r="F987" s="12" t="s">
        <v>263</v>
      </c>
      <c r="G987" s="12" t="s">
        <v>264</v>
      </c>
      <c r="H987" s="12" t="s">
        <v>1025</v>
      </c>
      <c r="I987" s="12" t="s">
        <v>1026</v>
      </c>
    </row>
    <row r="988" spans="1:9">
      <c r="A988" s="14">
        <v>10690</v>
      </c>
      <c r="B988" s="14" t="s">
        <v>307</v>
      </c>
      <c r="C988" s="12" t="s">
        <v>185</v>
      </c>
      <c r="D988" s="15" t="str">
        <f t="shared" si="15"/>
        <v>Hagerty - Claims Data Entry - TPS</v>
      </c>
      <c r="E988" s="12" t="s">
        <v>117</v>
      </c>
      <c r="F988" s="12" t="s">
        <v>117</v>
      </c>
      <c r="G988" s="12" t="s">
        <v>117</v>
      </c>
      <c r="H988" s="12" t="s">
        <v>1025</v>
      </c>
      <c r="I988" s="12" t="s">
        <v>1026</v>
      </c>
    </row>
    <row r="989" spans="1:9">
      <c r="A989" s="14">
        <v>10654</v>
      </c>
      <c r="B989" s="14" t="s">
        <v>287</v>
      </c>
      <c r="C989" s="12" t="s">
        <v>150</v>
      </c>
      <c r="D989" s="15" t="str">
        <f t="shared" si="15"/>
        <v>Hagerty Insurance - CCS</v>
      </c>
      <c r="E989" s="12" t="s">
        <v>126</v>
      </c>
      <c r="F989" s="12" t="s">
        <v>163</v>
      </c>
      <c r="G989" s="12" t="s">
        <v>164</v>
      </c>
      <c r="H989" s="12" t="s">
        <v>1025</v>
      </c>
      <c r="I989" s="12" t="s">
        <v>1026</v>
      </c>
    </row>
    <row r="990" spans="1:9">
      <c r="A990" s="14">
        <v>10654</v>
      </c>
      <c r="B990" s="14" t="s">
        <v>287</v>
      </c>
      <c r="C990" s="12" t="s">
        <v>156</v>
      </c>
      <c r="D990" s="15" t="str">
        <f t="shared" si="15"/>
        <v>Hagerty Insurance - CLR</v>
      </c>
      <c r="E990" s="12" t="s">
        <v>126</v>
      </c>
      <c r="F990" s="12" t="s">
        <v>163</v>
      </c>
      <c r="G990" s="12" t="s">
        <v>164</v>
      </c>
      <c r="H990" s="12" t="s">
        <v>1025</v>
      </c>
      <c r="I990" s="12" t="s">
        <v>1026</v>
      </c>
    </row>
    <row r="991" spans="1:9">
      <c r="A991" s="14">
        <v>10654</v>
      </c>
      <c r="B991" s="14" t="s">
        <v>287</v>
      </c>
      <c r="C991" s="12" t="s">
        <v>161</v>
      </c>
      <c r="D991" s="15" t="str">
        <f t="shared" si="15"/>
        <v>Hagerty Insurance - ECC</v>
      </c>
      <c r="E991" s="12" t="s">
        <v>126</v>
      </c>
      <c r="F991" s="12" t="s">
        <v>163</v>
      </c>
      <c r="G991" s="12" t="s">
        <v>164</v>
      </c>
      <c r="H991" s="12" t="s">
        <v>1025</v>
      </c>
      <c r="I991" s="12" t="s">
        <v>1026</v>
      </c>
    </row>
    <row r="992" spans="1:9">
      <c r="A992" s="14">
        <v>10654</v>
      </c>
      <c r="B992" s="14" t="s">
        <v>287</v>
      </c>
      <c r="C992" s="12" t="s">
        <v>171</v>
      </c>
      <c r="D992" s="15" t="str">
        <f t="shared" si="15"/>
        <v>Hagerty Insurance - ETE</v>
      </c>
      <c r="E992" s="12" t="s">
        <v>126</v>
      </c>
      <c r="F992" s="12" t="s">
        <v>163</v>
      </c>
      <c r="G992" s="12" t="s">
        <v>164</v>
      </c>
      <c r="H992" s="12" t="s">
        <v>1025</v>
      </c>
      <c r="I992" s="12" t="s">
        <v>1026</v>
      </c>
    </row>
    <row r="993" spans="1:9">
      <c r="A993" s="14">
        <v>10654</v>
      </c>
      <c r="B993" s="14" t="s">
        <v>287</v>
      </c>
      <c r="C993" s="12" t="s">
        <v>145</v>
      </c>
      <c r="D993" s="15" t="str">
        <f t="shared" si="15"/>
        <v>Hagerty Insurance - SUP</v>
      </c>
      <c r="E993" s="12" t="s">
        <v>126</v>
      </c>
      <c r="F993" s="12" t="s">
        <v>163</v>
      </c>
      <c r="G993" s="12" t="s">
        <v>164</v>
      </c>
      <c r="H993" s="12" t="s">
        <v>1025</v>
      </c>
      <c r="I993" s="12" t="s">
        <v>1026</v>
      </c>
    </row>
    <row r="994" spans="1:9">
      <c r="A994" s="14">
        <v>10654</v>
      </c>
      <c r="B994" s="14" t="s">
        <v>287</v>
      </c>
      <c r="C994" s="12" t="s">
        <v>180</v>
      </c>
      <c r="D994" s="15" t="str">
        <f t="shared" si="15"/>
        <v>Hagerty Insurance - TMG</v>
      </c>
      <c r="E994" s="12" t="s">
        <v>126</v>
      </c>
      <c r="F994" s="12" t="s">
        <v>163</v>
      </c>
      <c r="G994" s="12" t="s">
        <v>164</v>
      </c>
      <c r="H994" s="12" t="s">
        <v>1025</v>
      </c>
      <c r="I994" s="12" t="s">
        <v>1026</v>
      </c>
    </row>
    <row r="995" spans="1:9">
      <c r="A995" s="14">
        <v>10654</v>
      </c>
      <c r="B995" s="14" t="s">
        <v>287</v>
      </c>
      <c r="C995" s="12" t="s">
        <v>185</v>
      </c>
      <c r="D995" s="15" t="str">
        <f t="shared" si="15"/>
        <v>Hagerty Insurance - TPS</v>
      </c>
      <c r="E995" s="12" t="s">
        <v>126</v>
      </c>
      <c r="F995" s="12" t="s">
        <v>163</v>
      </c>
      <c r="G995" s="12" t="s">
        <v>164</v>
      </c>
      <c r="H995" s="12" t="s">
        <v>1025</v>
      </c>
      <c r="I995" s="12" t="s">
        <v>1026</v>
      </c>
    </row>
    <row r="996" spans="1:9">
      <c r="A996" s="14">
        <v>10767</v>
      </c>
      <c r="B996" s="14" t="s">
        <v>368</v>
      </c>
      <c r="C996" s="12" t="s">
        <v>262</v>
      </c>
      <c r="D996" s="15" t="str">
        <f t="shared" si="15"/>
        <v>HahnAir_PRA_TiTan - GSI</v>
      </c>
      <c r="E996" s="12" t="s">
        <v>104</v>
      </c>
      <c r="F996" s="12" t="s">
        <v>117</v>
      </c>
      <c r="G996" s="12" t="s">
        <v>117</v>
      </c>
      <c r="H996" s="12" t="s">
        <v>1025</v>
      </c>
      <c r="I996" s="12" t="s">
        <v>1026</v>
      </c>
    </row>
    <row r="997" spans="1:9">
      <c r="A997" s="14">
        <v>10767</v>
      </c>
      <c r="B997" s="14" t="s">
        <v>368</v>
      </c>
      <c r="C997" s="12" t="s">
        <v>145</v>
      </c>
      <c r="D997" s="15" t="str">
        <f t="shared" si="15"/>
        <v>HahnAir_PRA_TiTan - SUP</v>
      </c>
      <c r="E997" s="12" t="s">
        <v>104</v>
      </c>
      <c r="F997" s="12" t="s">
        <v>117</v>
      </c>
      <c r="G997" s="12" t="s">
        <v>117</v>
      </c>
      <c r="H997" s="12" t="s">
        <v>1025</v>
      </c>
      <c r="I997" s="12" t="s">
        <v>1026</v>
      </c>
    </row>
    <row r="998" spans="1:9">
      <c r="A998" s="14">
        <v>10956</v>
      </c>
      <c r="B998" s="14" t="s">
        <v>489</v>
      </c>
      <c r="C998" s="12" t="s">
        <v>306</v>
      </c>
      <c r="D998" s="15" t="str">
        <f t="shared" si="15"/>
        <v>Harland Clarke FAO - FAO</v>
      </c>
      <c r="E998" s="12" t="s">
        <v>126</v>
      </c>
      <c r="F998" s="12" t="s">
        <v>163</v>
      </c>
      <c r="G998" s="12" t="s">
        <v>164</v>
      </c>
      <c r="H998" s="12" t="s">
        <v>1025</v>
      </c>
      <c r="I998" s="12" t="s">
        <v>1026</v>
      </c>
    </row>
    <row r="999" spans="1:9">
      <c r="A999" s="14">
        <v>10956</v>
      </c>
      <c r="B999" s="14" t="s">
        <v>489</v>
      </c>
      <c r="C999" s="12" t="s">
        <v>196</v>
      </c>
      <c r="D999" s="15" t="str">
        <f t="shared" si="15"/>
        <v>Harland Clarke FAO - SUT</v>
      </c>
      <c r="E999" s="12" t="s">
        <v>126</v>
      </c>
      <c r="F999" s="12" t="s">
        <v>163</v>
      </c>
      <c r="G999" s="12" t="s">
        <v>164</v>
      </c>
      <c r="H999" s="12" t="s">
        <v>1025</v>
      </c>
      <c r="I999" s="12" t="s">
        <v>1026</v>
      </c>
    </row>
    <row r="1000" spans="1:9">
      <c r="A1000" s="14">
        <v>10956</v>
      </c>
      <c r="B1000" s="14" t="s">
        <v>489</v>
      </c>
      <c r="C1000" s="12" t="s">
        <v>180</v>
      </c>
      <c r="D1000" s="15" t="str">
        <f t="shared" si="15"/>
        <v>Harland Clarke FAO - TMG</v>
      </c>
      <c r="E1000" s="12" t="s">
        <v>126</v>
      </c>
      <c r="F1000" s="12" t="s">
        <v>163</v>
      </c>
      <c r="G1000" s="12" t="s">
        <v>164</v>
      </c>
      <c r="H1000" s="12" t="s">
        <v>1025</v>
      </c>
      <c r="I1000" s="12" t="s">
        <v>1026</v>
      </c>
    </row>
    <row r="1001" spans="1:9">
      <c r="A1001" s="14">
        <v>10956</v>
      </c>
      <c r="B1001" s="14" t="s">
        <v>489</v>
      </c>
      <c r="C1001" s="12" t="s">
        <v>185</v>
      </c>
      <c r="D1001" s="15" t="str">
        <f t="shared" si="15"/>
        <v>Harland Clarke FAO - TPS</v>
      </c>
      <c r="E1001" s="12" t="s">
        <v>126</v>
      </c>
      <c r="F1001" s="12" t="s">
        <v>163</v>
      </c>
      <c r="G1001" s="12" t="s">
        <v>164</v>
      </c>
      <c r="H1001" s="12" t="s">
        <v>1025</v>
      </c>
      <c r="I1001" s="12" t="s">
        <v>1026</v>
      </c>
    </row>
    <row r="1002" spans="1:9">
      <c r="A1002" s="14">
        <v>20510</v>
      </c>
      <c r="B1002" s="14" t="s">
        <v>638</v>
      </c>
      <c r="C1002" s="12" t="s">
        <v>145</v>
      </c>
      <c r="D1002" s="15" t="str">
        <f t="shared" si="15"/>
        <v>Hartford CAT Modeling Support - SUP</v>
      </c>
      <c r="E1002" s="12" t="s">
        <v>126</v>
      </c>
      <c r="F1002" s="12" t="s">
        <v>890</v>
      </c>
      <c r="G1002" s="12" t="s">
        <v>890</v>
      </c>
      <c r="H1002" s="12" t="s">
        <v>1025</v>
      </c>
      <c r="I1002" s="12" t="s">
        <v>1026</v>
      </c>
    </row>
    <row r="1003" spans="1:9">
      <c r="A1003" s="14">
        <v>20510</v>
      </c>
      <c r="B1003" s="14" t="s">
        <v>638</v>
      </c>
      <c r="C1003" s="12" t="s">
        <v>185</v>
      </c>
      <c r="D1003" s="15" t="str">
        <f t="shared" si="15"/>
        <v>Hartford CAT Modeling Support - TPS</v>
      </c>
      <c r="E1003" s="12" t="s">
        <v>126</v>
      </c>
      <c r="F1003" s="12" t="s">
        <v>890</v>
      </c>
      <c r="G1003" s="12" t="s">
        <v>890</v>
      </c>
      <c r="H1003" s="12" t="s">
        <v>1025</v>
      </c>
      <c r="I1003" s="12" t="s">
        <v>1026</v>
      </c>
    </row>
    <row r="1004" spans="1:9">
      <c r="A1004" s="14">
        <v>86231</v>
      </c>
      <c r="B1004" s="14" t="s">
        <v>591</v>
      </c>
      <c r="C1004" s="12" t="s">
        <v>145</v>
      </c>
      <c r="D1004" s="15" t="str">
        <f t="shared" si="15"/>
        <v>HDE – Coding - SUP</v>
      </c>
      <c r="E1004" s="12" t="s">
        <v>117</v>
      </c>
      <c r="F1004" s="12" t="s">
        <v>117</v>
      </c>
      <c r="G1004" s="12" t="s">
        <v>117</v>
      </c>
      <c r="H1004" s="12" t="s">
        <v>1025</v>
      </c>
      <c r="I1004" s="12" t="s">
        <v>1026</v>
      </c>
    </row>
    <row r="1005" spans="1:9">
      <c r="A1005" s="14">
        <v>86229</v>
      </c>
      <c r="B1005" s="14" t="s">
        <v>593</v>
      </c>
      <c r="C1005" s="12" t="s">
        <v>116</v>
      </c>
      <c r="D1005" s="15" t="str">
        <f t="shared" si="15"/>
        <v>HDE – Hospital - PRD</v>
      </c>
      <c r="E1005" s="12" t="s">
        <v>117</v>
      </c>
      <c r="F1005" s="12" t="s">
        <v>117</v>
      </c>
      <c r="G1005" s="12" t="s">
        <v>117</v>
      </c>
      <c r="H1005" s="12" t="s">
        <v>1025</v>
      </c>
      <c r="I1005" s="12" t="s">
        <v>1026</v>
      </c>
    </row>
    <row r="1006" spans="1:9">
      <c r="A1006" s="14">
        <v>86229</v>
      </c>
      <c r="B1006" s="14" t="s">
        <v>593</v>
      </c>
      <c r="C1006" s="12" t="s">
        <v>145</v>
      </c>
      <c r="D1006" s="15" t="str">
        <f t="shared" si="15"/>
        <v>HDE – Hospital - SUP</v>
      </c>
      <c r="E1006" s="12" t="s">
        <v>117</v>
      </c>
      <c r="F1006" s="12" t="s">
        <v>117</v>
      </c>
      <c r="G1006" s="12" t="s">
        <v>117</v>
      </c>
      <c r="H1006" s="12" t="s">
        <v>1025</v>
      </c>
      <c r="I1006" s="12" t="s">
        <v>1026</v>
      </c>
    </row>
    <row r="1007" spans="1:9">
      <c r="A1007" s="14">
        <v>86234</v>
      </c>
      <c r="B1007" s="14" t="s">
        <v>594</v>
      </c>
      <c r="C1007" s="12" t="s">
        <v>116</v>
      </c>
      <c r="D1007" s="15" t="str">
        <f t="shared" si="15"/>
        <v>HDE – Payer BLM - PRD</v>
      </c>
      <c r="E1007" s="12" t="s">
        <v>117</v>
      </c>
      <c r="F1007" s="12" t="s">
        <v>117</v>
      </c>
      <c r="G1007" s="12" t="s">
        <v>117</v>
      </c>
      <c r="H1007" s="12" t="s">
        <v>1025</v>
      </c>
      <c r="I1007" s="12" t="s">
        <v>1026</v>
      </c>
    </row>
    <row r="1008" spans="1:9">
      <c r="A1008" s="14">
        <v>86234</v>
      </c>
      <c r="B1008" s="14" t="s">
        <v>594</v>
      </c>
      <c r="C1008" s="12" t="s">
        <v>145</v>
      </c>
      <c r="D1008" s="15" t="str">
        <f t="shared" si="15"/>
        <v>HDE – Payer BLM - SUP</v>
      </c>
      <c r="E1008" s="12" t="s">
        <v>117</v>
      </c>
      <c r="F1008" s="12" t="s">
        <v>117</v>
      </c>
      <c r="G1008" s="12" t="s">
        <v>117</v>
      </c>
      <c r="H1008" s="12" t="s">
        <v>1025</v>
      </c>
      <c r="I1008" s="12" t="s">
        <v>1026</v>
      </c>
    </row>
    <row r="1009" spans="1:9">
      <c r="A1009" s="14">
        <v>86230</v>
      </c>
      <c r="B1009" s="14" t="s">
        <v>596</v>
      </c>
      <c r="C1009" s="12" t="s">
        <v>597</v>
      </c>
      <c r="D1009" s="15" t="str">
        <f t="shared" si="15"/>
        <v>HDE – RCMS - BAS</v>
      </c>
      <c r="E1009" s="12" t="s">
        <v>117</v>
      </c>
      <c r="F1009" s="12" t="s">
        <v>117</v>
      </c>
      <c r="G1009" s="12" t="s">
        <v>117</v>
      </c>
      <c r="H1009" s="12" t="s">
        <v>1025</v>
      </c>
      <c r="I1009" s="12" t="s">
        <v>1026</v>
      </c>
    </row>
    <row r="1010" spans="1:9">
      <c r="A1010" s="14">
        <v>86230</v>
      </c>
      <c r="B1010" s="14" t="s">
        <v>596</v>
      </c>
      <c r="C1010" s="12" t="s">
        <v>129</v>
      </c>
      <c r="D1010" s="15" t="str">
        <f t="shared" si="15"/>
        <v>HDE – RCMS - MGT</v>
      </c>
      <c r="E1010" s="12" t="s">
        <v>117</v>
      </c>
      <c r="F1010" s="12" t="s">
        <v>117</v>
      </c>
      <c r="G1010" s="12" t="s">
        <v>117</v>
      </c>
      <c r="H1010" s="12" t="s">
        <v>1025</v>
      </c>
      <c r="I1010" s="12" t="s">
        <v>1026</v>
      </c>
    </row>
    <row r="1011" spans="1:9">
      <c r="A1011" s="14">
        <v>86230</v>
      </c>
      <c r="B1011" s="14" t="s">
        <v>596</v>
      </c>
      <c r="C1011" s="12" t="s">
        <v>116</v>
      </c>
      <c r="D1011" s="15" t="str">
        <f t="shared" si="15"/>
        <v>HDE – RCMS - PRD</v>
      </c>
      <c r="E1011" s="12" t="s">
        <v>117</v>
      </c>
      <c r="F1011" s="12" t="s">
        <v>117</v>
      </c>
      <c r="G1011" s="12" t="s">
        <v>117</v>
      </c>
      <c r="H1011" s="12" t="s">
        <v>1025</v>
      </c>
      <c r="I1011" s="12" t="s">
        <v>1026</v>
      </c>
    </row>
    <row r="1012" spans="1:9">
      <c r="A1012" s="14">
        <v>86230</v>
      </c>
      <c r="B1012" s="14" t="s">
        <v>596</v>
      </c>
      <c r="C1012" s="12" t="s">
        <v>145</v>
      </c>
      <c r="D1012" s="15" t="str">
        <f t="shared" si="15"/>
        <v>HDE – RCMS - SUP</v>
      </c>
      <c r="E1012" s="12" t="s">
        <v>117</v>
      </c>
      <c r="F1012" s="12" t="s">
        <v>117</v>
      </c>
      <c r="G1012" s="12" t="s">
        <v>117</v>
      </c>
      <c r="H1012" s="12" t="s">
        <v>1025</v>
      </c>
      <c r="I1012" s="12" t="s">
        <v>1026</v>
      </c>
    </row>
    <row r="1013" spans="1:9">
      <c r="A1013" s="14">
        <v>86230</v>
      </c>
      <c r="B1013" s="14" t="s">
        <v>596</v>
      </c>
      <c r="C1013" s="12" t="s">
        <v>180</v>
      </c>
      <c r="D1013" s="15" t="str">
        <f t="shared" si="15"/>
        <v>HDE – RCMS - TMG</v>
      </c>
      <c r="E1013" s="12" t="s">
        <v>117</v>
      </c>
      <c r="F1013" s="12" t="s">
        <v>117</v>
      </c>
      <c r="G1013" s="12" t="s">
        <v>117</v>
      </c>
      <c r="H1013" s="12" t="s">
        <v>1025</v>
      </c>
      <c r="I1013" s="12" t="s">
        <v>1026</v>
      </c>
    </row>
    <row r="1014" spans="1:9">
      <c r="A1014" s="14">
        <v>12388</v>
      </c>
      <c r="B1014" s="14" t="s">
        <v>538</v>
      </c>
      <c r="C1014" s="12" t="s">
        <v>116</v>
      </c>
      <c r="D1014" s="15" t="str">
        <f t="shared" si="15"/>
        <v>HealthFirst - Claims_Onshore - PRD</v>
      </c>
      <c r="E1014" s="12" t="s">
        <v>126</v>
      </c>
      <c r="F1014" s="12" t="s">
        <v>163</v>
      </c>
      <c r="G1014" s="12" t="s">
        <v>164</v>
      </c>
      <c r="H1014" s="12" t="s">
        <v>1025</v>
      </c>
      <c r="I1014" s="12" t="s">
        <v>1026</v>
      </c>
    </row>
    <row r="1015" spans="1:9">
      <c r="A1015" s="14">
        <v>12388</v>
      </c>
      <c r="B1015" s="14" t="s">
        <v>538</v>
      </c>
      <c r="C1015" s="12" t="s">
        <v>145</v>
      </c>
      <c r="D1015" s="15" t="str">
        <f t="shared" si="15"/>
        <v>HealthFirst - Claims_Onshore - SUP</v>
      </c>
      <c r="E1015" s="12" t="s">
        <v>126</v>
      </c>
      <c r="F1015" s="12" t="s">
        <v>163</v>
      </c>
      <c r="G1015" s="12" t="s">
        <v>164</v>
      </c>
      <c r="H1015" s="12" t="s">
        <v>1025</v>
      </c>
      <c r="I1015" s="12" t="s">
        <v>1026</v>
      </c>
    </row>
    <row r="1016" spans="1:9">
      <c r="A1016" s="14">
        <v>12382</v>
      </c>
      <c r="B1016" s="14" t="s">
        <v>537</v>
      </c>
      <c r="C1016" s="12" t="s">
        <v>116</v>
      </c>
      <c r="D1016" s="15" t="str">
        <f t="shared" si="15"/>
        <v>Healthfirst - E&amp;B Offshore - PRD</v>
      </c>
      <c r="E1016" s="12" t="s">
        <v>126</v>
      </c>
      <c r="F1016" s="12" t="s">
        <v>163</v>
      </c>
      <c r="G1016" s="12" t="s">
        <v>164</v>
      </c>
      <c r="H1016" s="12" t="s">
        <v>1025</v>
      </c>
      <c r="I1016" s="12" t="s">
        <v>1026</v>
      </c>
    </row>
    <row r="1017" spans="1:9">
      <c r="A1017" s="14">
        <v>12382</v>
      </c>
      <c r="B1017" s="14" t="s">
        <v>537</v>
      </c>
      <c r="C1017" s="12" t="s">
        <v>230</v>
      </c>
      <c r="D1017" s="15" t="str">
        <f t="shared" si="15"/>
        <v>Healthfirst - E&amp;B Offshore - PRSP</v>
      </c>
      <c r="E1017" s="12" t="s">
        <v>126</v>
      </c>
      <c r="F1017" s="12" t="s">
        <v>163</v>
      </c>
      <c r="G1017" s="12" t="s">
        <v>164</v>
      </c>
      <c r="H1017" s="12" t="s">
        <v>1025</v>
      </c>
      <c r="I1017" s="12" t="s">
        <v>1026</v>
      </c>
    </row>
    <row r="1018" spans="1:9">
      <c r="A1018" s="14">
        <v>12382</v>
      </c>
      <c r="B1018" s="14" t="s">
        <v>537</v>
      </c>
      <c r="C1018" s="12" t="s">
        <v>111</v>
      </c>
      <c r="D1018" s="15" t="str">
        <f t="shared" si="15"/>
        <v>Healthfirst - E&amp;B Offshore - QLY</v>
      </c>
      <c r="E1018" s="12" t="s">
        <v>112</v>
      </c>
      <c r="F1018" s="12" t="s">
        <v>113</v>
      </c>
      <c r="G1018" s="12" t="s">
        <v>114</v>
      </c>
      <c r="H1018" s="12" t="s">
        <v>1025</v>
      </c>
      <c r="I1018" s="12" t="s">
        <v>1026</v>
      </c>
    </row>
    <row r="1019" spans="1:9">
      <c r="A1019" s="14">
        <v>12382</v>
      </c>
      <c r="B1019" s="14" t="s">
        <v>537</v>
      </c>
      <c r="C1019" s="12" t="s">
        <v>180</v>
      </c>
      <c r="D1019" s="15" t="str">
        <f t="shared" si="15"/>
        <v>Healthfirst - E&amp;B Offshore - TMG</v>
      </c>
      <c r="E1019" s="12" t="s">
        <v>126</v>
      </c>
      <c r="F1019" s="12" t="s">
        <v>163</v>
      </c>
      <c r="G1019" s="12" t="s">
        <v>164</v>
      </c>
      <c r="H1019" s="12" t="s">
        <v>1025</v>
      </c>
      <c r="I1019" s="12" t="s">
        <v>1026</v>
      </c>
    </row>
    <row r="1020" spans="1:9">
      <c r="A1020" s="14">
        <v>12382</v>
      </c>
      <c r="B1020" s="14" t="s">
        <v>537</v>
      </c>
      <c r="C1020" s="12" t="s">
        <v>185</v>
      </c>
      <c r="D1020" s="15" t="str">
        <f t="shared" si="15"/>
        <v>Healthfirst - E&amp;B Offshore - TPS</v>
      </c>
      <c r="E1020" s="12" t="s">
        <v>126</v>
      </c>
      <c r="F1020" s="12" t="s">
        <v>163</v>
      </c>
      <c r="G1020" s="12" t="s">
        <v>164</v>
      </c>
      <c r="H1020" s="12" t="s">
        <v>1025</v>
      </c>
      <c r="I1020" s="12" t="s">
        <v>1026</v>
      </c>
    </row>
    <row r="1021" spans="1:9">
      <c r="A1021" s="14">
        <v>12466</v>
      </c>
      <c r="B1021" s="14" t="s">
        <v>559</v>
      </c>
      <c r="C1021" s="12" t="s">
        <v>116</v>
      </c>
      <c r="D1021" s="15" t="str">
        <f t="shared" si="15"/>
        <v>Healthfirst DME Re-Auth - PRD</v>
      </c>
      <c r="E1021" s="12" t="s">
        <v>126</v>
      </c>
      <c r="F1021" s="12" t="s">
        <v>163</v>
      </c>
      <c r="G1021" s="12" t="s">
        <v>164</v>
      </c>
      <c r="H1021" s="12" t="s">
        <v>1025</v>
      </c>
      <c r="I1021" s="12" t="s">
        <v>1026</v>
      </c>
    </row>
    <row r="1022" spans="1:9">
      <c r="A1022" s="14">
        <v>12466</v>
      </c>
      <c r="B1022" s="14" t="s">
        <v>559</v>
      </c>
      <c r="C1022" s="12" t="s">
        <v>172</v>
      </c>
      <c r="D1022" s="15" t="str">
        <f t="shared" si="15"/>
        <v>Healthfirst DME Re-Auth - SME</v>
      </c>
      <c r="E1022" s="12" t="s">
        <v>126</v>
      </c>
      <c r="F1022" s="12" t="s">
        <v>163</v>
      </c>
      <c r="G1022" s="12" t="s">
        <v>164</v>
      </c>
      <c r="H1022" s="12" t="s">
        <v>1025</v>
      </c>
      <c r="I1022" s="12" t="s">
        <v>1026</v>
      </c>
    </row>
    <row r="1023" spans="1:9">
      <c r="A1023" s="14">
        <v>12466</v>
      </c>
      <c r="B1023" s="14" t="s">
        <v>559</v>
      </c>
      <c r="C1023" s="12" t="s">
        <v>180</v>
      </c>
      <c r="D1023" s="15" t="str">
        <f t="shared" si="15"/>
        <v>Healthfirst DME Re-Auth - TMG</v>
      </c>
      <c r="E1023" s="12" t="s">
        <v>126</v>
      </c>
      <c r="F1023" s="12" t="s">
        <v>163</v>
      </c>
      <c r="G1023" s="12" t="s">
        <v>164</v>
      </c>
      <c r="H1023" s="12" t="s">
        <v>1025</v>
      </c>
      <c r="I1023" s="12" t="s">
        <v>1026</v>
      </c>
    </row>
    <row r="1024" spans="1:9">
      <c r="A1024" s="14">
        <v>12466</v>
      </c>
      <c r="B1024" s="14" t="s">
        <v>559</v>
      </c>
      <c r="C1024" s="12" t="s">
        <v>185</v>
      </c>
      <c r="D1024" s="15" t="str">
        <f t="shared" si="15"/>
        <v>Healthfirst DME Re-Auth - TPS</v>
      </c>
      <c r="E1024" s="12" t="s">
        <v>126</v>
      </c>
      <c r="F1024" s="12" t="s">
        <v>163</v>
      </c>
      <c r="G1024" s="12" t="s">
        <v>164</v>
      </c>
      <c r="H1024" s="12" t="s">
        <v>1025</v>
      </c>
      <c r="I1024" s="12" t="s">
        <v>1026</v>
      </c>
    </row>
    <row r="1025" spans="1:9">
      <c r="A1025" s="14">
        <v>12455</v>
      </c>
      <c r="B1025" s="14" t="s">
        <v>557</v>
      </c>
      <c r="C1025" s="12" t="s">
        <v>230</v>
      </c>
      <c r="D1025" s="15" t="str">
        <f t="shared" si="15"/>
        <v>Healthfirst OSS Support - PRSP</v>
      </c>
      <c r="E1025" s="12" t="s">
        <v>126</v>
      </c>
      <c r="F1025" s="12" t="s">
        <v>163</v>
      </c>
      <c r="G1025" s="12" t="s">
        <v>164</v>
      </c>
      <c r="H1025" s="12" t="s">
        <v>1025</v>
      </c>
      <c r="I1025" s="12" t="s">
        <v>1026</v>
      </c>
    </row>
    <row r="1026" spans="1:9">
      <c r="A1026" s="14">
        <v>12455</v>
      </c>
      <c r="B1026" s="14" t="s">
        <v>557</v>
      </c>
      <c r="C1026" s="12" t="s">
        <v>185</v>
      </c>
      <c r="D1026" s="15" t="str">
        <f t="shared" ref="D1026:D1089" si="16">B1026&amp;" - "&amp;C1026</f>
        <v>Healthfirst OSS Support - TPS</v>
      </c>
      <c r="E1026" s="12" t="s">
        <v>126</v>
      </c>
      <c r="F1026" s="12" t="s">
        <v>163</v>
      </c>
      <c r="G1026" s="12" t="s">
        <v>164</v>
      </c>
      <c r="H1026" s="12" t="s">
        <v>1025</v>
      </c>
      <c r="I1026" s="12" t="s">
        <v>1026</v>
      </c>
    </row>
    <row r="1027" spans="1:9">
      <c r="A1027" s="14">
        <v>10817</v>
      </c>
      <c r="B1027" s="14" t="s">
        <v>397</v>
      </c>
      <c r="C1027" s="12" t="s">
        <v>150</v>
      </c>
      <c r="D1027" s="15" t="str">
        <f t="shared" si="16"/>
        <v>Hilton Hindi LOB - CCS</v>
      </c>
      <c r="E1027" s="12" t="s">
        <v>126</v>
      </c>
      <c r="F1027" s="12" t="s">
        <v>127</v>
      </c>
      <c r="G1027" s="12" t="s">
        <v>128</v>
      </c>
      <c r="H1027" s="12" t="s">
        <v>1025</v>
      </c>
      <c r="I1027" s="12" t="s">
        <v>1026</v>
      </c>
    </row>
    <row r="1028" spans="1:9">
      <c r="A1028" s="14">
        <v>10817</v>
      </c>
      <c r="B1028" s="14" t="s">
        <v>397</v>
      </c>
      <c r="C1028" s="12" t="s">
        <v>161</v>
      </c>
      <c r="D1028" s="15" t="str">
        <f t="shared" si="16"/>
        <v>Hilton Hindi LOB - ECC</v>
      </c>
      <c r="E1028" s="12" t="s">
        <v>126</v>
      </c>
      <c r="F1028" s="12" t="s">
        <v>127</v>
      </c>
      <c r="G1028" s="12" t="s">
        <v>128</v>
      </c>
      <c r="H1028" s="12" t="s">
        <v>1025</v>
      </c>
      <c r="I1028" s="12" t="s">
        <v>1026</v>
      </c>
    </row>
    <row r="1029" spans="1:9">
      <c r="A1029" s="14">
        <v>12609</v>
      </c>
      <c r="B1029" s="14" t="s">
        <v>600</v>
      </c>
      <c r="C1029" s="12" t="s">
        <v>116</v>
      </c>
      <c r="D1029" s="15" t="str">
        <f t="shared" si="16"/>
        <v>Hinge Health - PRD</v>
      </c>
      <c r="E1029" s="12" t="s">
        <v>117</v>
      </c>
      <c r="F1029" s="12" t="s">
        <v>117</v>
      </c>
      <c r="G1029" s="12" t="s">
        <v>117</v>
      </c>
      <c r="H1029" s="12" t="s">
        <v>1025</v>
      </c>
      <c r="I1029" s="12" t="s">
        <v>1026</v>
      </c>
    </row>
    <row r="1030" spans="1:9">
      <c r="A1030" s="14">
        <v>20460</v>
      </c>
      <c r="B1030" s="14" t="s">
        <v>637</v>
      </c>
      <c r="C1030" s="12" t="s">
        <v>185</v>
      </c>
      <c r="D1030" s="15" t="str">
        <f t="shared" si="16"/>
        <v>Hiscox Inbound Support - TPS</v>
      </c>
      <c r="E1030" s="12" t="s">
        <v>126</v>
      </c>
      <c r="F1030" s="12" t="s">
        <v>163</v>
      </c>
      <c r="G1030" s="12" t="s">
        <v>164</v>
      </c>
      <c r="H1030" s="12" t="s">
        <v>1025</v>
      </c>
      <c r="I1030" s="12" t="s">
        <v>1026</v>
      </c>
    </row>
    <row r="1031" spans="1:9">
      <c r="A1031" s="14">
        <v>10041</v>
      </c>
      <c r="B1031" s="14" t="s">
        <v>194</v>
      </c>
      <c r="C1031" s="12" t="s">
        <v>185</v>
      </c>
      <c r="D1031" s="15" t="str">
        <f t="shared" si="16"/>
        <v>Hiscox_Ops Services_India - TPS</v>
      </c>
      <c r="E1031" s="12" t="s">
        <v>126</v>
      </c>
      <c r="F1031" s="12" t="s">
        <v>163</v>
      </c>
      <c r="G1031" s="12" t="s">
        <v>164</v>
      </c>
      <c r="H1031" s="12" t="s">
        <v>1025</v>
      </c>
      <c r="I1031" s="12" t="s">
        <v>1026</v>
      </c>
    </row>
    <row r="1032" spans="1:9">
      <c r="A1032" s="14">
        <v>51144</v>
      </c>
      <c r="B1032" s="14" t="s">
        <v>712</v>
      </c>
      <c r="C1032" s="12" t="s">
        <v>116</v>
      </c>
      <c r="D1032" s="15" t="str">
        <f t="shared" si="16"/>
        <v>Hollander-EBSSupport - PRD</v>
      </c>
      <c r="E1032" s="12" t="s">
        <v>117</v>
      </c>
      <c r="F1032" s="12" t="s">
        <v>117</v>
      </c>
      <c r="G1032" s="12" t="s">
        <v>117</v>
      </c>
      <c r="H1032" s="12" t="s">
        <v>1025</v>
      </c>
      <c r="I1032" s="12" t="s">
        <v>1026</v>
      </c>
    </row>
    <row r="1033" spans="1:9">
      <c r="A1033" s="14">
        <v>96737</v>
      </c>
      <c r="B1033" s="14" t="s">
        <v>614</v>
      </c>
      <c r="C1033" s="12" t="s">
        <v>139</v>
      </c>
      <c r="D1033" s="15" t="str">
        <f t="shared" si="16"/>
        <v>Horizontal Business Finance - SMGT</v>
      </c>
      <c r="E1033" s="12" t="s">
        <v>104</v>
      </c>
      <c r="F1033" s="12" t="s">
        <v>122</v>
      </c>
      <c r="G1033" s="12" t="s">
        <v>114</v>
      </c>
      <c r="H1033" s="12" t="s">
        <v>1025</v>
      </c>
      <c r="I1033" s="12" t="s">
        <v>1026</v>
      </c>
    </row>
    <row r="1034" spans="1:9">
      <c r="A1034" s="14">
        <v>96737</v>
      </c>
      <c r="B1034" s="14" t="s">
        <v>614</v>
      </c>
      <c r="C1034" s="12" t="s">
        <v>145</v>
      </c>
      <c r="D1034" s="15" t="str">
        <f t="shared" si="16"/>
        <v>Horizontal Business Finance - SUP</v>
      </c>
      <c r="E1034" s="12" t="s">
        <v>104</v>
      </c>
      <c r="F1034" s="12" t="s">
        <v>122</v>
      </c>
      <c r="G1034" s="12" t="s">
        <v>114</v>
      </c>
      <c r="H1034" s="12" t="s">
        <v>1025</v>
      </c>
      <c r="I1034" s="12" t="s">
        <v>1026</v>
      </c>
    </row>
    <row r="1035" spans="1:9">
      <c r="A1035" s="14">
        <v>10721</v>
      </c>
      <c r="B1035" s="14" t="s">
        <v>334</v>
      </c>
      <c r="C1035" s="12" t="s">
        <v>133</v>
      </c>
      <c r="D1035" s="15" t="str">
        <f t="shared" si="16"/>
        <v>Hotstar Digital Chat CS IND - AMG</v>
      </c>
      <c r="E1035" s="12" t="s">
        <v>126</v>
      </c>
      <c r="F1035" s="12" t="s">
        <v>127</v>
      </c>
      <c r="G1035" s="12" t="s">
        <v>128</v>
      </c>
      <c r="H1035" s="12" t="s">
        <v>1025</v>
      </c>
      <c r="I1035" s="12" t="s">
        <v>1026</v>
      </c>
    </row>
    <row r="1036" spans="1:9">
      <c r="A1036" s="14">
        <v>10721</v>
      </c>
      <c r="B1036" s="14" t="s">
        <v>334</v>
      </c>
      <c r="C1036" s="12" t="s">
        <v>150</v>
      </c>
      <c r="D1036" s="15" t="str">
        <f t="shared" si="16"/>
        <v>Hotstar Digital Chat CS IND - CCS</v>
      </c>
      <c r="E1036" s="12" t="s">
        <v>126</v>
      </c>
      <c r="F1036" s="12" t="s">
        <v>127</v>
      </c>
      <c r="G1036" s="12" t="s">
        <v>128</v>
      </c>
      <c r="H1036" s="12" t="s">
        <v>1025</v>
      </c>
      <c r="I1036" s="12" t="s">
        <v>1026</v>
      </c>
    </row>
    <row r="1037" spans="1:9">
      <c r="A1037" s="14">
        <v>10721</v>
      </c>
      <c r="B1037" s="14" t="s">
        <v>334</v>
      </c>
      <c r="C1037" s="12" t="s">
        <v>161</v>
      </c>
      <c r="D1037" s="15" t="str">
        <f t="shared" si="16"/>
        <v>Hotstar Digital Chat CS IND - ECC</v>
      </c>
      <c r="E1037" s="12" t="s">
        <v>126</v>
      </c>
      <c r="F1037" s="12" t="s">
        <v>178</v>
      </c>
      <c r="G1037" s="12" t="s">
        <v>128</v>
      </c>
      <c r="H1037" s="12" t="s">
        <v>1025</v>
      </c>
      <c r="I1037" s="12" t="s">
        <v>1026</v>
      </c>
    </row>
    <row r="1038" spans="1:9">
      <c r="A1038" s="14">
        <v>10721</v>
      </c>
      <c r="B1038" s="14" t="s">
        <v>334</v>
      </c>
      <c r="C1038" s="12" t="s">
        <v>129</v>
      </c>
      <c r="D1038" s="15" t="str">
        <f t="shared" si="16"/>
        <v>Hotstar Digital Chat CS IND - MGT</v>
      </c>
      <c r="E1038" s="12" t="s">
        <v>126</v>
      </c>
      <c r="F1038" s="12" t="s">
        <v>127</v>
      </c>
      <c r="G1038" s="12" t="s">
        <v>128</v>
      </c>
      <c r="H1038" s="12" t="s">
        <v>1025</v>
      </c>
      <c r="I1038" s="12" t="s">
        <v>1026</v>
      </c>
    </row>
    <row r="1039" spans="1:9">
      <c r="A1039" s="14">
        <v>10721</v>
      </c>
      <c r="B1039" s="14" t="s">
        <v>334</v>
      </c>
      <c r="C1039" s="12" t="s">
        <v>116</v>
      </c>
      <c r="D1039" s="15" t="str">
        <f t="shared" si="16"/>
        <v>Hotstar Digital Chat CS IND - PRD</v>
      </c>
      <c r="E1039" s="12" t="s">
        <v>126</v>
      </c>
      <c r="F1039" s="12" t="s">
        <v>178</v>
      </c>
      <c r="G1039" s="12" t="s">
        <v>128</v>
      </c>
      <c r="H1039" s="12" t="s">
        <v>1025</v>
      </c>
      <c r="I1039" s="12" t="s">
        <v>1026</v>
      </c>
    </row>
    <row r="1040" spans="1:9">
      <c r="A1040" s="14">
        <v>10721</v>
      </c>
      <c r="B1040" s="14" t="s">
        <v>334</v>
      </c>
      <c r="C1040" s="12" t="s">
        <v>111</v>
      </c>
      <c r="D1040" s="15" t="str">
        <f t="shared" si="16"/>
        <v>Hotstar Digital Chat CS IND - QLY</v>
      </c>
      <c r="E1040" s="12" t="s">
        <v>112</v>
      </c>
      <c r="F1040" s="12" t="s">
        <v>113</v>
      </c>
      <c r="G1040" s="12" t="s">
        <v>114</v>
      </c>
      <c r="H1040" s="12" t="s">
        <v>1025</v>
      </c>
      <c r="I1040" s="12" t="s">
        <v>1026</v>
      </c>
    </row>
    <row r="1041" spans="1:9">
      <c r="A1041" s="14">
        <v>10721</v>
      </c>
      <c r="B1041" s="14" t="s">
        <v>334</v>
      </c>
      <c r="C1041" s="12" t="s">
        <v>145</v>
      </c>
      <c r="D1041" s="15" t="str">
        <f t="shared" si="16"/>
        <v>Hotstar Digital Chat CS IND - SUP</v>
      </c>
      <c r="E1041" s="12" t="s">
        <v>126</v>
      </c>
      <c r="F1041" s="12" t="s">
        <v>178</v>
      </c>
      <c r="G1041" s="12" t="s">
        <v>128</v>
      </c>
      <c r="H1041" s="12" t="s">
        <v>1025</v>
      </c>
      <c r="I1041" s="12" t="s">
        <v>1026</v>
      </c>
    </row>
    <row r="1042" spans="1:9">
      <c r="A1042" s="14">
        <v>10721</v>
      </c>
      <c r="B1042" s="14" t="s">
        <v>334</v>
      </c>
      <c r="C1042" s="12" t="s">
        <v>180</v>
      </c>
      <c r="D1042" s="15" t="str">
        <f t="shared" si="16"/>
        <v>Hotstar Digital Chat CS IND - TMG</v>
      </c>
      <c r="E1042" s="12" t="s">
        <v>126</v>
      </c>
      <c r="F1042" s="12" t="s">
        <v>178</v>
      </c>
      <c r="G1042" s="12" t="s">
        <v>128</v>
      </c>
      <c r="H1042" s="12" t="s">
        <v>1025</v>
      </c>
      <c r="I1042" s="12" t="s">
        <v>1026</v>
      </c>
    </row>
    <row r="1043" spans="1:9">
      <c r="A1043" s="14">
        <v>10721</v>
      </c>
      <c r="B1043" s="14" t="s">
        <v>334</v>
      </c>
      <c r="C1043" s="12" t="s">
        <v>185</v>
      </c>
      <c r="D1043" s="15" t="str">
        <f t="shared" si="16"/>
        <v>Hotstar Digital Chat CS IND - TPS</v>
      </c>
      <c r="E1043" s="12" t="s">
        <v>126</v>
      </c>
      <c r="F1043" s="12" t="s">
        <v>178</v>
      </c>
      <c r="G1043" s="12" t="s">
        <v>128</v>
      </c>
      <c r="H1043" s="12" t="s">
        <v>1025</v>
      </c>
      <c r="I1043" s="12" t="s">
        <v>1026</v>
      </c>
    </row>
    <row r="1044" spans="1:9">
      <c r="A1044" s="14">
        <v>10721</v>
      </c>
      <c r="B1044" s="14" t="s">
        <v>334</v>
      </c>
      <c r="C1044" s="12" t="s">
        <v>208</v>
      </c>
      <c r="D1044" s="15" t="str">
        <f t="shared" si="16"/>
        <v>Hotstar Digital Chat CS IND - TTR</v>
      </c>
      <c r="E1044" s="12" t="s">
        <v>112</v>
      </c>
      <c r="F1044" s="12" t="s">
        <v>204</v>
      </c>
      <c r="G1044" s="12" t="s">
        <v>205</v>
      </c>
      <c r="H1044" s="12" t="s">
        <v>1025</v>
      </c>
      <c r="I1044" s="12" t="s">
        <v>1026</v>
      </c>
    </row>
    <row r="1045" spans="1:9">
      <c r="A1045" s="14">
        <v>97115</v>
      </c>
      <c r="B1045" s="14" t="s">
        <v>616</v>
      </c>
      <c r="C1045" s="12" t="s">
        <v>129</v>
      </c>
      <c r="D1045" s="15" t="str">
        <f t="shared" si="16"/>
        <v>HR Business Partners - MGT</v>
      </c>
      <c r="E1045" s="12" t="s">
        <v>104</v>
      </c>
      <c r="F1045" s="12" t="s">
        <v>410</v>
      </c>
      <c r="G1045" s="12" t="s">
        <v>114</v>
      </c>
      <c r="H1045" s="12" t="s">
        <v>1025</v>
      </c>
      <c r="I1045" s="12" t="s">
        <v>1026</v>
      </c>
    </row>
    <row r="1046" spans="1:9">
      <c r="A1046" s="14">
        <v>97115</v>
      </c>
      <c r="B1046" s="14" t="s">
        <v>616</v>
      </c>
      <c r="C1046" s="12" t="s">
        <v>547</v>
      </c>
      <c r="D1046" s="15" t="str">
        <f t="shared" si="16"/>
        <v>HR Business Partners - PHR</v>
      </c>
      <c r="E1046" s="12" t="s">
        <v>104</v>
      </c>
      <c r="F1046" s="12" t="s">
        <v>410</v>
      </c>
      <c r="G1046" s="12" t="s">
        <v>114</v>
      </c>
      <c r="H1046" s="12" t="s">
        <v>1025</v>
      </c>
      <c r="I1046" s="12" t="s">
        <v>1026</v>
      </c>
    </row>
    <row r="1047" spans="1:9">
      <c r="A1047" s="14">
        <v>97115</v>
      </c>
      <c r="B1047" s="14" t="s">
        <v>616</v>
      </c>
      <c r="C1047" s="12" t="s">
        <v>139</v>
      </c>
      <c r="D1047" s="15" t="str">
        <f t="shared" si="16"/>
        <v>HR Business Partners - SMGT</v>
      </c>
      <c r="E1047" s="12" t="s">
        <v>104</v>
      </c>
      <c r="F1047" s="12" t="s">
        <v>410</v>
      </c>
      <c r="G1047" s="12" t="s">
        <v>114</v>
      </c>
      <c r="H1047" s="12" t="s">
        <v>1025</v>
      </c>
      <c r="I1047" s="12" t="s">
        <v>1026</v>
      </c>
    </row>
    <row r="1048" spans="1:9">
      <c r="A1048" s="14">
        <v>97115</v>
      </c>
      <c r="B1048" s="14" t="s">
        <v>616</v>
      </c>
      <c r="C1048" s="12" t="s">
        <v>145</v>
      </c>
      <c r="D1048" s="15" t="str">
        <f t="shared" si="16"/>
        <v>HR Business Partners - SUP</v>
      </c>
      <c r="E1048" s="12" t="s">
        <v>104</v>
      </c>
      <c r="F1048" s="12" t="s">
        <v>410</v>
      </c>
      <c r="G1048" s="12" t="s">
        <v>114</v>
      </c>
      <c r="H1048" s="12" t="s">
        <v>1025</v>
      </c>
      <c r="I1048" s="12" t="s">
        <v>1026</v>
      </c>
    </row>
    <row r="1049" spans="1:9">
      <c r="A1049" s="14">
        <v>97124</v>
      </c>
      <c r="B1049" s="14" t="s">
        <v>620</v>
      </c>
      <c r="C1049" s="12" t="s">
        <v>556</v>
      </c>
      <c r="D1049" s="15" t="str">
        <f t="shared" si="16"/>
        <v>HR Campus Initiatives - HRD</v>
      </c>
      <c r="E1049" s="12" t="s">
        <v>104</v>
      </c>
      <c r="F1049" s="12" t="s">
        <v>512</v>
      </c>
      <c r="G1049" s="12" t="s">
        <v>114</v>
      </c>
      <c r="H1049" s="12" t="s">
        <v>1025</v>
      </c>
      <c r="I1049" s="12" t="s">
        <v>1026</v>
      </c>
    </row>
    <row r="1050" spans="1:9">
      <c r="A1050" s="14">
        <v>97124</v>
      </c>
      <c r="B1050" s="14" t="s">
        <v>620</v>
      </c>
      <c r="C1050" s="12" t="s">
        <v>129</v>
      </c>
      <c r="D1050" s="15" t="str">
        <f t="shared" si="16"/>
        <v>HR Campus Initiatives - MGT</v>
      </c>
      <c r="E1050" s="12" t="s">
        <v>104</v>
      </c>
      <c r="F1050" s="12" t="s">
        <v>512</v>
      </c>
      <c r="G1050" s="12" t="s">
        <v>114</v>
      </c>
      <c r="H1050" s="12" t="s">
        <v>1025</v>
      </c>
      <c r="I1050" s="12" t="s">
        <v>1026</v>
      </c>
    </row>
    <row r="1051" spans="1:9">
      <c r="A1051" s="14">
        <v>97124</v>
      </c>
      <c r="B1051" s="14" t="s">
        <v>620</v>
      </c>
      <c r="C1051" s="12" t="s">
        <v>145</v>
      </c>
      <c r="D1051" s="15" t="str">
        <f t="shared" si="16"/>
        <v>HR Campus Initiatives - SUP</v>
      </c>
      <c r="E1051" s="12" t="s">
        <v>104</v>
      </c>
      <c r="F1051" s="12" t="s">
        <v>512</v>
      </c>
      <c r="G1051" s="12" t="s">
        <v>114</v>
      </c>
      <c r="H1051" s="12" t="s">
        <v>1025</v>
      </c>
      <c r="I1051" s="12" t="s">
        <v>1026</v>
      </c>
    </row>
    <row r="1052" spans="1:9">
      <c r="A1052" s="14">
        <v>97106</v>
      </c>
      <c r="B1052" s="14" t="s">
        <v>624</v>
      </c>
      <c r="C1052" s="12" t="s">
        <v>556</v>
      </c>
      <c r="D1052" s="15" t="str">
        <f t="shared" si="16"/>
        <v>HR Comp &amp; Benefits - HRD</v>
      </c>
      <c r="E1052" s="12" t="s">
        <v>104</v>
      </c>
      <c r="F1052" s="12" t="s">
        <v>410</v>
      </c>
      <c r="G1052" s="12" t="s">
        <v>114</v>
      </c>
      <c r="H1052" s="12" t="s">
        <v>1025</v>
      </c>
      <c r="I1052" s="12" t="s">
        <v>1026</v>
      </c>
    </row>
    <row r="1053" spans="1:9">
      <c r="A1053" s="14">
        <v>97106</v>
      </c>
      <c r="B1053" s="14" t="s">
        <v>624</v>
      </c>
      <c r="C1053" s="12" t="s">
        <v>129</v>
      </c>
      <c r="D1053" s="15" t="str">
        <f t="shared" si="16"/>
        <v>HR Comp &amp; Benefits - MGT</v>
      </c>
      <c r="E1053" s="12" t="s">
        <v>104</v>
      </c>
      <c r="F1053" s="12" t="s">
        <v>410</v>
      </c>
      <c r="G1053" s="12" t="s">
        <v>114</v>
      </c>
      <c r="H1053" s="12" t="s">
        <v>1025</v>
      </c>
      <c r="I1053" s="12" t="s">
        <v>1026</v>
      </c>
    </row>
    <row r="1054" spans="1:9">
      <c r="A1054" s="14">
        <v>97106</v>
      </c>
      <c r="B1054" s="14" t="s">
        <v>624</v>
      </c>
      <c r="C1054" s="12" t="s">
        <v>145</v>
      </c>
      <c r="D1054" s="15" t="str">
        <f t="shared" si="16"/>
        <v>HR Comp &amp; Benefits - SUP</v>
      </c>
      <c r="E1054" s="12" t="s">
        <v>104</v>
      </c>
      <c r="F1054" s="12" t="s">
        <v>410</v>
      </c>
      <c r="G1054" s="12" t="s">
        <v>114</v>
      </c>
      <c r="H1054" s="12" t="s">
        <v>1025</v>
      </c>
      <c r="I1054" s="12" t="s">
        <v>1026</v>
      </c>
    </row>
    <row r="1055" spans="1:9">
      <c r="A1055" s="14">
        <v>97117</v>
      </c>
      <c r="B1055" s="14" t="s">
        <v>627</v>
      </c>
      <c r="C1055" s="12" t="s">
        <v>145</v>
      </c>
      <c r="D1055" s="15" t="str">
        <f t="shared" si="16"/>
        <v>HR Employee Engagement - SUP</v>
      </c>
      <c r="E1055" s="12" t="s">
        <v>104</v>
      </c>
      <c r="F1055" s="12" t="s">
        <v>494</v>
      </c>
      <c r="G1055" s="12" t="s">
        <v>114</v>
      </c>
      <c r="H1055" s="12" t="s">
        <v>1025</v>
      </c>
      <c r="I1055" s="12" t="s">
        <v>1026</v>
      </c>
    </row>
    <row r="1056" spans="1:9">
      <c r="A1056" s="14">
        <v>97127</v>
      </c>
      <c r="B1056" s="14" t="s">
        <v>1008</v>
      </c>
      <c r="C1056" s="12" t="s">
        <v>129</v>
      </c>
      <c r="D1056" s="15" t="str">
        <f t="shared" si="16"/>
        <v>HR Global Employee Relations - MGT</v>
      </c>
      <c r="E1056" s="12" t="s">
        <v>104</v>
      </c>
      <c r="F1056" s="12" t="s">
        <v>410</v>
      </c>
      <c r="G1056" s="12" t="s">
        <v>114</v>
      </c>
      <c r="H1056" s="12" t="s">
        <v>1025</v>
      </c>
      <c r="I1056" s="12" t="s">
        <v>1026</v>
      </c>
    </row>
    <row r="1057" spans="1:9">
      <c r="A1057" s="14">
        <v>97107</v>
      </c>
      <c r="B1057" s="14" t="s">
        <v>629</v>
      </c>
      <c r="C1057" s="12" t="s">
        <v>556</v>
      </c>
      <c r="D1057" s="15" t="str">
        <f t="shared" si="16"/>
        <v>HR Operations - HRD</v>
      </c>
      <c r="E1057" s="12" t="s">
        <v>104</v>
      </c>
      <c r="F1057" s="12" t="s">
        <v>410</v>
      </c>
      <c r="G1057" s="12" t="s">
        <v>114</v>
      </c>
      <c r="H1057" s="12" t="s">
        <v>1025</v>
      </c>
      <c r="I1057" s="12" t="s">
        <v>1026</v>
      </c>
    </row>
    <row r="1058" spans="1:9">
      <c r="A1058" s="14">
        <v>97107</v>
      </c>
      <c r="B1058" s="14" t="s">
        <v>629</v>
      </c>
      <c r="C1058" s="12" t="s">
        <v>129</v>
      </c>
      <c r="D1058" s="15" t="str">
        <f t="shared" si="16"/>
        <v>HR Operations - MGT</v>
      </c>
      <c r="E1058" s="12" t="s">
        <v>104</v>
      </c>
      <c r="F1058" s="12" t="s">
        <v>410</v>
      </c>
      <c r="G1058" s="12" t="s">
        <v>114</v>
      </c>
      <c r="H1058" s="12" t="s">
        <v>1025</v>
      </c>
      <c r="I1058" s="12" t="s">
        <v>1026</v>
      </c>
    </row>
    <row r="1059" spans="1:9">
      <c r="A1059" s="14">
        <v>97107</v>
      </c>
      <c r="B1059" s="14" t="s">
        <v>629</v>
      </c>
      <c r="C1059" s="12" t="s">
        <v>547</v>
      </c>
      <c r="D1059" s="15" t="str">
        <f t="shared" si="16"/>
        <v>HR Operations - PHR</v>
      </c>
      <c r="E1059" s="12" t="s">
        <v>104</v>
      </c>
      <c r="F1059" s="12" t="s">
        <v>410</v>
      </c>
      <c r="G1059" s="12" t="s">
        <v>114</v>
      </c>
      <c r="H1059" s="12" t="s">
        <v>1025</v>
      </c>
      <c r="I1059" s="12" t="s">
        <v>1026</v>
      </c>
    </row>
    <row r="1060" spans="1:9">
      <c r="A1060" s="14">
        <v>97107</v>
      </c>
      <c r="B1060" s="14" t="s">
        <v>629</v>
      </c>
      <c r="C1060" s="12" t="s">
        <v>139</v>
      </c>
      <c r="D1060" s="15" t="str">
        <f t="shared" si="16"/>
        <v>HR Operations - SMGT</v>
      </c>
      <c r="E1060" s="12" t="s">
        <v>104</v>
      </c>
      <c r="F1060" s="12" t="s">
        <v>410</v>
      </c>
      <c r="G1060" s="12" t="s">
        <v>114</v>
      </c>
      <c r="H1060" s="12" t="s">
        <v>1025</v>
      </c>
      <c r="I1060" s="12" t="s">
        <v>1026</v>
      </c>
    </row>
    <row r="1061" spans="1:9">
      <c r="A1061" s="14">
        <v>97107</v>
      </c>
      <c r="B1061" s="14" t="s">
        <v>629</v>
      </c>
      <c r="C1061" s="12" t="s">
        <v>145</v>
      </c>
      <c r="D1061" s="15" t="str">
        <f t="shared" si="16"/>
        <v>HR Operations - SUP</v>
      </c>
      <c r="E1061" s="12" t="s">
        <v>104</v>
      </c>
      <c r="F1061" s="12" t="s">
        <v>410</v>
      </c>
      <c r="G1061" s="12" t="s">
        <v>114</v>
      </c>
      <c r="H1061" s="12" t="s">
        <v>1025</v>
      </c>
      <c r="I1061" s="12" t="s">
        <v>1026</v>
      </c>
    </row>
    <row r="1062" spans="1:9">
      <c r="A1062" s="14">
        <v>97107</v>
      </c>
      <c r="B1062" s="14" t="s">
        <v>629</v>
      </c>
      <c r="C1062" s="12" t="s">
        <v>180</v>
      </c>
      <c r="D1062" s="15" t="str">
        <f t="shared" si="16"/>
        <v>HR Operations - TMG</v>
      </c>
      <c r="E1062" s="12" t="s">
        <v>104</v>
      </c>
      <c r="F1062" s="12" t="s">
        <v>410</v>
      </c>
      <c r="G1062" s="12" t="s">
        <v>114</v>
      </c>
      <c r="H1062" s="12" t="s">
        <v>1025</v>
      </c>
      <c r="I1062" s="12" t="s">
        <v>1026</v>
      </c>
    </row>
    <row r="1063" spans="1:9">
      <c r="A1063" s="14">
        <v>97116</v>
      </c>
      <c r="B1063" s="14" t="s">
        <v>635</v>
      </c>
      <c r="C1063" s="12" t="s">
        <v>271</v>
      </c>
      <c r="D1063" s="15" t="str">
        <f t="shared" si="16"/>
        <v>HR Shared Services Global - 799999</v>
      </c>
      <c r="E1063" s="12" t="s">
        <v>126</v>
      </c>
      <c r="F1063" s="12" t="s">
        <v>636</v>
      </c>
      <c r="G1063" s="12" t="s">
        <v>114</v>
      </c>
      <c r="H1063" s="12" t="s">
        <v>1025</v>
      </c>
      <c r="I1063" s="12" t="s">
        <v>1026</v>
      </c>
    </row>
    <row r="1064" spans="1:9">
      <c r="A1064" s="14">
        <v>97116</v>
      </c>
      <c r="B1064" s="14" t="s">
        <v>635</v>
      </c>
      <c r="C1064" s="12" t="s">
        <v>556</v>
      </c>
      <c r="D1064" s="15" t="str">
        <f t="shared" si="16"/>
        <v>HR Shared Services Global - HRD</v>
      </c>
      <c r="E1064" s="12" t="s">
        <v>126</v>
      </c>
      <c r="F1064" s="12" t="s">
        <v>636</v>
      </c>
      <c r="G1064" s="12" t="s">
        <v>114</v>
      </c>
      <c r="H1064" s="12" t="s">
        <v>1025</v>
      </c>
      <c r="I1064" s="12" t="s">
        <v>1026</v>
      </c>
    </row>
    <row r="1065" spans="1:9">
      <c r="A1065" s="14">
        <v>97116</v>
      </c>
      <c r="B1065" s="14" t="s">
        <v>635</v>
      </c>
      <c r="C1065" s="12" t="s">
        <v>129</v>
      </c>
      <c r="D1065" s="15" t="str">
        <f t="shared" si="16"/>
        <v>HR Shared Services Global - MGT</v>
      </c>
      <c r="E1065" s="12" t="s">
        <v>126</v>
      </c>
      <c r="F1065" s="12" t="s">
        <v>636</v>
      </c>
      <c r="G1065" s="12" t="s">
        <v>114</v>
      </c>
      <c r="H1065" s="12" t="s">
        <v>1025</v>
      </c>
      <c r="I1065" s="12" t="s">
        <v>1026</v>
      </c>
    </row>
    <row r="1066" spans="1:9">
      <c r="A1066" s="14">
        <v>97116</v>
      </c>
      <c r="B1066" s="14" t="s">
        <v>635</v>
      </c>
      <c r="C1066" s="12" t="s">
        <v>139</v>
      </c>
      <c r="D1066" s="15" t="str">
        <f t="shared" si="16"/>
        <v>HR Shared Services Global - SMGT</v>
      </c>
      <c r="E1066" s="12" t="s">
        <v>126</v>
      </c>
      <c r="F1066" s="12" t="s">
        <v>636</v>
      </c>
      <c r="G1066" s="12" t="s">
        <v>114</v>
      </c>
      <c r="H1066" s="12" t="s">
        <v>1025</v>
      </c>
      <c r="I1066" s="12" t="s">
        <v>1026</v>
      </c>
    </row>
    <row r="1067" spans="1:9">
      <c r="A1067" s="14">
        <v>97116</v>
      </c>
      <c r="B1067" s="14" t="s">
        <v>635</v>
      </c>
      <c r="C1067" s="12" t="s">
        <v>145</v>
      </c>
      <c r="D1067" s="15" t="str">
        <f t="shared" si="16"/>
        <v>HR Shared Services Global - SUP</v>
      </c>
      <c r="E1067" s="12" t="s">
        <v>126</v>
      </c>
      <c r="F1067" s="12" t="s">
        <v>636</v>
      </c>
      <c r="G1067" s="12" t="s">
        <v>114</v>
      </c>
      <c r="H1067" s="12" t="s">
        <v>1025</v>
      </c>
      <c r="I1067" s="12" t="s">
        <v>1026</v>
      </c>
    </row>
    <row r="1068" spans="1:9">
      <c r="A1068" s="14">
        <v>97126</v>
      </c>
      <c r="B1068" s="14" t="s">
        <v>640</v>
      </c>
      <c r="C1068" s="12" t="s">
        <v>556</v>
      </c>
      <c r="D1068" s="15" t="str">
        <f t="shared" si="16"/>
        <v>HR Technology &amp; Analytics - HRD</v>
      </c>
      <c r="E1068" s="12" t="s">
        <v>104</v>
      </c>
      <c r="F1068" s="12" t="s">
        <v>636</v>
      </c>
      <c r="G1068" s="12" t="s">
        <v>114</v>
      </c>
      <c r="H1068" s="12" t="s">
        <v>1025</v>
      </c>
      <c r="I1068" s="12" t="s">
        <v>1026</v>
      </c>
    </row>
    <row r="1069" spans="1:9">
      <c r="A1069" s="14">
        <v>51149</v>
      </c>
      <c r="B1069" s="14" t="s">
        <v>714</v>
      </c>
      <c r="C1069" s="12" t="s">
        <v>116</v>
      </c>
      <c r="D1069" s="15" t="str">
        <f t="shared" si="16"/>
        <v>HTP-2205-2412-ITOps-CIMS - PRD</v>
      </c>
      <c r="E1069" s="12" t="s">
        <v>117</v>
      </c>
      <c r="F1069" s="12" t="s">
        <v>117</v>
      </c>
      <c r="G1069" s="12" t="s">
        <v>117</v>
      </c>
      <c r="H1069" s="12" t="s">
        <v>1025</v>
      </c>
      <c r="I1069" s="12" t="s">
        <v>1026</v>
      </c>
    </row>
    <row r="1070" spans="1:9">
      <c r="A1070" s="14">
        <v>51150</v>
      </c>
      <c r="B1070" s="14" t="s">
        <v>716</v>
      </c>
      <c r="C1070" s="12" t="s">
        <v>116</v>
      </c>
      <c r="D1070" s="15" t="str">
        <f t="shared" si="16"/>
        <v>HTP-2207-2412-DBandLinxUnix-CI - PRD</v>
      </c>
      <c r="E1070" s="12" t="s">
        <v>117</v>
      </c>
      <c r="F1070" s="12" t="s">
        <v>117</v>
      </c>
      <c r="G1070" s="12" t="s">
        <v>117</v>
      </c>
      <c r="H1070" s="12" t="s">
        <v>1025</v>
      </c>
      <c r="I1070" s="12" t="s">
        <v>1026</v>
      </c>
    </row>
    <row r="1071" spans="1:9">
      <c r="A1071" s="14">
        <v>97100</v>
      </c>
      <c r="B1071" s="14" t="s">
        <v>642</v>
      </c>
      <c r="C1071" s="12" t="s">
        <v>556</v>
      </c>
      <c r="D1071" s="15" t="str">
        <f t="shared" si="16"/>
        <v>Human Resources Local - HRD</v>
      </c>
      <c r="E1071" s="12" t="s">
        <v>104</v>
      </c>
      <c r="F1071" s="12" t="s">
        <v>410</v>
      </c>
      <c r="G1071" s="12" t="s">
        <v>114</v>
      </c>
      <c r="H1071" s="12" t="s">
        <v>1025</v>
      </c>
      <c r="I1071" s="12" t="s">
        <v>1026</v>
      </c>
    </row>
    <row r="1072" spans="1:9">
      <c r="A1072" s="14">
        <v>97100</v>
      </c>
      <c r="B1072" s="14" t="s">
        <v>642</v>
      </c>
      <c r="C1072" s="12" t="s">
        <v>145</v>
      </c>
      <c r="D1072" s="15" t="str">
        <f t="shared" si="16"/>
        <v>Human Resources Local - SUP</v>
      </c>
      <c r="E1072" s="12" t="s">
        <v>104</v>
      </c>
      <c r="F1072" s="12" t="s">
        <v>410</v>
      </c>
      <c r="G1072" s="12" t="s">
        <v>114</v>
      </c>
      <c r="H1072" s="12" t="s">
        <v>1025</v>
      </c>
      <c r="I1072" s="12" t="s">
        <v>1026</v>
      </c>
    </row>
    <row r="1073" spans="1:9">
      <c r="A1073" s="14">
        <v>97100</v>
      </c>
      <c r="B1073" s="14" t="s">
        <v>642</v>
      </c>
      <c r="C1073" s="12" t="s">
        <v>180</v>
      </c>
      <c r="D1073" s="15" t="str">
        <f t="shared" si="16"/>
        <v>Human Resources Local - TMG</v>
      </c>
      <c r="E1073" s="12" t="s">
        <v>104</v>
      </c>
      <c r="F1073" s="12" t="s">
        <v>410</v>
      </c>
      <c r="G1073" s="12" t="s">
        <v>114</v>
      </c>
      <c r="H1073" s="12" t="s">
        <v>1025</v>
      </c>
      <c r="I1073" s="12" t="s">
        <v>1026</v>
      </c>
    </row>
    <row r="1074" spans="1:9">
      <c r="A1074" s="14">
        <v>12094</v>
      </c>
      <c r="B1074" s="14" t="s">
        <v>509</v>
      </c>
      <c r="C1074" s="12" t="s">
        <v>129</v>
      </c>
      <c r="D1074" s="15" t="str">
        <f t="shared" si="16"/>
        <v>Humana Inc_CL - MGT</v>
      </c>
      <c r="E1074" s="12" t="s">
        <v>126</v>
      </c>
      <c r="F1074" s="12" t="s">
        <v>163</v>
      </c>
      <c r="G1074" s="12" t="s">
        <v>164</v>
      </c>
      <c r="H1074" s="12" t="s">
        <v>1025</v>
      </c>
      <c r="I1074" s="12" t="s">
        <v>1026</v>
      </c>
    </row>
    <row r="1075" spans="1:9">
      <c r="A1075" s="14">
        <v>12094</v>
      </c>
      <c r="B1075" s="14" t="s">
        <v>509</v>
      </c>
      <c r="C1075" s="12" t="s">
        <v>177</v>
      </c>
      <c r="D1075" s="15" t="str">
        <f t="shared" si="16"/>
        <v>Humana Inc_CL - OPS</v>
      </c>
      <c r="E1075" s="12" t="s">
        <v>126</v>
      </c>
      <c r="F1075" s="12" t="s">
        <v>163</v>
      </c>
      <c r="G1075" s="12" t="s">
        <v>164</v>
      </c>
      <c r="H1075" s="12" t="s">
        <v>1025</v>
      </c>
      <c r="I1075" s="12" t="s">
        <v>1026</v>
      </c>
    </row>
    <row r="1076" spans="1:9">
      <c r="A1076" s="14">
        <v>12094</v>
      </c>
      <c r="B1076" s="14" t="s">
        <v>509</v>
      </c>
      <c r="C1076" s="12" t="s">
        <v>116</v>
      </c>
      <c r="D1076" s="15" t="str">
        <f t="shared" si="16"/>
        <v>Humana Inc_CL - PRD</v>
      </c>
      <c r="E1076" s="12" t="s">
        <v>126</v>
      </c>
      <c r="F1076" s="12" t="s">
        <v>163</v>
      </c>
      <c r="G1076" s="12" t="s">
        <v>164</v>
      </c>
      <c r="H1076" s="12" t="s">
        <v>1025</v>
      </c>
      <c r="I1076" s="12" t="s">
        <v>1026</v>
      </c>
    </row>
    <row r="1077" spans="1:9">
      <c r="A1077" s="14">
        <v>12094</v>
      </c>
      <c r="B1077" s="14" t="s">
        <v>509</v>
      </c>
      <c r="C1077" s="12" t="s">
        <v>185</v>
      </c>
      <c r="D1077" s="15" t="str">
        <f t="shared" si="16"/>
        <v>Humana Inc_CL - TPS</v>
      </c>
      <c r="E1077" s="12" t="s">
        <v>126</v>
      </c>
      <c r="F1077" s="12" t="s">
        <v>163</v>
      </c>
      <c r="G1077" s="12" t="s">
        <v>164</v>
      </c>
      <c r="H1077" s="12" t="s">
        <v>1025</v>
      </c>
      <c r="I1077" s="12" t="s">
        <v>1026</v>
      </c>
    </row>
    <row r="1078" spans="1:9">
      <c r="A1078" s="14">
        <v>12095</v>
      </c>
      <c r="B1078" s="14" t="s">
        <v>513</v>
      </c>
      <c r="C1078" s="12" t="s">
        <v>332</v>
      </c>
      <c r="D1078" s="15" t="str">
        <f t="shared" si="16"/>
        <v>Humana Inc_DCAV - RCF</v>
      </c>
      <c r="E1078" s="12" t="s">
        <v>126</v>
      </c>
      <c r="F1078" s="12" t="s">
        <v>163</v>
      </c>
      <c r="G1078" s="12" t="s">
        <v>164</v>
      </c>
      <c r="H1078" s="12" t="s">
        <v>1025</v>
      </c>
      <c r="I1078" s="12" t="s">
        <v>1026</v>
      </c>
    </row>
    <row r="1079" spans="1:9">
      <c r="A1079" s="14">
        <v>12095</v>
      </c>
      <c r="B1079" s="14" t="s">
        <v>513</v>
      </c>
      <c r="C1079" s="12" t="s">
        <v>145</v>
      </c>
      <c r="D1079" s="15" t="str">
        <f t="shared" si="16"/>
        <v>Humana Inc_DCAV - SUP</v>
      </c>
      <c r="E1079" s="12" t="s">
        <v>126</v>
      </c>
      <c r="F1079" s="12" t="s">
        <v>163</v>
      </c>
      <c r="G1079" s="12" t="s">
        <v>164</v>
      </c>
      <c r="H1079" s="12" t="s">
        <v>1025</v>
      </c>
      <c r="I1079" s="12" t="s">
        <v>1026</v>
      </c>
    </row>
    <row r="1080" spans="1:9">
      <c r="A1080" s="14">
        <v>12095</v>
      </c>
      <c r="B1080" s="14" t="s">
        <v>513</v>
      </c>
      <c r="C1080" s="12" t="s">
        <v>185</v>
      </c>
      <c r="D1080" s="15" t="str">
        <f t="shared" si="16"/>
        <v>Humana Inc_DCAV - TPS</v>
      </c>
      <c r="E1080" s="12" t="s">
        <v>126</v>
      </c>
      <c r="F1080" s="12" t="s">
        <v>163</v>
      </c>
      <c r="G1080" s="12" t="s">
        <v>164</v>
      </c>
      <c r="H1080" s="12" t="s">
        <v>1025</v>
      </c>
      <c r="I1080" s="12" t="s">
        <v>1026</v>
      </c>
    </row>
    <row r="1081" spans="1:9">
      <c r="A1081" s="14">
        <v>12095</v>
      </c>
      <c r="B1081" s="14" t="s">
        <v>513</v>
      </c>
      <c r="C1081" s="12" t="s">
        <v>208</v>
      </c>
      <c r="D1081" s="15" t="str">
        <f t="shared" si="16"/>
        <v>Humana Inc_DCAV - TTR</v>
      </c>
      <c r="E1081" s="12" t="s">
        <v>112</v>
      </c>
      <c r="F1081" s="12" t="s">
        <v>204</v>
      </c>
      <c r="G1081" s="12" t="s">
        <v>205</v>
      </c>
      <c r="H1081" s="12" t="s">
        <v>1025</v>
      </c>
      <c r="I1081" s="12" t="s">
        <v>1026</v>
      </c>
    </row>
    <row r="1082" spans="1:9">
      <c r="A1082" s="14">
        <v>12097</v>
      </c>
      <c r="B1082" s="14" t="s">
        <v>515</v>
      </c>
      <c r="C1082" s="12" t="s">
        <v>116</v>
      </c>
      <c r="D1082" s="15" t="str">
        <f t="shared" si="16"/>
        <v>Humana Inc_Recredentialing - PRD</v>
      </c>
      <c r="E1082" s="12" t="s">
        <v>126</v>
      </c>
      <c r="F1082" s="12" t="s">
        <v>163</v>
      </c>
      <c r="G1082" s="12" t="s">
        <v>164</v>
      </c>
      <c r="H1082" s="12" t="s">
        <v>1025</v>
      </c>
      <c r="I1082" s="12" t="s">
        <v>1026</v>
      </c>
    </row>
    <row r="1083" spans="1:9">
      <c r="A1083" s="14">
        <v>12097</v>
      </c>
      <c r="B1083" s="14" t="s">
        <v>515</v>
      </c>
      <c r="C1083" s="12" t="s">
        <v>111</v>
      </c>
      <c r="D1083" s="15" t="str">
        <f t="shared" si="16"/>
        <v>Humana Inc_Recredentialing - QLY</v>
      </c>
      <c r="E1083" s="12" t="s">
        <v>112</v>
      </c>
      <c r="F1083" s="12" t="s">
        <v>113</v>
      </c>
      <c r="G1083" s="12" t="s">
        <v>114</v>
      </c>
      <c r="H1083" s="12" t="s">
        <v>1025</v>
      </c>
      <c r="I1083" s="12" t="s">
        <v>1026</v>
      </c>
    </row>
    <row r="1084" spans="1:9">
      <c r="A1084" s="14">
        <v>12097</v>
      </c>
      <c r="B1084" s="14" t="s">
        <v>515</v>
      </c>
      <c r="C1084" s="12" t="s">
        <v>185</v>
      </c>
      <c r="D1084" s="15" t="str">
        <f t="shared" si="16"/>
        <v>Humana Inc_Recredentialing - TPS</v>
      </c>
      <c r="E1084" s="12" t="s">
        <v>126</v>
      </c>
      <c r="F1084" s="12" t="s">
        <v>163</v>
      </c>
      <c r="G1084" s="12" t="s">
        <v>164</v>
      </c>
      <c r="H1084" s="12" t="s">
        <v>1025</v>
      </c>
      <c r="I1084" s="12" t="s">
        <v>1026</v>
      </c>
    </row>
    <row r="1085" spans="1:9">
      <c r="A1085" s="14">
        <v>10620</v>
      </c>
      <c r="B1085" s="14" t="s">
        <v>275</v>
      </c>
      <c r="C1085" s="12" t="s">
        <v>133</v>
      </c>
      <c r="D1085" s="15" t="str">
        <f t="shared" si="16"/>
        <v>IAG GBS LTD-Cargo-CC-Airoli - AMG</v>
      </c>
      <c r="E1085" s="12" t="s">
        <v>126</v>
      </c>
      <c r="F1085" s="12" t="s">
        <v>163</v>
      </c>
      <c r="G1085" s="12" t="s">
        <v>164</v>
      </c>
      <c r="H1085" s="12" t="s">
        <v>1025</v>
      </c>
      <c r="I1085" s="12" t="s">
        <v>1026</v>
      </c>
    </row>
    <row r="1086" spans="1:9">
      <c r="A1086" s="14">
        <v>10620</v>
      </c>
      <c r="B1086" s="14" t="s">
        <v>275</v>
      </c>
      <c r="C1086" s="12" t="s">
        <v>433</v>
      </c>
      <c r="D1086" s="15" t="str">
        <f t="shared" si="16"/>
        <v>IAG GBS LTD-Cargo-CC-Airoli - ANA</v>
      </c>
      <c r="E1086" s="12" t="s">
        <v>126</v>
      </c>
      <c r="F1086" s="12" t="s">
        <v>163</v>
      </c>
      <c r="G1086" s="12" t="s">
        <v>164</v>
      </c>
      <c r="H1086" s="12" t="s">
        <v>1025</v>
      </c>
      <c r="I1086" s="12" t="s">
        <v>1026</v>
      </c>
    </row>
    <row r="1087" spans="1:9">
      <c r="A1087" s="14">
        <v>10620</v>
      </c>
      <c r="B1087" s="14" t="s">
        <v>275</v>
      </c>
      <c r="C1087" s="12" t="s">
        <v>150</v>
      </c>
      <c r="D1087" s="15" t="str">
        <f t="shared" si="16"/>
        <v>IAG GBS LTD-Cargo-CC-Airoli - CCS</v>
      </c>
      <c r="E1087" s="12" t="s">
        <v>126</v>
      </c>
      <c r="F1087" s="12" t="s">
        <v>163</v>
      </c>
      <c r="G1087" s="12" t="s">
        <v>164</v>
      </c>
      <c r="H1087" s="12" t="s">
        <v>1025</v>
      </c>
      <c r="I1087" s="12" t="s">
        <v>1026</v>
      </c>
    </row>
    <row r="1088" spans="1:9">
      <c r="A1088" s="14">
        <v>10620</v>
      </c>
      <c r="B1088" s="14" t="s">
        <v>275</v>
      </c>
      <c r="C1088" s="12" t="s">
        <v>161</v>
      </c>
      <c r="D1088" s="15" t="str">
        <f t="shared" si="16"/>
        <v>IAG GBS LTD-Cargo-CC-Airoli - ECC</v>
      </c>
      <c r="E1088" s="12" t="s">
        <v>126</v>
      </c>
      <c r="F1088" s="12" t="s">
        <v>163</v>
      </c>
      <c r="G1088" s="12" t="s">
        <v>164</v>
      </c>
      <c r="H1088" s="12" t="s">
        <v>1025</v>
      </c>
      <c r="I1088" s="12" t="s">
        <v>1026</v>
      </c>
    </row>
    <row r="1089" spans="1:9">
      <c r="A1089" s="14">
        <v>10620</v>
      </c>
      <c r="B1089" s="14" t="s">
        <v>275</v>
      </c>
      <c r="C1089" s="12" t="s">
        <v>230</v>
      </c>
      <c r="D1089" s="15" t="str">
        <f t="shared" si="16"/>
        <v>IAG GBS LTD-Cargo-CC-Airoli - PRSP</v>
      </c>
      <c r="E1089" s="12" t="s">
        <v>126</v>
      </c>
      <c r="F1089" s="12" t="s">
        <v>163</v>
      </c>
      <c r="G1089" s="12" t="s">
        <v>164</v>
      </c>
      <c r="H1089" s="12" t="s">
        <v>1025</v>
      </c>
      <c r="I1089" s="12" t="s">
        <v>1026</v>
      </c>
    </row>
    <row r="1090" spans="1:9">
      <c r="A1090" s="14">
        <v>10620</v>
      </c>
      <c r="B1090" s="14" t="s">
        <v>275</v>
      </c>
      <c r="C1090" s="12" t="s">
        <v>111</v>
      </c>
      <c r="D1090" s="15" t="str">
        <f t="shared" ref="D1090:D1153" si="17">B1090&amp;" - "&amp;C1090</f>
        <v>IAG GBS LTD-Cargo-CC-Airoli - QLY</v>
      </c>
      <c r="E1090" s="12" t="s">
        <v>112</v>
      </c>
      <c r="F1090" s="12" t="s">
        <v>113</v>
      </c>
      <c r="G1090" s="12" t="s">
        <v>114</v>
      </c>
      <c r="H1090" s="12" t="s">
        <v>1025</v>
      </c>
      <c r="I1090" s="12" t="s">
        <v>1026</v>
      </c>
    </row>
    <row r="1091" spans="1:9">
      <c r="A1091" s="14">
        <v>10620</v>
      </c>
      <c r="B1091" s="14" t="s">
        <v>275</v>
      </c>
      <c r="C1091" s="12" t="s">
        <v>145</v>
      </c>
      <c r="D1091" s="15" t="str">
        <f t="shared" si="17"/>
        <v>IAG GBS LTD-Cargo-CC-Airoli - SUP</v>
      </c>
      <c r="E1091" s="12" t="s">
        <v>126</v>
      </c>
      <c r="F1091" s="12" t="s">
        <v>163</v>
      </c>
      <c r="G1091" s="12" t="s">
        <v>164</v>
      </c>
      <c r="H1091" s="12" t="s">
        <v>1025</v>
      </c>
      <c r="I1091" s="12" t="s">
        <v>1026</v>
      </c>
    </row>
    <row r="1092" spans="1:9">
      <c r="A1092" s="14">
        <v>10620</v>
      </c>
      <c r="B1092" s="14" t="s">
        <v>275</v>
      </c>
      <c r="C1092" s="12" t="s">
        <v>180</v>
      </c>
      <c r="D1092" s="15" t="str">
        <f t="shared" si="17"/>
        <v>IAG GBS LTD-Cargo-CC-Airoli - TMG</v>
      </c>
      <c r="E1092" s="12" t="s">
        <v>126</v>
      </c>
      <c r="F1092" s="12" t="s">
        <v>163</v>
      </c>
      <c r="G1092" s="12" t="s">
        <v>164</v>
      </c>
      <c r="H1092" s="12" t="s">
        <v>1025</v>
      </c>
      <c r="I1092" s="12" t="s">
        <v>1026</v>
      </c>
    </row>
    <row r="1093" spans="1:9">
      <c r="A1093" s="14">
        <v>10620</v>
      </c>
      <c r="B1093" s="14" t="s">
        <v>275</v>
      </c>
      <c r="C1093" s="12" t="s">
        <v>185</v>
      </c>
      <c r="D1093" s="15" t="str">
        <f t="shared" si="17"/>
        <v>IAG GBS LTD-Cargo-CC-Airoli - TPS</v>
      </c>
      <c r="E1093" s="12" t="s">
        <v>126</v>
      </c>
      <c r="F1093" s="12" t="s">
        <v>163</v>
      </c>
      <c r="G1093" s="12" t="s">
        <v>164</v>
      </c>
      <c r="H1093" s="12" t="s">
        <v>1025</v>
      </c>
      <c r="I1093" s="12" t="s">
        <v>1026</v>
      </c>
    </row>
    <row r="1094" spans="1:9">
      <c r="A1094" s="14">
        <v>10620</v>
      </c>
      <c r="B1094" s="14" t="s">
        <v>275</v>
      </c>
      <c r="C1094" s="12" t="s">
        <v>546</v>
      </c>
      <c r="D1094" s="15" t="str">
        <f t="shared" si="17"/>
        <v>IAG GBS LTD-Cargo-CC-Airoli - TRN</v>
      </c>
      <c r="E1094" s="12" t="s">
        <v>112</v>
      </c>
      <c r="F1094" s="12" t="s">
        <v>204</v>
      </c>
      <c r="G1094" s="12" t="s">
        <v>205</v>
      </c>
      <c r="H1094" s="12" t="s">
        <v>1025</v>
      </c>
      <c r="I1094" s="12" t="s">
        <v>1026</v>
      </c>
    </row>
    <row r="1095" spans="1:9">
      <c r="A1095" s="14">
        <v>96726</v>
      </c>
      <c r="B1095" s="14" t="s">
        <v>658</v>
      </c>
      <c r="C1095" s="12" t="s">
        <v>121</v>
      </c>
      <c r="D1095" s="15" t="str">
        <f t="shared" si="17"/>
        <v>IDC Business Finance - F&amp;A</v>
      </c>
      <c r="E1095" s="12" t="s">
        <v>104</v>
      </c>
      <c r="F1095" s="12" t="s">
        <v>122</v>
      </c>
      <c r="G1095" s="12" t="s">
        <v>114</v>
      </c>
      <c r="H1095" s="12" t="s">
        <v>1025</v>
      </c>
      <c r="I1095" s="12" t="s">
        <v>1026</v>
      </c>
    </row>
    <row r="1096" spans="1:9">
      <c r="A1096" s="14">
        <v>96726</v>
      </c>
      <c r="B1096" s="14" t="s">
        <v>658</v>
      </c>
      <c r="C1096" s="12" t="s">
        <v>129</v>
      </c>
      <c r="D1096" s="15" t="str">
        <f t="shared" si="17"/>
        <v>IDC Business Finance - MGT</v>
      </c>
      <c r="E1096" s="12" t="s">
        <v>104</v>
      </c>
      <c r="F1096" s="12" t="s">
        <v>122</v>
      </c>
      <c r="G1096" s="12" t="s">
        <v>114</v>
      </c>
      <c r="H1096" s="12" t="s">
        <v>1025</v>
      </c>
      <c r="I1096" s="12" t="s">
        <v>1026</v>
      </c>
    </row>
    <row r="1097" spans="1:9">
      <c r="A1097" s="14">
        <v>96726</v>
      </c>
      <c r="B1097" s="14" t="s">
        <v>658</v>
      </c>
      <c r="C1097" s="12" t="s">
        <v>139</v>
      </c>
      <c r="D1097" s="15" t="str">
        <f t="shared" si="17"/>
        <v>IDC Business Finance - SMGT</v>
      </c>
      <c r="E1097" s="12" t="s">
        <v>104</v>
      </c>
      <c r="F1097" s="12" t="s">
        <v>122</v>
      </c>
      <c r="G1097" s="12" t="s">
        <v>114</v>
      </c>
      <c r="H1097" s="12" t="s">
        <v>1025</v>
      </c>
      <c r="I1097" s="12" t="s">
        <v>1026</v>
      </c>
    </row>
    <row r="1098" spans="1:9">
      <c r="A1098" s="14">
        <v>96726</v>
      </c>
      <c r="B1098" s="14" t="s">
        <v>658</v>
      </c>
      <c r="C1098" s="12" t="s">
        <v>145</v>
      </c>
      <c r="D1098" s="15" t="str">
        <f t="shared" si="17"/>
        <v>IDC Business Finance - SUP</v>
      </c>
      <c r="E1098" s="12" t="s">
        <v>104</v>
      </c>
      <c r="F1098" s="12" t="s">
        <v>122</v>
      </c>
      <c r="G1098" s="12" t="s">
        <v>114</v>
      </c>
      <c r="H1098" s="12" t="s">
        <v>1025</v>
      </c>
      <c r="I1098" s="12" t="s">
        <v>1026</v>
      </c>
    </row>
    <row r="1099" spans="1:9">
      <c r="A1099" s="14">
        <v>10487</v>
      </c>
      <c r="B1099" s="14" t="s">
        <v>246</v>
      </c>
      <c r="C1099" s="12" t="s">
        <v>116</v>
      </c>
      <c r="D1099" s="15" t="str">
        <f t="shared" si="17"/>
        <v>IDMS Research - PRD</v>
      </c>
      <c r="E1099" s="12" t="s">
        <v>126</v>
      </c>
      <c r="F1099" s="12" t="s">
        <v>184</v>
      </c>
      <c r="G1099" s="12" t="s">
        <v>184</v>
      </c>
      <c r="H1099" s="12" t="s">
        <v>1025</v>
      </c>
      <c r="I1099" s="12" t="s">
        <v>1026</v>
      </c>
    </row>
    <row r="1100" spans="1:9">
      <c r="A1100" s="14">
        <v>10487</v>
      </c>
      <c r="B1100" s="14" t="s">
        <v>246</v>
      </c>
      <c r="C1100" s="12" t="s">
        <v>510</v>
      </c>
      <c r="D1100" s="15" t="str">
        <f t="shared" si="17"/>
        <v>IDMS Research - RST</v>
      </c>
      <c r="E1100" s="12" t="s">
        <v>126</v>
      </c>
      <c r="F1100" s="12" t="s">
        <v>184</v>
      </c>
      <c r="G1100" s="12" t="s">
        <v>184</v>
      </c>
      <c r="H1100" s="12" t="s">
        <v>1025</v>
      </c>
      <c r="I1100" s="12" t="s">
        <v>1026</v>
      </c>
    </row>
    <row r="1101" spans="1:9">
      <c r="A1101" s="14">
        <v>10487</v>
      </c>
      <c r="B1101" s="14" t="s">
        <v>246</v>
      </c>
      <c r="C1101" s="12" t="s">
        <v>145</v>
      </c>
      <c r="D1101" s="15" t="str">
        <f t="shared" si="17"/>
        <v>IDMS Research - SUP</v>
      </c>
      <c r="E1101" s="12" t="s">
        <v>126</v>
      </c>
      <c r="F1101" s="12" t="s">
        <v>184</v>
      </c>
      <c r="G1101" s="12" t="s">
        <v>184</v>
      </c>
      <c r="H1101" s="12" t="s">
        <v>1025</v>
      </c>
      <c r="I1101" s="12" t="s">
        <v>1026</v>
      </c>
    </row>
    <row r="1102" spans="1:9">
      <c r="A1102" s="14">
        <v>51152</v>
      </c>
      <c r="B1102" s="14" t="s">
        <v>717</v>
      </c>
      <c r="C1102" s="12" t="s">
        <v>116</v>
      </c>
      <c r="D1102" s="15" t="str">
        <f t="shared" si="17"/>
        <v>IEEE-2110-2410-Cloudtestr - PRD</v>
      </c>
      <c r="E1102" s="12" t="s">
        <v>117</v>
      </c>
      <c r="F1102" s="12" t="s">
        <v>117</v>
      </c>
      <c r="G1102" s="12" t="s">
        <v>117</v>
      </c>
      <c r="H1102" s="12" t="s">
        <v>1025</v>
      </c>
      <c r="I1102" s="12" t="s">
        <v>1026</v>
      </c>
    </row>
    <row r="1103" spans="1:9">
      <c r="A1103" s="14">
        <v>51153</v>
      </c>
      <c r="B1103" s="14" t="s">
        <v>718</v>
      </c>
      <c r="C1103" s="12" t="s">
        <v>116</v>
      </c>
      <c r="D1103" s="15" t="str">
        <f t="shared" si="17"/>
        <v>IFFCO-2208-2507-QE-SAP - PRD</v>
      </c>
      <c r="E1103" s="12" t="s">
        <v>117</v>
      </c>
      <c r="F1103" s="12" t="s">
        <v>117</v>
      </c>
      <c r="G1103" s="12" t="s">
        <v>117</v>
      </c>
      <c r="H1103" s="12" t="s">
        <v>1025</v>
      </c>
      <c r="I1103" s="12" t="s">
        <v>1026</v>
      </c>
    </row>
    <row r="1104" spans="1:9">
      <c r="A1104" s="14">
        <v>10900</v>
      </c>
      <c r="B1104" s="14" t="s">
        <v>442</v>
      </c>
      <c r="C1104" s="12" t="s">
        <v>138</v>
      </c>
      <c r="D1104" s="15" t="str">
        <f t="shared" si="17"/>
        <v>India DHL UK AR - BOS</v>
      </c>
      <c r="E1104" s="12" t="s">
        <v>126</v>
      </c>
      <c r="F1104" s="12" t="s">
        <v>163</v>
      </c>
      <c r="G1104" s="12" t="s">
        <v>164</v>
      </c>
      <c r="H1104" s="12" t="s">
        <v>1025</v>
      </c>
      <c r="I1104" s="12" t="s">
        <v>1026</v>
      </c>
    </row>
    <row r="1105" spans="1:9">
      <c r="A1105" s="14">
        <v>10900</v>
      </c>
      <c r="B1105" s="14" t="s">
        <v>442</v>
      </c>
      <c r="C1105" s="12" t="s">
        <v>150</v>
      </c>
      <c r="D1105" s="15" t="str">
        <f t="shared" si="17"/>
        <v>India DHL UK AR - CCS</v>
      </c>
      <c r="E1105" s="12" t="s">
        <v>126</v>
      </c>
      <c r="F1105" s="12" t="s">
        <v>163</v>
      </c>
      <c r="G1105" s="12" t="s">
        <v>164</v>
      </c>
      <c r="H1105" s="12" t="s">
        <v>1025</v>
      </c>
      <c r="I1105" s="12" t="s">
        <v>1026</v>
      </c>
    </row>
    <row r="1106" spans="1:9">
      <c r="A1106" s="14">
        <v>10900</v>
      </c>
      <c r="B1106" s="14" t="s">
        <v>442</v>
      </c>
      <c r="C1106" s="12" t="s">
        <v>306</v>
      </c>
      <c r="D1106" s="15" t="str">
        <f t="shared" si="17"/>
        <v>India DHL UK AR - FAO</v>
      </c>
      <c r="E1106" s="12" t="s">
        <v>126</v>
      </c>
      <c r="F1106" s="12" t="s">
        <v>163</v>
      </c>
      <c r="G1106" s="12" t="s">
        <v>164</v>
      </c>
      <c r="H1106" s="12" t="s">
        <v>1025</v>
      </c>
      <c r="I1106" s="12" t="s">
        <v>1026</v>
      </c>
    </row>
    <row r="1107" spans="1:9">
      <c r="A1107" s="14">
        <v>10900</v>
      </c>
      <c r="B1107" s="14" t="s">
        <v>442</v>
      </c>
      <c r="C1107" s="12" t="s">
        <v>129</v>
      </c>
      <c r="D1107" s="15" t="str">
        <f t="shared" si="17"/>
        <v>India DHL UK AR - MGT</v>
      </c>
      <c r="E1107" s="12" t="s">
        <v>126</v>
      </c>
      <c r="F1107" s="12" t="s">
        <v>163</v>
      </c>
      <c r="G1107" s="12" t="s">
        <v>164</v>
      </c>
      <c r="H1107" s="12" t="s">
        <v>1025</v>
      </c>
      <c r="I1107" s="12" t="s">
        <v>1026</v>
      </c>
    </row>
    <row r="1108" spans="1:9">
      <c r="A1108" s="14">
        <v>10900</v>
      </c>
      <c r="B1108" s="14" t="s">
        <v>442</v>
      </c>
      <c r="C1108" s="12" t="s">
        <v>116</v>
      </c>
      <c r="D1108" s="15" t="str">
        <f t="shared" si="17"/>
        <v>India DHL UK AR - PRD</v>
      </c>
      <c r="E1108" s="12" t="s">
        <v>126</v>
      </c>
      <c r="F1108" s="12" t="s">
        <v>163</v>
      </c>
      <c r="G1108" s="12" t="s">
        <v>164</v>
      </c>
      <c r="H1108" s="12" t="s">
        <v>1025</v>
      </c>
      <c r="I1108" s="12" t="s">
        <v>1026</v>
      </c>
    </row>
    <row r="1109" spans="1:9">
      <c r="A1109" s="14">
        <v>10900</v>
      </c>
      <c r="B1109" s="14" t="s">
        <v>442</v>
      </c>
      <c r="C1109" s="12" t="s">
        <v>119</v>
      </c>
      <c r="D1109" s="15" t="str">
        <f t="shared" si="17"/>
        <v>India DHL UK AR - SQM</v>
      </c>
      <c r="E1109" s="12" t="s">
        <v>112</v>
      </c>
      <c r="F1109" s="12" t="s">
        <v>113</v>
      </c>
      <c r="G1109" s="12" t="s">
        <v>114</v>
      </c>
      <c r="H1109" s="12" t="s">
        <v>1025</v>
      </c>
      <c r="I1109" s="12" t="s">
        <v>1026</v>
      </c>
    </row>
    <row r="1110" spans="1:9">
      <c r="A1110" s="14">
        <v>10900</v>
      </c>
      <c r="B1110" s="14" t="s">
        <v>442</v>
      </c>
      <c r="C1110" s="12" t="s">
        <v>145</v>
      </c>
      <c r="D1110" s="15" t="str">
        <f t="shared" si="17"/>
        <v>India DHL UK AR - SUP</v>
      </c>
      <c r="E1110" s="12" t="s">
        <v>126</v>
      </c>
      <c r="F1110" s="12" t="s">
        <v>163</v>
      </c>
      <c r="G1110" s="12" t="s">
        <v>164</v>
      </c>
      <c r="H1110" s="12" t="s">
        <v>1025</v>
      </c>
      <c r="I1110" s="12" t="s">
        <v>1026</v>
      </c>
    </row>
    <row r="1111" spans="1:9">
      <c r="A1111" s="14">
        <v>10900</v>
      </c>
      <c r="B1111" s="14" t="s">
        <v>442</v>
      </c>
      <c r="C1111" s="12" t="s">
        <v>185</v>
      </c>
      <c r="D1111" s="15" t="str">
        <f t="shared" si="17"/>
        <v>India DHL UK AR - TPS</v>
      </c>
      <c r="E1111" s="12" t="s">
        <v>126</v>
      </c>
      <c r="F1111" s="12" t="s">
        <v>163</v>
      </c>
      <c r="G1111" s="12" t="s">
        <v>164</v>
      </c>
      <c r="H1111" s="12" t="s">
        <v>1025</v>
      </c>
      <c r="I1111" s="12" t="s">
        <v>1026</v>
      </c>
    </row>
    <row r="1112" spans="1:9">
      <c r="A1112" s="14">
        <v>10900</v>
      </c>
      <c r="B1112" s="14" t="s">
        <v>442</v>
      </c>
      <c r="C1112" s="12" t="s">
        <v>208</v>
      </c>
      <c r="D1112" s="15" t="str">
        <f t="shared" si="17"/>
        <v>India DHL UK AR - TTR</v>
      </c>
      <c r="E1112" s="12" t="s">
        <v>112</v>
      </c>
      <c r="F1112" s="12" t="s">
        <v>204</v>
      </c>
      <c r="G1112" s="12" t="s">
        <v>205</v>
      </c>
      <c r="H1112" s="12" t="s">
        <v>1025</v>
      </c>
      <c r="I1112" s="12" t="s">
        <v>1026</v>
      </c>
    </row>
    <row r="1113" spans="1:9">
      <c r="A1113" s="14">
        <v>10217</v>
      </c>
      <c r="B1113" s="14" t="s">
        <v>235</v>
      </c>
      <c r="C1113" s="12" t="s">
        <v>138</v>
      </c>
      <c r="D1113" s="15" t="str">
        <f t="shared" si="17"/>
        <v>India Mcafee Verizon - BOS</v>
      </c>
      <c r="E1113" s="12" t="s">
        <v>126</v>
      </c>
      <c r="F1113" s="12" t="s">
        <v>360</v>
      </c>
      <c r="G1113" s="12" t="s">
        <v>361</v>
      </c>
      <c r="H1113" s="12" t="s">
        <v>1025</v>
      </c>
      <c r="I1113" s="12" t="s">
        <v>1026</v>
      </c>
    </row>
    <row r="1114" spans="1:9">
      <c r="A1114" s="14">
        <v>10217</v>
      </c>
      <c r="B1114" s="14" t="s">
        <v>235</v>
      </c>
      <c r="C1114" s="12" t="s">
        <v>398</v>
      </c>
      <c r="D1114" s="15" t="str">
        <f t="shared" si="17"/>
        <v>India Mcafee Verizon - CBK</v>
      </c>
      <c r="E1114" s="12" t="s">
        <v>126</v>
      </c>
      <c r="F1114" s="12" t="s">
        <v>360</v>
      </c>
      <c r="G1114" s="12" t="s">
        <v>361</v>
      </c>
      <c r="H1114" s="12" t="s">
        <v>1025</v>
      </c>
      <c r="I1114" s="12" t="s">
        <v>1026</v>
      </c>
    </row>
    <row r="1115" spans="1:9">
      <c r="A1115" s="14">
        <v>10217</v>
      </c>
      <c r="B1115" s="14" t="s">
        <v>235</v>
      </c>
      <c r="C1115" s="12" t="s">
        <v>150</v>
      </c>
      <c r="D1115" s="15" t="str">
        <f t="shared" si="17"/>
        <v>India Mcafee Verizon - CCS</v>
      </c>
      <c r="E1115" s="12" t="s">
        <v>126</v>
      </c>
      <c r="F1115" s="12" t="s">
        <v>360</v>
      </c>
      <c r="G1115" s="12" t="s">
        <v>361</v>
      </c>
      <c r="H1115" s="12" t="s">
        <v>1025</v>
      </c>
      <c r="I1115" s="12" t="s">
        <v>1026</v>
      </c>
    </row>
    <row r="1116" spans="1:9">
      <c r="A1116" s="14">
        <v>10217</v>
      </c>
      <c r="B1116" s="14" t="s">
        <v>235</v>
      </c>
      <c r="C1116" s="12" t="s">
        <v>171</v>
      </c>
      <c r="D1116" s="15" t="str">
        <f t="shared" si="17"/>
        <v>India Mcafee Verizon - ETE</v>
      </c>
      <c r="E1116" s="12" t="s">
        <v>126</v>
      </c>
      <c r="F1116" s="12" t="s">
        <v>360</v>
      </c>
      <c r="G1116" s="12" t="s">
        <v>361</v>
      </c>
      <c r="H1116" s="12" t="s">
        <v>1025</v>
      </c>
      <c r="I1116" s="12" t="s">
        <v>1026</v>
      </c>
    </row>
    <row r="1117" spans="1:9">
      <c r="A1117" s="14">
        <v>10217</v>
      </c>
      <c r="B1117" s="14" t="s">
        <v>235</v>
      </c>
      <c r="C1117" s="12" t="s">
        <v>449</v>
      </c>
      <c r="D1117" s="15" t="str">
        <f t="shared" si="17"/>
        <v>India Mcafee Verizon - RPA</v>
      </c>
      <c r="E1117" s="12" t="s">
        <v>126</v>
      </c>
      <c r="F1117" s="12" t="s">
        <v>360</v>
      </c>
      <c r="G1117" s="12" t="s">
        <v>361</v>
      </c>
      <c r="H1117" s="12" t="s">
        <v>1025</v>
      </c>
      <c r="I1117" s="12" t="s">
        <v>1026</v>
      </c>
    </row>
    <row r="1118" spans="1:9">
      <c r="A1118" s="14">
        <v>10217</v>
      </c>
      <c r="B1118" s="14" t="s">
        <v>235</v>
      </c>
      <c r="C1118" s="12" t="s">
        <v>451</v>
      </c>
      <c r="D1118" s="15" t="str">
        <f t="shared" si="17"/>
        <v>India Mcafee Verizon - SLS</v>
      </c>
      <c r="E1118" s="12" t="s">
        <v>126</v>
      </c>
      <c r="F1118" s="12" t="s">
        <v>360</v>
      </c>
      <c r="G1118" s="12" t="s">
        <v>361</v>
      </c>
      <c r="H1118" s="12" t="s">
        <v>1025</v>
      </c>
      <c r="I1118" s="12" t="s">
        <v>1026</v>
      </c>
    </row>
    <row r="1119" spans="1:9">
      <c r="A1119" s="14">
        <v>10217</v>
      </c>
      <c r="B1119" s="14" t="s">
        <v>235</v>
      </c>
      <c r="C1119" s="12" t="s">
        <v>172</v>
      </c>
      <c r="D1119" s="15" t="str">
        <f t="shared" si="17"/>
        <v>India Mcafee Verizon - SME</v>
      </c>
      <c r="E1119" s="12" t="s">
        <v>126</v>
      </c>
      <c r="F1119" s="12" t="s">
        <v>360</v>
      </c>
      <c r="G1119" s="12" t="s">
        <v>361</v>
      </c>
      <c r="H1119" s="12" t="s">
        <v>1025</v>
      </c>
      <c r="I1119" s="12" t="s">
        <v>1026</v>
      </c>
    </row>
    <row r="1120" spans="1:9">
      <c r="A1120" s="14">
        <v>10217</v>
      </c>
      <c r="B1120" s="14" t="s">
        <v>235</v>
      </c>
      <c r="C1120" s="12" t="s">
        <v>119</v>
      </c>
      <c r="D1120" s="15" t="str">
        <f t="shared" si="17"/>
        <v>India Mcafee Verizon - SQM</v>
      </c>
      <c r="E1120" s="12" t="s">
        <v>112</v>
      </c>
      <c r="F1120" s="12" t="s">
        <v>113</v>
      </c>
      <c r="G1120" s="12" t="s">
        <v>114</v>
      </c>
      <c r="H1120" s="12" t="s">
        <v>1025</v>
      </c>
      <c r="I1120" s="12" t="s">
        <v>1026</v>
      </c>
    </row>
    <row r="1121" spans="1:9">
      <c r="A1121" s="14">
        <v>10217</v>
      </c>
      <c r="B1121" s="14" t="s">
        <v>235</v>
      </c>
      <c r="C1121" s="12" t="s">
        <v>145</v>
      </c>
      <c r="D1121" s="15" t="str">
        <f t="shared" si="17"/>
        <v>India Mcafee Verizon - SUP</v>
      </c>
      <c r="E1121" s="12" t="s">
        <v>126</v>
      </c>
      <c r="F1121" s="12" t="s">
        <v>360</v>
      </c>
      <c r="G1121" s="12" t="s">
        <v>361</v>
      </c>
      <c r="H1121" s="12" t="s">
        <v>1025</v>
      </c>
      <c r="I1121" s="12" t="s">
        <v>1026</v>
      </c>
    </row>
    <row r="1122" spans="1:9">
      <c r="A1122" s="14">
        <v>10217</v>
      </c>
      <c r="B1122" s="14" t="s">
        <v>235</v>
      </c>
      <c r="C1122" s="12" t="s">
        <v>196</v>
      </c>
      <c r="D1122" s="15" t="str">
        <f t="shared" si="17"/>
        <v>India Mcafee Verizon - SUT</v>
      </c>
      <c r="E1122" s="12" t="s">
        <v>126</v>
      </c>
      <c r="F1122" s="12" t="s">
        <v>360</v>
      </c>
      <c r="G1122" s="12" t="s">
        <v>361</v>
      </c>
      <c r="H1122" s="12" t="s">
        <v>1025</v>
      </c>
      <c r="I1122" s="12" t="s">
        <v>1026</v>
      </c>
    </row>
    <row r="1123" spans="1:9">
      <c r="A1123" s="14">
        <v>10217</v>
      </c>
      <c r="B1123" s="14" t="s">
        <v>235</v>
      </c>
      <c r="C1123" s="12" t="s">
        <v>198</v>
      </c>
      <c r="D1123" s="15" t="str">
        <f t="shared" si="17"/>
        <v>India Mcafee Verizon - TEC</v>
      </c>
      <c r="E1123" s="12" t="s">
        <v>126</v>
      </c>
      <c r="F1123" s="12" t="s">
        <v>360</v>
      </c>
      <c r="G1123" s="12" t="s">
        <v>361</v>
      </c>
      <c r="H1123" s="12" t="s">
        <v>1025</v>
      </c>
      <c r="I1123" s="12" t="s">
        <v>1026</v>
      </c>
    </row>
    <row r="1124" spans="1:9">
      <c r="A1124" s="14">
        <v>10217</v>
      </c>
      <c r="B1124" s="14" t="s">
        <v>235</v>
      </c>
      <c r="C1124" s="12" t="s">
        <v>180</v>
      </c>
      <c r="D1124" s="15" t="str">
        <f t="shared" si="17"/>
        <v>India Mcafee Verizon - TMG</v>
      </c>
      <c r="E1124" s="12" t="s">
        <v>126</v>
      </c>
      <c r="F1124" s="12" t="s">
        <v>360</v>
      </c>
      <c r="G1124" s="12" t="s">
        <v>361</v>
      </c>
      <c r="H1124" s="12" t="s">
        <v>1025</v>
      </c>
      <c r="I1124" s="12" t="s">
        <v>1026</v>
      </c>
    </row>
    <row r="1125" spans="1:9">
      <c r="A1125" s="14">
        <v>10217</v>
      </c>
      <c r="B1125" s="14" t="s">
        <v>235</v>
      </c>
      <c r="C1125" s="12" t="s">
        <v>203</v>
      </c>
      <c r="D1125" s="15" t="str">
        <f t="shared" si="17"/>
        <v>India Mcafee Verizon - TRG</v>
      </c>
      <c r="E1125" s="12" t="s">
        <v>112</v>
      </c>
      <c r="F1125" s="12" t="s">
        <v>204</v>
      </c>
      <c r="G1125" s="12" t="s">
        <v>205</v>
      </c>
      <c r="H1125" s="12" t="s">
        <v>1025</v>
      </c>
      <c r="I1125" s="12" t="s">
        <v>1026</v>
      </c>
    </row>
    <row r="1126" spans="1:9">
      <c r="A1126" s="14">
        <v>10217</v>
      </c>
      <c r="B1126" s="14" t="s">
        <v>235</v>
      </c>
      <c r="C1126" s="12" t="s">
        <v>208</v>
      </c>
      <c r="D1126" s="15" t="str">
        <f t="shared" si="17"/>
        <v>India Mcafee Verizon - TTR</v>
      </c>
      <c r="E1126" s="12" t="s">
        <v>112</v>
      </c>
      <c r="F1126" s="12" t="s">
        <v>204</v>
      </c>
      <c r="G1126" s="12" t="s">
        <v>205</v>
      </c>
      <c r="H1126" s="12" t="s">
        <v>1025</v>
      </c>
      <c r="I1126" s="12" t="s">
        <v>1026</v>
      </c>
    </row>
    <row r="1127" spans="1:9">
      <c r="A1127" s="14">
        <v>10583</v>
      </c>
      <c r="B1127" s="14" t="s">
        <v>270</v>
      </c>
      <c r="C1127" s="12" t="s">
        <v>150</v>
      </c>
      <c r="D1127" s="15" t="str">
        <f t="shared" si="17"/>
        <v>India Private Label - CCS</v>
      </c>
      <c r="E1127" s="12" t="s">
        <v>126</v>
      </c>
      <c r="F1127" s="12" t="s">
        <v>360</v>
      </c>
      <c r="G1127" s="12" t="s">
        <v>361</v>
      </c>
      <c r="H1127" s="12" t="s">
        <v>1025</v>
      </c>
      <c r="I1127" s="12" t="s">
        <v>1026</v>
      </c>
    </row>
    <row r="1128" spans="1:9">
      <c r="A1128" s="14">
        <v>10583</v>
      </c>
      <c r="B1128" s="14" t="s">
        <v>270</v>
      </c>
      <c r="C1128" s="12" t="s">
        <v>352</v>
      </c>
      <c r="D1128" s="15" t="str">
        <f t="shared" si="17"/>
        <v>India Private Label - EAT</v>
      </c>
      <c r="E1128" s="12" t="s">
        <v>126</v>
      </c>
      <c r="F1128" s="12" t="s">
        <v>518</v>
      </c>
      <c r="G1128" s="12" t="s">
        <v>350</v>
      </c>
      <c r="H1128" s="12" t="s">
        <v>1025</v>
      </c>
      <c r="I1128" s="12" t="s">
        <v>1026</v>
      </c>
    </row>
    <row r="1129" spans="1:9">
      <c r="A1129" s="14">
        <v>10583</v>
      </c>
      <c r="B1129" s="14" t="s">
        <v>270</v>
      </c>
      <c r="C1129" s="12" t="s">
        <v>161</v>
      </c>
      <c r="D1129" s="15" t="str">
        <f t="shared" si="17"/>
        <v>India Private Label - ECC</v>
      </c>
      <c r="E1129" s="12" t="s">
        <v>126</v>
      </c>
      <c r="F1129" s="12" t="s">
        <v>360</v>
      </c>
      <c r="G1129" s="12" t="s">
        <v>361</v>
      </c>
      <c r="H1129" s="12" t="s">
        <v>1025</v>
      </c>
      <c r="I1129" s="12" t="s">
        <v>1026</v>
      </c>
    </row>
    <row r="1130" spans="1:9">
      <c r="A1130" s="14">
        <v>10583</v>
      </c>
      <c r="B1130" s="14" t="s">
        <v>270</v>
      </c>
      <c r="C1130" s="12" t="s">
        <v>168</v>
      </c>
      <c r="D1130" s="15" t="str">
        <f t="shared" si="17"/>
        <v>India Private Label - ESC</v>
      </c>
      <c r="E1130" s="12" t="s">
        <v>126</v>
      </c>
      <c r="F1130" s="12" t="s">
        <v>360</v>
      </c>
      <c r="G1130" s="12" t="s">
        <v>361</v>
      </c>
      <c r="H1130" s="12" t="s">
        <v>1025</v>
      </c>
      <c r="I1130" s="12" t="s">
        <v>1026</v>
      </c>
    </row>
    <row r="1131" spans="1:9">
      <c r="A1131" s="14">
        <v>10583</v>
      </c>
      <c r="B1131" s="14" t="s">
        <v>270</v>
      </c>
      <c r="C1131" s="12" t="s">
        <v>171</v>
      </c>
      <c r="D1131" s="15" t="str">
        <f t="shared" si="17"/>
        <v>India Private Label - ETE</v>
      </c>
      <c r="E1131" s="12" t="s">
        <v>126</v>
      </c>
      <c r="F1131" s="12" t="s">
        <v>360</v>
      </c>
      <c r="G1131" s="12" t="s">
        <v>361</v>
      </c>
      <c r="H1131" s="12" t="s">
        <v>1025</v>
      </c>
      <c r="I1131" s="12" t="s">
        <v>1026</v>
      </c>
    </row>
    <row r="1132" spans="1:9">
      <c r="A1132" s="14">
        <v>10583</v>
      </c>
      <c r="B1132" s="14" t="s">
        <v>270</v>
      </c>
      <c r="C1132" s="12" t="s">
        <v>422</v>
      </c>
      <c r="D1132" s="15" t="str">
        <f t="shared" si="17"/>
        <v>India Private Label - FMEA</v>
      </c>
      <c r="E1132" s="12" t="s">
        <v>126</v>
      </c>
      <c r="F1132" s="12" t="s">
        <v>360</v>
      </c>
      <c r="G1132" s="12" t="s">
        <v>361</v>
      </c>
      <c r="H1132" s="12" t="s">
        <v>1025</v>
      </c>
      <c r="I1132" s="12" t="s">
        <v>1026</v>
      </c>
    </row>
    <row r="1133" spans="1:9">
      <c r="A1133" s="14">
        <v>10583</v>
      </c>
      <c r="B1133" s="14" t="s">
        <v>270</v>
      </c>
      <c r="C1133" s="12" t="s">
        <v>129</v>
      </c>
      <c r="D1133" s="15" t="str">
        <f t="shared" si="17"/>
        <v>India Private Label - MGT</v>
      </c>
      <c r="E1133" s="12" t="s">
        <v>126</v>
      </c>
      <c r="F1133" s="12" t="s">
        <v>360</v>
      </c>
      <c r="G1133" s="12" t="s">
        <v>361</v>
      </c>
      <c r="H1133" s="12" t="s">
        <v>1025</v>
      </c>
      <c r="I1133" s="12" t="s">
        <v>1026</v>
      </c>
    </row>
    <row r="1134" spans="1:9">
      <c r="A1134" s="14">
        <v>10583</v>
      </c>
      <c r="B1134" s="14" t="s">
        <v>270</v>
      </c>
      <c r="C1134" s="12" t="s">
        <v>177</v>
      </c>
      <c r="D1134" s="15" t="str">
        <f t="shared" si="17"/>
        <v>India Private Label - OPS</v>
      </c>
      <c r="E1134" s="12" t="s">
        <v>126</v>
      </c>
      <c r="F1134" s="12" t="s">
        <v>360</v>
      </c>
      <c r="G1134" s="12" t="s">
        <v>361</v>
      </c>
      <c r="H1134" s="12" t="s">
        <v>1025</v>
      </c>
      <c r="I1134" s="12" t="s">
        <v>1026</v>
      </c>
    </row>
    <row r="1135" spans="1:9">
      <c r="A1135" s="14">
        <v>10583</v>
      </c>
      <c r="B1135" s="14" t="s">
        <v>270</v>
      </c>
      <c r="C1135" s="12" t="s">
        <v>111</v>
      </c>
      <c r="D1135" s="15" t="str">
        <f t="shared" si="17"/>
        <v>India Private Label - QLY</v>
      </c>
      <c r="E1135" s="12" t="s">
        <v>112</v>
      </c>
      <c r="F1135" s="12" t="s">
        <v>113</v>
      </c>
      <c r="G1135" s="12" t="s">
        <v>114</v>
      </c>
      <c r="H1135" s="12" t="s">
        <v>1025</v>
      </c>
      <c r="I1135" s="12" t="s">
        <v>1026</v>
      </c>
    </row>
    <row r="1136" spans="1:9">
      <c r="A1136" s="14">
        <v>10583</v>
      </c>
      <c r="B1136" s="14" t="s">
        <v>270</v>
      </c>
      <c r="C1136" s="12" t="s">
        <v>451</v>
      </c>
      <c r="D1136" s="15" t="str">
        <f t="shared" si="17"/>
        <v>India Private Label - SLS</v>
      </c>
      <c r="E1136" s="12" t="s">
        <v>126</v>
      </c>
      <c r="F1136" s="12" t="s">
        <v>360</v>
      </c>
      <c r="G1136" s="12" t="s">
        <v>361</v>
      </c>
      <c r="H1136" s="12" t="s">
        <v>1025</v>
      </c>
      <c r="I1136" s="12" t="s">
        <v>1026</v>
      </c>
    </row>
    <row r="1137" spans="1:9">
      <c r="A1137" s="14">
        <v>10583</v>
      </c>
      <c r="B1137" s="14" t="s">
        <v>270</v>
      </c>
      <c r="C1137" s="12" t="s">
        <v>119</v>
      </c>
      <c r="D1137" s="15" t="str">
        <f t="shared" si="17"/>
        <v>India Private Label - SQM</v>
      </c>
      <c r="E1137" s="12" t="s">
        <v>112</v>
      </c>
      <c r="F1137" s="12" t="s">
        <v>113</v>
      </c>
      <c r="G1137" s="12" t="s">
        <v>114</v>
      </c>
      <c r="H1137" s="12" t="s">
        <v>1025</v>
      </c>
      <c r="I1137" s="12" t="s">
        <v>1026</v>
      </c>
    </row>
    <row r="1138" spans="1:9">
      <c r="A1138" s="14">
        <v>10583</v>
      </c>
      <c r="B1138" s="14" t="s">
        <v>270</v>
      </c>
      <c r="C1138" s="12" t="s">
        <v>145</v>
      </c>
      <c r="D1138" s="15" t="str">
        <f t="shared" si="17"/>
        <v>India Private Label - SUP</v>
      </c>
      <c r="E1138" s="12" t="s">
        <v>126</v>
      </c>
      <c r="F1138" s="12" t="s">
        <v>360</v>
      </c>
      <c r="G1138" s="12" t="s">
        <v>361</v>
      </c>
      <c r="H1138" s="12" t="s">
        <v>1025</v>
      </c>
      <c r="I1138" s="12" t="s">
        <v>1026</v>
      </c>
    </row>
    <row r="1139" spans="1:9">
      <c r="A1139" s="14">
        <v>10583</v>
      </c>
      <c r="B1139" s="14" t="s">
        <v>270</v>
      </c>
      <c r="C1139" s="12" t="s">
        <v>196</v>
      </c>
      <c r="D1139" s="15" t="str">
        <f t="shared" si="17"/>
        <v>India Private Label - SUT</v>
      </c>
      <c r="E1139" s="12" t="s">
        <v>126</v>
      </c>
      <c r="F1139" s="12" t="s">
        <v>360</v>
      </c>
      <c r="G1139" s="12" t="s">
        <v>361</v>
      </c>
      <c r="H1139" s="12" t="s">
        <v>1025</v>
      </c>
      <c r="I1139" s="12" t="s">
        <v>1026</v>
      </c>
    </row>
    <row r="1140" spans="1:9">
      <c r="A1140" s="14">
        <v>10583</v>
      </c>
      <c r="B1140" s="14" t="s">
        <v>270</v>
      </c>
      <c r="C1140" s="12" t="s">
        <v>198</v>
      </c>
      <c r="D1140" s="15" t="str">
        <f t="shared" si="17"/>
        <v>India Private Label - TEC</v>
      </c>
      <c r="E1140" s="12" t="s">
        <v>126</v>
      </c>
      <c r="F1140" s="12" t="s">
        <v>360</v>
      </c>
      <c r="G1140" s="12" t="s">
        <v>361</v>
      </c>
      <c r="H1140" s="12" t="s">
        <v>1025</v>
      </c>
      <c r="I1140" s="12" t="s">
        <v>1026</v>
      </c>
    </row>
    <row r="1141" spans="1:9">
      <c r="A1141" s="14">
        <v>10583</v>
      </c>
      <c r="B1141" s="14" t="s">
        <v>270</v>
      </c>
      <c r="C1141" s="12" t="s">
        <v>180</v>
      </c>
      <c r="D1141" s="15" t="str">
        <f t="shared" si="17"/>
        <v>India Private Label - TMG</v>
      </c>
      <c r="E1141" s="12" t="s">
        <v>126</v>
      </c>
      <c r="F1141" s="12" t="s">
        <v>360</v>
      </c>
      <c r="G1141" s="12" t="s">
        <v>361</v>
      </c>
      <c r="H1141" s="12" t="s">
        <v>1025</v>
      </c>
      <c r="I1141" s="12" t="s">
        <v>1026</v>
      </c>
    </row>
    <row r="1142" spans="1:9">
      <c r="A1142" s="14">
        <v>10583</v>
      </c>
      <c r="B1142" s="14" t="s">
        <v>270</v>
      </c>
      <c r="C1142" s="12" t="s">
        <v>185</v>
      </c>
      <c r="D1142" s="15" t="str">
        <f t="shared" si="17"/>
        <v>India Private Label - TPS</v>
      </c>
      <c r="E1142" s="12" t="s">
        <v>126</v>
      </c>
      <c r="F1142" s="12" t="s">
        <v>360</v>
      </c>
      <c r="G1142" s="12" t="s">
        <v>361</v>
      </c>
      <c r="H1142" s="12" t="s">
        <v>1025</v>
      </c>
      <c r="I1142" s="12" t="s">
        <v>1026</v>
      </c>
    </row>
    <row r="1143" spans="1:9">
      <c r="A1143" s="14">
        <v>10583</v>
      </c>
      <c r="B1143" s="14" t="s">
        <v>270</v>
      </c>
      <c r="C1143" s="12" t="s">
        <v>203</v>
      </c>
      <c r="D1143" s="15" t="str">
        <f t="shared" si="17"/>
        <v>India Private Label - TRG</v>
      </c>
      <c r="E1143" s="12" t="s">
        <v>112</v>
      </c>
      <c r="F1143" s="12" t="s">
        <v>204</v>
      </c>
      <c r="G1143" s="12" t="s">
        <v>205</v>
      </c>
      <c r="H1143" s="12" t="s">
        <v>1025</v>
      </c>
      <c r="I1143" s="12" t="s">
        <v>1026</v>
      </c>
    </row>
    <row r="1144" spans="1:9">
      <c r="A1144" s="14">
        <v>10583</v>
      </c>
      <c r="B1144" s="14" t="s">
        <v>270</v>
      </c>
      <c r="C1144" s="12" t="s">
        <v>208</v>
      </c>
      <c r="D1144" s="15" t="str">
        <f t="shared" si="17"/>
        <v>India Private Label - TTR</v>
      </c>
      <c r="E1144" s="12" t="s">
        <v>112</v>
      </c>
      <c r="F1144" s="12" t="s">
        <v>204</v>
      </c>
      <c r="G1144" s="12" t="s">
        <v>205</v>
      </c>
      <c r="H1144" s="12" t="s">
        <v>1025</v>
      </c>
      <c r="I1144" s="12" t="s">
        <v>1026</v>
      </c>
    </row>
    <row r="1145" spans="1:9">
      <c r="A1145" s="14">
        <v>10786</v>
      </c>
      <c r="B1145" s="14" t="s">
        <v>383</v>
      </c>
      <c r="C1145" s="12" t="s">
        <v>185</v>
      </c>
      <c r="D1145" s="15" t="str">
        <f t="shared" si="17"/>
        <v>IndiGo DOC - TPS</v>
      </c>
      <c r="E1145" s="12" t="s">
        <v>126</v>
      </c>
      <c r="F1145" s="12" t="s">
        <v>163</v>
      </c>
      <c r="G1145" s="12" t="s">
        <v>164</v>
      </c>
      <c r="H1145" s="12" t="s">
        <v>1025</v>
      </c>
      <c r="I1145" s="12" t="s">
        <v>1026</v>
      </c>
    </row>
    <row r="1146" spans="1:9">
      <c r="A1146" s="14">
        <v>10512</v>
      </c>
      <c r="B1146" s="14" t="s">
        <v>265</v>
      </c>
      <c r="C1146" s="12" t="s">
        <v>185</v>
      </c>
      <c r="D1146" s="15" t="str">
        <f t="shared" si="17"/>
        <v>IndiGo PRA - TPS</v>
      </c>
      <c r="E1146" s="12" t="s">
        <v>126</v>
      </c>
      <c r="F1146" s="12" t="s">
        <v>163</v>
      </c>
      <c r="G1146" s="12" t="s">
        <v>164</v>
      </c>
      <c r="H1146" s="12" t="s">
        <v>1025</v>
      </c>
      <c r="I1146" s="12" t="s">
        <v>1026</v>
      </c>
    </row>
    <row r="1147" spans="1:9">
      <c r="A1147" s="14">
        <v>93045</v>
      </c>
      <c r="B1147" s="14" t="s">
        <v>662</v>
      </c>
      <c r="C1147" s="12" t="s">
        <v>129</v>
      </c>
      <c r="D1147" s="15" t="str">
        <f t="shared" si="17"/>
        <v>Industry Marketing - MGT</v>
      </c>
      <c r="E1147" s="12" t="s">
        <v>104</v>
      </c>
      <c r="F1147" s="12" t="s">
        <v>257</v>
      </c>
      <c r="G1147" s="12" t="s">
        <v>114</v>
      </c>
      <c r="H1147" s="12" t="s">
        <v>1025</v>
      </c>
      <c r="I1147" s="12" t="s">
        <v>1026</v>
      </c>
    </row>
    <row r="1148" spans="1:9">
      <c r="A1148" s="14">
        <v>93045</v>
      </c>
      <c r="B1148" s="14" t="s">
        <v>662</v>
      </c>
      <c r="C1148" s="12" t="s">
        <v>139</v>
      </c>
      <c r="D1148" s="15" t="str">
        <f t="shared" si="17"/>
        <v>Industry Marketing - SMGT</v>
      </c>
      <c r="E1148" s="12" t="s">
        <v>104</v>
      </c>
      <c r="F1148" s="12" t="s">
        <v>257</v>
      </c>
      <c r="G1148" s="12" t="s">
        <v>114</v>
      </c>
      <c r="H1148" s="12" t="s">
        <v>1025</v>
      </c>
      <c r="I1148" s="12" t="s">
        <v>1026</v>
      </c>
    </row>
    <row r="1149" spans="1:9">
      <c r="A1149" s="14">
        <v>93045</v>
      </c>
      <c r="B1149" s="14" t="s">
        <v>662</v>
      </c>
      <c r="C1149" s="12" t="s">
        <v>145</v>
      </c>
      <c r="D1149" s="15" t="str">
        <f t="shared" si="17"/>
        <v>Industry Marketing - SUP</v>
      </c>
      <c r="E1149" s="12" t="s">
        <v>104</v>
      </c>
      <c r="F1149" s="12" t="s">
        <v>257</v>
      </c>
      <c r="G1149" s="12" t="s">
        <v>114</v>
      </c>
      <c r="H1149" s="12" t="s">
        <v>1025</v>
      </c>
      <c r="I1149" s="12" t="s">
        <v>1026</v>
      </c>
    </row>
    <row r="1150" spans="1:9">
      <c r="A1150" s="14">
        <v>95501</v>
      </c>
      <c r="B1150" s="14" t="s">
        <v>665</v>
      </c>
      <c r="C1150" s="12" t="s">
        <v>415</v>
      </c>
      <c r="D1150" s="15" t="str">
        <f t="shared" si="17"/>
        <v>Infosec - GTI</v>
      </c>
      <c r="E1150" s="12" t="s">
        <v>117</v>
      </c>
      <c r="F1150" s="12" t="s">
        <v>117</v>
      </c>
      <c r="G1150" s="12" t="s">
        <v>117</v>
      </c>
      <c r="H1150" s="12" t="s">
        <v>1025</v>
      </c>
      <c r="I1150" s="12" t="s">
        <v>1026</v>
      </c>
    </row>
    <row r="1151" spans="1:9">
      <c r="A1151" s="14">
        <v>95501</v>
      </c>
      <c r="B1151" s="14" t="s">
        <v>665</v>
      </c>
      <c r="C1151" s="12" t="s">
        <v>129</v>
      </c>
      <c r="D1151" s="15" t="str">
        <f t="shared" si="17"/>
        <v>Infosec - MGT</v>
      </c>
      <c r="E1151" s="12" t="s">
        <v>117</v>
      </c>
      <c r="F1151" s="12" t="s">
        <v>117</v>
      </c>
      <c r="G1151" s="12" t="s">
        <v>117</v>
      </c>
      <c r="H1151" s="12" t="s">
        <v>1025</v>
      </c>
      <c r="I1151" s="12" t="s">
        <v>1026</v>
      </c>
    </row>
    <row r="1152" spans="1:9">
      <c r="A1152" s="14">
        <v>95501</v>
      </c>
      <c r="B1152" s="14" t="s">
        <v>665</v>
      </c>
      <c r="C1152" s="12" t="s">
        <v>177</v>
      </c>
      <c r="D1152" s="15" t="str">
        <f t="shared" si="17"/>
        <v>Infosec - OPS</v>
      </c>
      <c r="E1152" s="12" t="s">
        <v>117</v>
      </c>
      <c r="F1152" s="12" t="s">
        <v>117</v>
      </c>
      <c r="G1152" s="12" t="s">
        <v>117</v>
      </c>
      <c r="H1152" s="12" t="s">
        <v>1025</v>
      </c>
      <c r="I1152" s="12" t="s">
        <v>1026</v>
      </c>
    </row>
    <row r="1153" spans="1:9">
      <c r="A1153" s="14">
        <v>95501</v>
      </c>
      <c r="B1153" s="14" t="s">
        <v>665</v>
      </c>
      <c r="C1153" s="12" t="s">
        <v>134</v>
      </c>
      <c r="D1153" s="15" t="str">
        <f t="shared" si="17"/>
        <v>Infosec - SEC</v>
      </c>
      <c r="E1153" s="12" t="s">
        <v>117</v>
      </c>
      <c r="F1153" s="12" t="s">
        <v>117</v>
      </c>
      <c r="G1153" s="12" t="s">
        <v>117</v>
      </c>
      <c r="H1153" s="12" t="s">
        <v>1025</v>
      </c>
      <c r="I1153" s="12" t="s">
        <v>1026</v>
      </c>
    </row>
    <row r="1154" spans="1:9">
      <c r="A1154" s="14">
        <v>95501</v>
      </c>
      <c r="B1154" s="14" t="s">
        <v>665</v>
      </c>
      <c r="C1154" s="12" t="s">
        <v>145</v>
      </c>
      <c r="D1154" s="15" t="str">
        <f t="shared" ref="D1154:D1217" si="18">B1154&amp;" - "&amp;C1154</f>
        <v>Infosec - SUP</v>
      </c>
      <c r="E1154" s="12" t="s">
        <v>117</v>
      </c>
      <c r="F1154" s="12" t="s">
        <v>117</v>
      </c>
      <c r="G1154" s="12" t="s">
        <v>117</v>
      </c>
      <c r="H1154" s="12" t="s">
        <v>1025</v>
      </c>
      <c r="I1154" s="12" t="s">
        <v>1026</v>
      </c>
    </row>
    <row r="1155" spans="1:9">
      <c r="A1155" s="14">
        <v>89007</v>
      </c>
      <c r="B1155" s="14" t="s">
        <v>671</v>
      </c>
      <c r="C1155" s="12" t="s">
        <v>116</v>
      </c>
      <c r="D1155" s="15" t="str">
        <f t="shared" si="18"/>
        <v>Infra cloud transformation - PRD</v>
      </c>
      <c r="E1155" s="12" t="s">
        <v>117</v>
      </c>
      <c r="F1155" s="12" t="s">
        <v>117</v>
      </c>
      <c r="G1155" s="12" t="s">
        <v>117</v>
      </c>
      <c r="H1155" s="12" t="s">
        <v>1025</v>
      </c>
      <c r="I1155" s="12" t="s">
        <v>1026</v>
      </c>
    </row>
    <row r="1156" spans="1:9">
      <c r="A1156" s="14">
        <v>10781</v>
      </c>
      <c r="B1156" s="14" t="s">
        <v>380</v>
      </c>
      <c r="C1156" s="12" t="s">
        <v>145</v>
      </c>
      <c r="D1156" s="15" t="str">
        <f t="shared" si="18"/>
        <v>Ingram Offshore QA_Ind - SUP</v>
      </c>
      <c r="E1156" s="12" t="s">
        <v>117</v>
      </c>
      <c r="F1156" s="12" t="s">
        <v>117</v>
      </c>
      <c r="G1156" s="12" t="s">
        <v>117</v>
      </c>
      <c r="H1156" s="12" t="s">
        <v>1025</v>
      </c>
      <c r="I1156" s="12" t="s">
        <v>1026</v>
      </c>
    </row>
    <row r="1157" spans="1:9">
      <c r="A1157" s="14">
        <v>93230</v>
      </c>
      <c r="B1157" s="14" t="s">
        <v>343</v>
      </c>
      <c r="C1157" s="12" t="s">
        <v>145</v>
      </c>
      <c r="D1157" s="15" t="str">
        <f t="shared" si="18"/>
        <v>Insurance - SUP</v>
      </c>
      <c r="E1157" s="12" t="s">
        <v>104</v>
      </c>
      <c r="F1157" s="12" t="s">
        <v>1024</v>
      </c>
      <c r="G1157" s="12" t="s">
        <v>114</v>
      </c>
      <c r="H1157" s="12" t="s">
        <v>1025</v>
      </c>
      <c r="I1157" s="12" t="s">
        <v>1026</v>
      </c>
    </row>
    <row r="1158" spans="1:9">
      <c r="A1158" s="14">
        <v>51157</v>
      </c>
      <c r="B1158" s="14" t="s">
        <v>720</v>
      </c>
      <c r="C1158" s="12" t="s">
        <v>116</v>
      </c>
      <c r="D1158" s="15" t="str">
        <f t="shared" si="18"/>
        <v>INT-2211-2212-QEC-QA-Regressio - PRD</v>
      </c>
      <c r="E1158" s="12" t="s">
        <v>117</v>
      </c>
      <c r="F1158" s="12" t="s">
        <v>117</v>
      </c>
      <c r="G1158" s="12" t="s">
        <v>117</v>
      </c>
      <c r="H1158" s="12" t="s">
        <v>1025</v>
      </c>
      <c r="I1158" s="12" t="s">
        <v>1026</v>
      </c>
    </row>
    <row r="1159" spans="1:9">
      <c r="A1159" s="14">
        <v>51427</v>
      </c>
      <c r="B1159" s="14" t="s">
        <v>784</v>
      </c>
      <c r="C1159" s="12" t="s">
        <v>116</v>
      </c>
      <c r="D1159" s="15" t="str">
        <f t="shared" si="18"/>
        <v>Intelsat-2301-2512-Oracle-Clou - PRD</v>
      </c>
      <c r="E1159" s="12" t="s">
        <v>117</v>
      </c>
      <c r="F1159" s="12" t="s">
        <v>117</v>
      </c>
      <c r="G1159" s="12" t="s">
        <v>117</v>
      </c>
      <c r="H1159" s="12" t="s">
        <v>1025</v>
      </c>
      <c r="I1159" s="12" t="s">
        <v>1026</v>
      </c>
    </row>
    <row r="1160" spans="1:9">
      <c r="A1160" s="14">
        <v>10899</v>
      </c>
      <c r="B1160" s="14" t="s">
        <v>440</v>
      </c>
      <c r="C1160" s="12" t="s">
        <v>156</v>
      </c>
      <c r="D1160" s="15" t="str">
        <f t="shared" si="18"/>
        <v>Interactions - India - CLR</v>
      </c>
      <c r="E1160" s="12" t="s">
        <v>126</v>
      </c>
      <c r="F1160" s="12" t="s">
        <v>163</v>
      </c>
      <c r="G1160" s="12" t="s">
        <v>164</v>
      </c>
      <c r="H1160" s="12" t="s">
        <v>1025</v>
      </c>
      <c r="I1160" s="12" t="s">
        <v>1026</v>
      </c>
    </row>
    <row r="1161" spans="1:9">
      <c r="A1161" s="14">
        <v>10899</v>
      </c>
      <c r="B1161" s="14" t="s">
        <v>440</v>
      </c>
      <c r="C1161" s="12" t="s">
        <v>161</v>
      </c>
      <c r="D1161" s="15" t="str">
        <f t="shared" si="18"/>
        <v>Interactions - India - ECC</v>
      </c>
      <c r="E1161" s="12" t="s">
        <v>126</v>
      </c>
      <c r="F1161" s="12" t="s">
        <v>163</v>
      </c>
      <c r="G1161" s="12" t="s">
        <v>164</v>
      </c>
      <c r="H1161" s="12" t="s">
        <v>1025</v>
      </c>
      <c r="I1161" s="12" t="s">
        <v>1026</v>
      </c>
    </row>
    <row r="1162" spans="1:9">
      <c r="A1162" s="14">
        <v>10899</v>
      </c>
      <c r="B1162" s="14" t="s">
        <v>440</v>
      </c>
      <c r="C1162" s="12" t="s">
        <v>129</v>
      </c>
      <c r="D1162" s="15" t="str">
        <f t="shared" si="18"/>
        <v>Interactions - India - MGT</v>
      </c>
      <c r="E1162" s="12" t="s">
        <v>126</v>
      </c>
      <c r="F1162" s="12" t="s">
        <v>163</v>
      </c>
      <c r="G1162" s="12" t="s">
        <v>164</v>
      </c>
      <c r="H1162" s="12" t="s">
        <v>1025</v>
      </c>
      <c r="I1162" s="12" t="s">
        <v>1026</v>
      </c>
    </row>
    <row r="1163" spans="1:9">
      <c r="A1163" s="14">
        <v>10899</v>
      </c>
      <c r="B1163" s="14" t="s">
        <v>440</v>
      </c>
      <c r="C1163" s="12" t="s">
        <v>145</v>
      </c>
      <c r="D1163" s="15" t="str">
        <f t="shared" si="18"/>
        <v>Interactions - India - SUP</v>
      </c>
      <c r="E1163" s="12" t="s">
        <v>126</v>
      </c>
      <c r="F1163" s="12" t="s">
        <v>163</v>
      </c>
      <c r="G1163" s="12" t="s">
        <v>164</v>
      </c>
      <c r="H1163" s="12" t="s">
        <v>1025</v>
      </c>
      <c r="I1163" s="12" t="s">
        <v>1026</v>
      </c>
    </row>
    <row r="1164" spans="1:9">
      <c r="A1164" s="14">
        <v>10899</v>
      </c>
      <c r="B1164" s="14" t="s">
        <v>440</v>
      </c>
      <c r="C1164" s="12" t="s">
        <v>180</v>
      </c>
      <c r="D1164" s="15" t="str">
        <f t="shared" si="18"/>
        <v>Interactions - India - TMG</v>
      </c>
      <c r="E1164" s="12" t="s">
        <v>126</v>
      </c>
      <c r="F1164" s="12" t="s">
        <v>163</v>
      </c>
      <c r="G1164" s="12" t="s">
        <v>164</v>
      </c>
      <c r="H1164" s="12" t="s">
        <v>1025</v>
      </c>
      <c r="I1164" s="12" t="s">
        <v>1026</v>
      </c>
    </row>
    <row r="1165" spans="1:9">
      <c r="A1165" s="14">
        <v>10899</v>
      </c>
      <c r="B1165" s="14" t="s">
        <v>440</v>
      </c>
      <c r="C1165" s="12" t="s">
        <v>185</v>
      </c>
      <c r="D1165" s="15" t="str">
        <f t="shared" si="18"/>
        <v>Interactions - India - TPS</v>
      </c>
      <c r="E1165" s="12" t="s">
        <v>126</v>
      </c>
      <c r="F1165" s="12" t="s">
        <v>163</v>
      </c>
      <c r="G1165" s="12" t="s">
        <v>164</v>
      </c>
      <c r="H1165" s="12" t="s">
        <v>1025</v>
      </c>
      <c r="I1165" s="12" t="s">
        <v>1026</v>
      </c>
    </row>
    <row r="1166" spans="1:9">
      <c r="A1166" s="14">
        <v>10899</v>
      </c>
      <c r="B1166" s="14" t="s">
        <v>440</v>
      </c>
      <c r="C1166" s="12" t="s">
        <v>208</v>
      </c>
      <c r="D1166" s="15" t="str">
        <f t="shared" si="18"/>
        <v>Interactions - India - TTR</v>
      </c>
      <c r="E1166" s="12" t="s">
        <v>112</v>
      </c>
      <c r="F1166" s="12" t="s">
        <v>204</v>
      </c>
      <c r="G1166" s="12" t="s">
        <v>205</v>
      </c>
      <c r="H1166" s="12" t="s">
        <v>1025</v>
      </c>
      <c r="I1166" s="12" t="s">
        <v>1026</v>
      </c>
    </row>
    <row r="1167" spans="1:9">
      <c r="A1167" s="14">
        <v>96101</v>
      </c>
      <c r="B1167" s="14" t="s">
        <v>673</v>
      </c>
      <c r="C1167" s="12" t="s">
        <v>121</v>
      </c>
      <c r="D1167" s="15" t="str">
        <f t="shared" si="18"/>
        <v>Internal Audit - F&amp;A</v>
      </c>
      <c r="E1167" s="12" t="s">
        <v>104</v>
      </c>
      <c r="F1167" s="12" t="s">
        <v>673</v>
      </c>
      <c r="G1167" s="12" t="s">
        <v>114</v>
      </c>
      <c r="H1167" s="12" t="s">
        <v>1025</v>
      </c>
      <c r="I1167" s="12" t="s">
        <v>1026</v>
      </c>
    </row>
    <row r="1168" spans="1:9">
      <c r="A1168" s="14">
        <v>96101</v>
      </c>
      <c r="B1168" s="14" t="s">
        <v>673</v>
      </c>
      <c r="C1168" s="12" t="s">
        <v>129</v>
      </c>
      <c r="D1168" s="15" t="str">
        <f t="shared" si="18"/>
        <v>Internal Audit - MGT</v>
      </c>
      <c r="E1168" s="12" t="s">
        <v>104</v>
      </c>
      <c r="F1168" s="12" t="s">
        <v>673</v>
      </c>
      <c r="G1168" s="12" t="s">
        <v>114</v>
      </c>
      <c r="H1168" s="12" t="s">
        <v>1025</v>
      </c>
      <c r="I1168" s="12" t="s">
        <v>1026</v>
      </c>
    </row>
    <row r="1169" spans="1:9">
      <c r="A1169" s="14">
        <v>96101</v>
      </c>
      <c r="B1169" s="14" t="s">
        <v>673</v>
      </c>
      <c r="C1169" s="12" t="s">
        <v>578</v>
      </c>
      <c r="D1169" s="15" t="str">
        <f t="shared" si="18"/>
        <v>Internal Audit - PQM</v>
      </c>
      <c r="E1169" s="12" t="s">
        <v>104</v>
      </c>
      <c r="F1169" s="12" t="s">
        <v>673</v>
      </c>
      <c r="G1169" s="12" t="s">
        <v>114</v>
      </c>
      <c r="H1169" s="12" t="s">
        <v>1025</v>
      </c>
      <c r="I1169" s="12" t="s">
        <v>1026</v>
      </c>
    </row>
    <row r="1170" spans="1:9">
      <c r="A1170" s="14">
        <v>96101</v>
      </c>
      <c r="B1170" s="14" t="s">
        <v>673</v>
      </c>
      <c r="C1170" s="12" t="s">
        <v>145</v>
      </c>
      <c r="D1170" s="15" t="str">
        <f t="shared" si="18"/>
        <v>Internal Audit - SUP</v>
      </c>
      <c r="E1170" s="12" t="s">
        <v>104</v>
      </c>
      <c r="F1170" s="12" t="s">
        <v>673</v>
      </c>
      <c r="G1170" s="12" t="s">
        <v>114</v>
      </c>
      <c r="H1170" s="12" t="s">
        <v>1025</v>
      </c>
      <c r="I1170" s="12" t="s">
        <v>1026</v>
      </c>
    </row>
    <row r="1171" spans="1:9">
      <c r="A1171" s="14">
        <v>96101</v>
      </c>
      <c r="B1171" s="14" t="s">
        <v>673</v>
      </c>
      <c r="C1171" s="12" t="s">
        <v>180</v>
      </c>
      <c r="D1171" s="15" t="str">
        <f t="shared" si="18"/>
        <v>Internal Audit - TMG</v>
      </c>
      <c r="E1171" s="12" t="s">
        <v>104</v>
      </c>
      <c r="F1171" s="12" t="s">
        <v>673</v>
      </c>
      <c r="G1171" s="12" t="s">
        <v>114</v>
      </c>
      <c r="H1171" s="12" t="s">
        <v>1025</v>
      </c>
      <c r="I1171" s="12" t="s">
        <v>1026</v>
      </c>
    </row>
    <row r="1172" spans="1:9">
      <c r="A1172" s="14">
        <v>51159</v>
      </c>
      <c r="B1172" s="14" t="s">
        <v>722</v>
      </c>
      <c r="C1172" s="12" t="s">
        <v>116</v>
      </c>
      <c r="D1172" s="15" t="str">
        <f t="shared" si="18"/>
        <v>Intralox-2301-2306-Testing-Sup - PRD</v>
      </c>
      <c r="E1172" s="12" t="s">
        <v>117</v>
      </c>
      <c r="F1172" s="12" t="s">
        <v>117</v>
      </c>
      <c r="G1172" s="12" t="s">
        <v>117</v>
      </c>
      <c r="H1172" s="12" t="s">
        <v>1025</v>
      </c>
      <c r="I1172" s="12" t="s">
        <v>1026</v>
      </c>
    </row>
    <row r="1173" spans="1:9">
      <c r="A1173" s="14">
        <v>51161</v>
      </c>
      <c r="B1173" s="14" t="s">
        <v>723</v>
      </c>
      <c r="C1173" s="12" t="s">
        <v>116</v>
      </c>
      <c r="D1173" s="15" t="str">
        <f t="shared" si="18"/>
        <v>Invesco-2212-2512-RPA-Penny-Bo - PRD</v>
      </c>
      <c r="E1173" s="12" t="s">
        <v>117</v>
      </c>
      <c r="F1173" s="12" t="s">
        <v>117</v>
      </c>
      <c r="G1173" s="12" t="s">
        <v>117</v>
      </c>
      <c r="H1173" s="12" t="s">
        <v>1025</v>
      </c>
      <c r="I1173" s="12" t="s">
        <v>1026</v>
      </c>
    </row>
    <row r="1174" spans="1:9">
      <c r="A1174" s="14">
        <v>10507</v>
      </c>
      <c r="B1174" s="14" t="s">
        <v>258</v>
      </c>
      <c r="C1174" s="12" t="s">
        <v>116</v>
      </c>
      <c r="D1174" s="15" t="str">
        <f t="shared" si="18"/>
        <v>Investment Banking NFB - PRD</v>
      </c>
      <c r="E1174" s="12" t="s">
        <v>126</v>
      </c>
      <c r="F1174" s="12" t="s">
        <v>184</v>
      </c>
      <c r="G1174" s="12" t="s">
        <v>184</v>
      </c>
      <c r="H1174" s="12" t="s">
        <v>1025</v>
      </c>
      <c r="I1174" s="12" t="s">
        <v>1026</v>
      </c>
    </row>
    <row r="1175" spans="1:9">
      <c r="A1175" s="14">
        <v>40096</v>
      </c>
      <c r="B1175" s="14" t="s">
        <v>669</v>
      </c>
      <c r="C1175" s="12" t="s">
        <v>1020</v>
      </c>
      <c r="D1175" s="15" t="str">
        <f t="shared" si="18"/>
        <v>Investment Banking Research - CNS</v>
      </c>
      <c r="E1175" s="12" t="s">
        <v>126</v>
      </c>
      <c r="F1175" s="12" t="s">
        <v>184</v>
      </c>
      <c r="G1175" s="12" t="s">
        <v>184</v>
      </c>
      <c r="H1175" s="12" t="s">
        <v>1025</v>
      </c>
      <c r="I1175" s="12" t="s">
        <v>1026</v>
      </c>
    </row>
    <row r="1176" spans="1:9">
      <c r="A1176" s="14">
        <v>40096</v>
      </c>
      <c r="B1176" s="14" t="s">
        <v>669</v>
      </c>
      <c r="C1176" s="12" t="s">
        <v>116</v>
      </c>
      <c r="D1176" s="15" t="str">
        <f t="shared" si="18"/>
        <v>Investment Banking Research - PRD</v>
      </c>
      <c r="E1176" s="12" t="s">
        <v>126</v>
      </c>
      <c r="F1176" s="12" t="s">
        <v>184</v>
      </c>
      <c r="G1176" s="12" t="s">
        <v>184</v>
      </c>
      <c r="H1176" s="12" t="s">
        <v>1025</v>
      </c>
      <c r="I1176" s="12" t="s">
        <v>1026</v>
      </c>
    </row>
    <row r="1177" spans="1:9">
      <c r="A1177" s="14">
        <v>40096</v>
      </c>
      <c r="B1177" s="14" t="s">
        <v>669</v>
      </c>
      <c r="C1177" s="12" t="s">
        <v>510</v>
      </c>
      <c r="D1177" s="15" t="str">
        <f t="shared" si="18"/>
        <v>Investment Banking Research - RST</v>
      </c>
      <c r="E1177" s="12" t="s">
        <v>126</v>
      </c>
      <c r="F1177" s="12" t="s">
        <v>184</v>
      </c>
      <c r="G1177" s="12" t="s">
        <v>184</v>
      </c>
      <c r="H1177" s="12" t="s">
        <v>1025</v>
      </c>
      <c r="I1177" s="12" t="s">
        <v>1026</v>
      </c>
    </row>
    <row r="1178" spans="1:9">
      <c r="A1178" s="14">
        <v>40096</v>
      </c>
      <c r="B1178" s="14" t="s">
        <v>669</v>
      </c>
      <c r="C1178" s="12" t="s">
        <v>145</v>
      </c>
      <c r="D1178" s="15" t="str">
        <f t="shared" si="18"/>
        <v>Investment Banking Research - SUP</v>
      </c>
      <c r="E1178" s="12" t="s">
        <v>126</v>
      </c>
      <c r="F1178" s="12" t="s">
        <v>184</v>
      </c>
      <c r="G1178" s="12" t="s">
        <v>184</v>
      </c>
      <c r="H1178" s="12" t="s">
        <v>1025</v>
      </c>
      <c r="I1178" s="12" t="s">
        <v>1026</v>
      </c>
    </row>
    <row r="1179" spans="1:9">
      <c r="A1179" s="14">
        <v>40096</v>
      </c>
      <c r="B1179" s="14" t="s">
        <v>669</v>
      </c>
      <c r="C1179" s="12" t="s">
        <v>180</v>
      </c>
      <c r="D1179" s="15" t="str">
        <f t="shared" si="18"/>
        <v>Investment Banking Research - TMG</v>
      </c>
      <c r="E1179" s="12" t="s">
        <v>126</v>
      </c>
      <c r="F1179" s="12" t="s">
        <v>184</v>
      </c>
      <c r="G1179" s="12" t="s">
        <v>184</v>
      </c>
      <c r="H1179" s="12" t="s">
        <v>1025</v>
      </c>
      <c r="I1179" s="12" t="s">
        <v>1026</v>
      </c>
    </row>
    <row r="1180" spans="1:9">
      <c r="A1180" s="14">
        <v>10104</v>
      </c>
      <c r="B1180" s="14" t="s">
        <v>215</v>
      </c>
      <c r="C1180" s="12" t="s">
        <v>185</v>
      </c>
      <c r="D1180" s="15" t="str">
        <f t="shared" si="18"/>
        <v>IOA - Incumbent Backoffice - TPS</v>
      </c>
      <c r="E1180" s="12" t="s">
        <v>126</v>
      </c>
      <c r="F1180" s="12" t="s">
        <v>163</v>
      </c>
      <c r="G1180" s="12" t="s">
        <v>164</v>
      </c>
      <c r="H1180" s="12" t="s">
        <v>1025</v>
      </c>
      <c r="I1180" s="12" t="s">
        <v>1026</v>
      </c>
    </row>
    <row r="1181" spans="1:9">
      <c r="A1181" s="14">
        <v>10845</v>
      </c>
      <c r="B1181" s="14" t="s">
        <v>427</v>
      </c>
      <c r="C1181" s="12" t="s">
        <v>133</v>
      </c>
      <c r="D1181" s="15" t="str">
        <f t="shared" si="18"/>
        <v>IOA SBU Support US and India - AMG</v>
      </c>
      <c r="E1181" s="12" t="s">
        <v>126</v>
      </c>
      <c r="F1181" s="12" t="s">
        <v>163</v>
      </c>
      <c r="G1181" s="12" t="s">
        <v>164</v>
      </c>
      <c r="H1181" s="12" t="s">
        <v>1025</v>
      </c>
      <c r="I1181" s="12" t="s">
        <v>1026</v>
      </c>
    </row>
    <row r="1182" spans="1:9">
      <c r="A1182" s="14">
        <v>10845</v>
      </c>
      <c r="B1182" s="14" t="s">
        <v>427</v>
      </c>
      <c r="C1182" s="12" t="s">
        <v>433</v>
      </c>
      <c r="D1182" s="15" t="str">
        <f t="shared" si="18"/>
        <v>IOA SBU Support US and India - ANA</v>
      </c>
      <c r="E1182" s="12" t="s">
        <v>126</v>
      </c>
      <c r="F1182" s="12" t="s">
        <v>163</v>
      </c>
      <c r="G1182" s="12" t="s">
        <v>164</v>
      </c>
      <c r="H1182" s="12" t="s">
        <v>1025</v>
      </c>
      <c r="I1182" s="12" t="s">
        <v>1026</v>
      </c>
    </row>
    <row r="1183" spans="1:9">
      <c r="A1183" s="14">
        <v>10845</v>
      </c>
      <c r="B1183" s="14" t="s">
        <v>427</v>
      </c>
      <c r="C1183" s="12" t="s">
        <v>111</v>
      </c>
      <c r="D1183" s="15" t="str">
        <f t="shared" si="18"/>
        <v>IOA SBU Support US and India - QLY</v>
      </c>
      <c r="E1183" s="12" t="s">
        <v>112</v>
      </c>
      <c r="F1183" s="12" t="s">
        <v>113</v>
      </c>
      <c r="G1183" s="12" t="s">
        <v>114</v>
      </c>
      <c r="H1183" s="12" t="s">
        <v>1025</v>
      </c>
      <c r="I1183" s="12" t="s">
        <v>1026</v>
      </c>
    </row>
    <row r="1184" spans="1:9">
      <c r="A1184" s="14">
        <v>10845</v>
      </c>
      <c r="B1184" s="14" t="s">
        <v>427</v>
      </c>
      <c r="C1184" s="12" t="s">
        <v>119</v>
      </c>
      <c r="D1184" s="15" t="str">
        <f t="shared" si="18"/>
        <v>IOA SBU Support US and India - SQM</v>
      </c>
      <c r="E1184" s="12" t="s">
        <v>112</v>
      </c>
      <c r="F1184" s="12" t="s">
        <v>113</v>
      </c>
      <c r="G1184" s="12" t="s">
        <v>114</v>
      </c>
      <c r="H1184" s="12" t="s">
        <v>1025</v>
      </c>
      <c r="I1184" s="12" t="s">
        <v>1026</v>
      </c>
    </row>
    <row r="1185" spans="1:9">
      <c r="A1185" s="14">
        <v>10845</v>
      </c>
      <c r="B1185" s="14" t="s">
        <v>427</v>
      </c>
      <c r="C1185" s="12" t="s">
        <v>145</v>
      </c>
      <c r="D1185" s="15" t="str">
        <f t="shared" si="18"/>
        <v>IOA SBU Support US and India - SUP</v>
      </c>
      <c r="E1185" s="12" t="s">
        <v>126</v>
      </c>
      <c r="F1185" s="12" t="s">
        <v>163</v>
      </c>
      <c r="G1185" s="12" t="s">
        <v>164</v>
      </c>
      <c r="H1185" s="12" t="s">
        <v>1025</v>
      </c>
      <c r="I1185" s="12" t="s">
        <v>1026</v>
      </c>
    </row>
    <row r="1186" spans="1:9">
      <c r="A1186" s="14">
        <v>10845</v>
      </c>
      <c r="B1186" s="14" t="s">
        <v>427</v>
      </c>
      <c r="C1186" s="12" t="s">
        <v>196</v>
      </c>
      <c r="D1186" s="15" t="str">
        <f t="shared" si="18"/>
        <v>IOA SBU Support US and India - SUT</v>
      </c>
      <c r="E1186" s="12" t="s">
        <v>126</v>
      </c>
      <c r="F1186" s="12" t="s">
        <v>163</v>
      </c>
      <c r="G1186" s="12" t="s">
        <v>164</v>
      </c>
      <c r="H1186" s="12" t="s">
        <v>1025</v>
      </c>
      <c r="I1186" s="12" t="s">
        <v>1026</v>
      </c>
    </row>
    <row r="1187" spans="1:9">
      <c r="A1187" s="14">
        <v>10845</v>
      </c>
      <c r="B1187" s="14" t="s">
        <v>427</v>
      </c>
      <c r="C1187" s="12" t="s">
        <v>180</v>
      </c>
      <c r="D1187" s="15" t="str">
        <f t="shared" si="18"/>
        <v>IOA SBU Support US and India - TMG</v>
      </c>
      <c r="E1187" s="12" t="s">
        <v>126</v>
      </c>
      <c r="F1187" s="12" t="s">
        <v>163</v>
      </c>
      <c r="G1187" s="12" t="s">
        <v>164</v>
      </c>
      <c r="H1187" s="12" t="s">
        <v>1025</v>
      </c>
      <c r="I1187" s="12" t="s">
        <v>1026</v>
      </c>
    </row>
    <row r="1188" spans="1:9">
      <c r="A1188" s="14">
        <v>10845</v>
      </c>
      <c r="B1188" s="14" t="s">
        <v>427</v>
      </c>
      <c r="C1188" s="12" t="s">
        <v>185</v>
      </c>
      <c r="D1188" s="15" t="str">
        <f t="shared" si="18"/>
        <v>IOA SBU Support US and India - TPS</v>
      </c>
      <c r="E1188" s="12" t="s">
        <v>126</v>
      </c>
      <c r="F1188" s="12" t="s">
        <v>163</v>
      </c>
      <c r="G1188" s="12" t="s">
        <v>164</v>
      </c>
      <c r="H1188" s="12" t="s">
        <v>1025</v>
      </c>
      <c r="I1188" s="12" t="s">
        <v>1026</v>
      </c>
    </row>
    <row r="1189" spans="1:9">
      <c r="A1189" s="14">
        <v>10845</v>
      </c>
      <c r="B1189" s="14" t="s">
        <v>427</v>
      </c>
      <c r="C1189" s="12" t="s">
        <v>208</v>
      </c>
      <c r="D1189" s="15" t="str">
        <f t="shared" si="18"/>
        <v>IOA SBU Support US and India - TTR</v>
      </c>
      <c r="E1189" s="12" t="s">
        <v>112</v>
      </c>
      <c r="F1189" s="12" t="s">
        <v>204</v>
      </c>
      <c r="G1189" s="12" t="s">
        <v>205</v>
      </c>
      <c r="H1189" s="12" t="s">
        <v>1025</v>
      </c>
      <c r="I1189" s="12" t="s">
        <v>1026</v>
      </c>
    </row>
    <row r="1190" spans="1:9">
      <c r="A1190" s="14">
        <v>93589</v>
      </c>
      <c r="B1190" s="14" t="s">
        <v>962</v>
      </c>
      <c r="C1190" s="12" t="s">
        <v>129</v>
      </c>
      <c r="D1190" s="15" t="str">
        <f t="shared" si="18"/>
        <v>IPA_Solution_Investment - MGT</v>
      </c>
      <c r="E1190" s="12" t="s">
        <v>117</v>
      </c>
      <c r="F1190" s="12" t="s">
        <v>117</v>
      </c>
      <c r="G1190" s="12" t="s">
        <v>117</v>
      </c>
      <c r="H1190" s="12" t="s">
        <v>1025</v>
      </c>
      <c r="I1190" s="12" t="s">
        <v>1026</v>
      </c>
    </row>
    <row r="1191" spans="1:9">
      <c r="A1191" s="14">
        <v>10734</v>
      </c>
      <c r="B1191" s="14" t="s">
        <v>345</v>
      </c>
      <c r="C1191" s="12" t="s">
        <v>150</v>
      </c>
      <c r="D1191" s="15" t="str">
        <f t="shared" si="18"/>
        <v>IRM Global A2C - India - CCS</v>
      </c>
      <c r="E1191" s="12" t="s">
        <v>126</v>
      </c>
      <c r="F1191" s="12" t="s">
        <v>163</v>
      </c>
      <c r="G1191" s="12" t="s">
        <v>164</v>
      </c>
      <c r="H1191" s="12" t="s">
        <v>1025</v>
      </c>
      <c r="I1191" s="12" t="s">
        <v>1026</v>
      </c>
    </row>
    <row r="1192" spans="1:9">
      <c r="A1192" s="14">
        <v>10734</v>
      </c>
      <c r="B1192" s="14" t="s">
        <v>345</v>
      </c>
      <c r="C1192" s="12" t="s">
        <v>306</v>
      </c>
      <c r="D1192" s="15" t="str">
        <f t="shared" si="18"/>
        <v>IRM Global A2C - India - FAO</v>
      </c>
      <c r="E1192" s="12" t="s">
        <v>126</v>
      </c>
      <c r="F1192" s="12" t="s">
        <v>163</v>
      </c>
      <c r="G1192" s="12" t="s">
        <v>164</v>
      </c>
      <c r="H1192" s="12" t="s">
        <v>1025</v>
      </c>
      <c r="I1192" s="12" t="s">
        <v>1026</v>
      </c>
    </row>
    <row r="1193" spans="1:9">
      <c r="A1193" s="14">
        <v>10734</v>
      </c>
      <c r="B1193" s="14" t="s">
        <v>345</v>
      </c>
      <c r="C1193" s="12" t="s">
        <v>116</v>
      </c>
      <c r="D1193" s="15" t="str">
        <f t="shared" si="18"/>
        <v>IRM Global A2C - India - PRD</v>
      </c>
      <c r="E1193" s="12" t="s">
        <v>126</v>
      </c>
      <c r="F1193" s="12" t="s">
        <v>163</v>
      </c>
      <c r="G1193" s="12" t="s">
        <v>164</v>
      </c>
      <c r="H1193" s="12" t="s">
        <v>1025</v>
      </c>
      <c r="I1193" s="12" t="s">
        <v>1026</v>
      </c>
    </row>
    <row r="1194" spans="1:9">
      <c r="A1194" s="14">
        <v>10734</v>
      </c>
      <c r="B1194" s="14" t="s">
        <v>345</v>
      </c>
      <c r="C1194" s="12" t="s">
        <v>185</v>
      </c>
      <c r="D1194" s="15" t="str">
        <f t="shared" si="18"/>
        <v>IRM Global A2C - India - TPS</v>
      </c>
      <c r="E1194" s="12" t="s">
        <v>126</v>
      </c>
      <c r="F1194" s="12" t="s">
        <v>163</v>
      </c>
      <c r="G1194" s="12" t="s">
        <v>164</v>
      </c>
      <c r="H1194" s="12" t="s">
        <v>1025</v>
      </c>
      <c r="I1194" s="12" t="s">
        <v>1026</v>
      </c>
    </row>
    <row r="1195" spans="1:9">
      <c r="A1195" s="14">
        <v>95105</v>
      </c>
      <c r="B1195" s="14" t="s">
        <v>678</v>
      </c>
      <c r="C1195" s="12" t="s">
        <v>415</v>
      </c>
      <c r="D1195" s="15" t="str">
        <f t="shared" si="18"/>
        <v>IT Build-out - GTI</v>
      </c>
      <c r="E1195" s="12" t="s">
        <v>104</v>
      </c>
      <c r="F1195" s="12" t="s">
        <v>263</v>
      </c>
      <c r="G1195" s="12" t="s">
        <v>264</v>
      </c>
      <c r="H1195" s="12" t="s">
        <v>1025</v>
      </c>
      <c r="I1195" s="12" t="s">
        <v>1026</v>
      </c>
    </row>
    <row r="1196" spans="1:9">
      <c r="A1196" s="14">
        <v>95105</v>
      </c>
      <c r="B1196" s="14" t="s">
        <v>678</v>
      </c>
      <c r="C1196" s="12" t="s">
        <v>145</v>
      </c>
      <c r="D1196" s="15" t="str">
        <f t="shared" si="18"/>
        <v>IT Build-out - SUP</v>
      </c>
      <c r="E1196" s="12" t="s">
        <v>104</v>
      </c>
      <c r="F1196" s="12" t="s">
        <v>263</v>
      </c>
      <c r="G1196" s="12" t="s">
        <v>264</v>
      </c>
      <c r="H1196" s="12" t="s">
        <v>1025</v>
      </c>
      <c r="I1196" s="12" t="s">
        <v>1026</v>
      </c>
    </row>
    <row r="1197" spans="1:9">
      <c r="A1197" s="14">
        <v>95107</v>
      </c>
      <c r="B1197" s="14" t="s">
        <v>681</v>
      </c>
      <c r="C1197" s="12" t="s">
        <v>415</v>
      </c>
      <c r="D1197" s="15" t="str">
        <f t="shared" si="18"/>
        <v>IT Service Excellence - GTI</v>
      </c>
      <c r="E1197" s="12" t="s">
        <v>104</v>
      </c>
      <c r="F1197" s="12" t="s">
        <v>263</v>
      </c>
      <c r="G1197" s="12" t="s">
        <v>264</v>
      </c>
      <c r="H1197" s="12" t="s">
        <v>1025</v>
      </c>
      <c r="I1197" s="12" t="s">
        <v>1026</v>
      </c>
    </row>
    <row r="1198" spans="1:9">
      <c r="A1198" s="14">
        <v>95107</v>
      </c>
      <c r="B1198" s="14" t="s">
        <v>681</v>
      </c>
      <c r="C1198" s="12" t="s">
        <v>129</v>
      </c>
      <c r="D1198" s="15" t="str">
        <f t="shared" si="18"/>
        <v>IT Service Excellence - MGT</v>
      </c>
      <c r="E1198" s="12" t="s">
        <v>104</v>
      </c>
      <c r="F1198" s="12" t="s">
        <v>263</v>
      </c>
      <c r="G1198" s="12" t="s">
        <v>264</v>
      </c>
      <c r="H1198" s="12" t="s">
        <v>1025</v>
      </c>
      <c r="I1198" s="12" t="s">
        <v>1026</v>
      </c>
    </row>
    <row r="1199" spans="1:9">
      <c r="A1199" s="14">
        <v>95107</v>
      </c>
      <c r="B1199" s="14" t="s">
        <v>681</v>
      </c>
      <c r="C1199" s="12" t="s">
        <v>177</v>
      </c>
      <c r="D1199" s="15" t="str">
        <f t="shared" si="18"/>
        <v>IT Service Excellence - OPS</v>
      </c>
      <c r="E1199" s="12" t="s">
        <v>104</v>
      </c>
      <c r="F1199" s="12" t="s">
        <v>263</v>
      </c>
      <c r="G1199" s="12" t="s">
        <v>264</v>
      </c>
      <c r="H1199" s="12" t="s">
        <v>1025</v>
      </c>
      <c r="I1199" s="12" t="s">
        <v>1026</v>
      </c>
    </row>
    <row r="1200" spans="1:9">
      <c r="A1200" s="14">
        <v>95107</v>
      </c>
      <c r="B1200" s="14" t="s">
        <v>681</v>
      </c>
      <c r="C1200" s="12" t="s">
        <v>134</v>
      </c>
      <c r="D1200" s="15" t="str">
        <f t="shared" si="18"/>
        <v>IT Service Excellence - SEC</v>
      </c>
      <c r="E1200" s="12" t="s">
        <v>104</v>
      </c>
      <c r="F1200" s="12" t="s">
        <v>263</v>
      </c>
      <c r="G1200" s="12" t="s">
        <v>264</v>
      </c>
      <c r="H1200" s="12" t="s">
        <v>1025</v>
      </c>
      <c r="I1200" s="12" t="s">
        <v>1026</v>
      </c>
    </row>
    <row r="1201" spans="1:9">
      <c r="A1201" s="14">
        <v>95107</v>
      </c>
      <c r="B1201" s="14" t="s">
        <v>681</v>
      </c>
      <c r="C1201" s="12" t="s">
        <v>139</v>
      </c>
      <c r="D1201" s="15" t="str">
        <f t="shared" si="18"/>
        <v>IT Service Excellence - SMGT</v>
      </c>
      <c r="E1201" s="12" t="s">
        <v>104</v>
      </c>
      <c r="F1201" s="12" t="s">
        <v>263</v>
      </c>
      <c r="G1201" s="12" t="s">
        <v>264</v>
      </c>
      <c r="H1201" s="12" t="s">
        <v>1025</v>
      </c>
      <c r="I1201" s="12" t="s">
        <v>1026</v>
      </c>
    </row>
    <row r="1202" spans="1:9">
      <c r="A1202" s="14">
        <v>95107</v>
      </c>
      <c r="B1202" s="14" t="s">
        <v>681</v>
      </c>
      <c r="C1202" s="12" t="s">
        <v>145</v>
      </c>
      <c r="D1202" s="15" t="str">
        <f t="shared" si="18"/>
        <v>IT Service Excellence - SUP</v>
      </c>
      <c r="E1202" s="12" t="s">
        <v>104</v>
      </c>
      <c r="F1202" s="12" t="s">
        <v>263</v>
      </c>
      <c r="G1202" s="12" t="s">
        <v>264</v>
      </c>
      <c r="H1202" s="12" t="s">
        <v>1025</v>
      </c>
      <c r="I1202" s="12" t="s">
        <v>1026</v>
      </c>
    </row>
    <row r="1203" spans="1:9">
      <c r="A1203" s="14">
        <v>95107</v>
      </c>
      <c r="B1203" s="14" t="s">
        <v>681</v>
      </c>
      <c r="C1203" s="12" t="s">
        <v>180</v>
      </c>
      <c r="D1203" s="15" t="str">
        <f t="shared" si="18"/>
        <v>IT Service Excellence - TMG</v>
      </c>
      <c r="E1203" s="12" t="s">
        <v>104</v>
      </c>
      <c r="F1203" s="12" t="s">
        <v>263</v>
      </c>
      <c r="G1203" s="12" t="s">
        <v>264</v>
      </c>
      <c r="H1203" s="12" t="s">
        <v>1025</v>
      </c>
      <c r="I1203" s="12" t="s">
        <v>1026</v>
      </c>
    </row>
    <row r="1204" spans="1:9">
      <c r="A1204" s="14">
        <v>91402</v>
      </c>
      <c r="B1204" s="14" t="s">
        <v>687</v>
      </c>
      <c r="C1204" s="12" t="s">
        <v>688</v>
      </c>
      <c r="D1204" s="15" t="str">
        <f t="shared" si="18"/>
        <v>IT Services Cloud - Investment - GSi</v>
      </c>
      <c r="E1204" s="12" t="s">
        <v>117</v>
      </c>
      <c r="F1204" s="12" t="s">
        <v>117</v>
      </c>
      <c r="G1204" s="12" t="s">
        <v>117</v>
      </c>
      <c r="H1204" s="12" t="s">
        <v>1025</v>
      </c>
      <c r="I1204" s="12" t="s">
        <v>1026</v>
      </c>
    </row>
    <row r="1205" spans="1:9">
      <c r="A1205" s="14">
        <v>91402</v>
      </c>
      <c r="B1205" s="14" t="s">
        <v>687</v>
      </c>
      <c r="C1205" s="12" t="s">
        <v>129</v>
      </c>
      <c r="D1205" s="15" t="str">
        <f t="shared" si="18"/>
        <v>IT Services Cloud - Investment - MGT</v>
      </c>
      <c r="E1205" s="12" t="s">
        <v>117</v>
      </c>
      <c r="F1205" s="12" t="s">
        <v>117</v>
      </c>
      <c r="G1205" s="12" t="s">
        <v>117</v>
      </c>
      <c r="H1205" s="12" t="s">
        <v>1025</v>
      </c>
      <c r="I1205" s="12" t="s">
        <v>1026</v>
      </c>
    </row>
    <row r="1206" spans="1:9">
      <c r="A1206" s="14">
        <v>93582</v>
      </c>
      <c r="B1206" s="14" t="s">
        <v>687</v>
      </c>
      <c r="C1206" s="12" t="s">
        <v>129</v>
      </c>
      <c r="D1206" s="15" t="str">
        <f t="shared" si="18"/>
        <v>IT Services Cloud - Investment - MGT</v>
      </c>
      <c r="E1206" s="12" t="s">
        <v>117</v>
      </c>
      <c r="F1206" s="12" t="s">
        <v>117</v>
      </c>
      <c r="G1206" s="12" t="s">
        <v>117</v>
      </c>
      <c r="H1206" s="12" t="s">
        <v>1025</v>
      </c>
      <c r="I1206" s="12" t="s">
        <v>1026</v>
      </c>
    </row>
    <row r="1207" spans="1:9">
      <c r="A1207" s="14">
        <v>91402</v>
      </c>
      <c r="B1207" s="14" t="s">
        <v>687</v>
      </c>
      <c r="C1207" s="12" t="s">
        <v>145</v>
      </c>
      <c r="D1207" s="15" t="str">
        <f t="shared" si="18"/>
        <v>IT Services Cloud - Investment - SUP</v>
      </c>
      <c r="E1207" s="12" t="s">
        <v>117</v>
      </c>
      <c r="F1207" s="12" t="s">
        <v>117</v>
      </c>
      <c r="G1207" s="12" t="s">
        <v>117</v>
      </c>
      <c r="H1207" s="12" t="s">
        <v>1025</v>
      </c>
      <c r="I1207" s="12" t="s">
        <v>1026</v>
      </c>
    </row>
    <row r="1208" spans="1:9">
      <c r="A1208" s="14">
        <v>95109</v>
      </c>
      <c r="B1208" s="14" t="s">
        <v>692</v>
      </c>
      <c r="C1208" s="12" t="s">
        <v>415</v>
      </c>
      <c r="D1208" s="15" t="str">
        <f t="shared" si="18"/>
        <v>IT-BRM - GTI</v>
      </c>
      <c r="E1208" s="12" t="s">
        <v>104</v>
      </c>
      <c r="F1208" s="12" t="s">
        <v>263</v>
      </c>
      <c r="G1208" s="12" t="s">
        <v>264</v>
      </c>
      <c r="H1208" s="12" t="s">
        <v>1025</v>
      </c>
      <c r="I1208" s="12" t="s">
        <v>1026</v>
      </c>
    </row>
    <row r="1209" spans="1:9">
      <c r="A1209" s="14">
        <v>95109</v>
      </c>
      <c r="B1209" s="14" t="s">
        <v>692</v>
      </c>
      <c r="C1209" s="12" t="s">
        <v>129</v>
      </c>
      <c r="D1209" s="15" t="str">
        <f t="shared" si="18"/>
        <v>IT-BRM - MGT</v>
      </c>
      <c r="E1209" s="12" t="s">
        <v>104</v>
      </c>
      <c r="F1209" s="12" t="s">
        <v>263</v>
      </c>
      <c r="G1209" s="12" t="s">
        <v>264</v>
      </c>
      <c r="H1209" s="12" t="s">
        <v>1025</v>
      </c>
      <c r="I1209" s="12" t="s">
        <v>1026</v>
      </c>
    </row>
    <row r="1210" spans="1:9">
      <c r="A1210" s="14">
        <v>95109</v>
      </c>
      <c r="B1210" s="14" t="s">
        <v>692</v>
      </c>
      <c r="C1210" s="12" t="s">
        <v>111</v>
      </c>
      <c r="D1210" s="15" t="str">
        <f t="shared" si="18"/>
        <v>IT-BRM - QLY</v>
      </c>
      <c r="E1210" s="12" t="s">
        <v>104</v>
      </c>
      <c r="F1210" s="12" t="s">
        <v>263</v>
      </c>
      <c r="G1210" s="12" t="s">
        <v>264</v>
      </c>
      <c r="H1210" s="12" t="s">
        <v>1025</v>
      </c>
      <c r="I1210" s="12" t="s">
        <v>1026</v>
      </c>
    </row>
    <row r="1211" spans="1:9">
      <c r="A1211" s="14">
        <v>95109</v>
      </c>
      <c r="B1211" s="14" t="s">
        <v>692</v>
      </c>
      <c r="C1211" s="12" t="s">
        <v>145</v>
      </c>
      <c r="D1211" s="15" t="str">
        <f t="shared" si="18"/>
        <v>IT-BRM - SUP</v>
      </c>
      <c r="E1211" s="12" t="s">
        <v>104</v>
      </c>
      <c r="F1211" s="12" t="s">
        <v>263</v>
      </c>
      <c r="G1211" s="12" t="s">
        <v>264</v>
      </c>
      <c r="H1211" s="12" t="s">
        <v>1025</v>
      </c>
      <c r="I1211" s="12" t="s">
        <v>1026</v>
      </c>
    </row>
    <row r="1212" spans="1:9">
      <c r="A1212" s="14">
        <v>91030</v>
      </c>
      <c r="B1212" s="14" t="s">
        <v>696</v>
      </c>
      <c r="C1212" s="12" t="s">
        <v>116</v>
      </c>
      <c r="D1212" s="15" t="str">
        <f t="shared" si="18"/>
        <v>IT-BU Overhead - PRD</v>
      </c>
      <c r="E1212" s="12" t="s">
        <v>117</v>
      </c>
      <c r="F1212" s="12" t="s">
        <v>117</v>
      </c>
      <c r="G1212" s="12" t="s">
        <v>117</v>
      </c>
      <c r="H1212" s="12" t="s">
        <v>1025</v>
      </c>
      <c r="I1212" s="12" t="s">
        <v>1026</v>
      </c>
    </row>
    <row r="1213" spans="1:9">
      <c r="A1213" s="14">
        <v>91030</v>
      </c>
      <c r="B1213" s="14" t="s">
        <v>696</v>
      </c>
      <c r="C1213" s="12" t="s">
        <v>145</v>
      </c>
      <c r="D1213" s="15" t="str">
        <f t="shared" si="18"/>
        <v>IT-BU Overhead - SUP</v>
      </c>
      <c r="E1213" s="12" t="s">
        <v>117</v>
      </c>
      <c r="F1213" s="12" t="s">
        <v>117</v>
      </c>
      <c r="G1213" s="12" t="s">
        <v>117</v>
      </c>
      <c r="H1213" s="12" t="s">
        <v>1025</v>
      </c>
      <c r="I1213" s="12" t="s">
        <v>1026</v>
      </c>
    </row>
    <row r="1214" spans="1:9">
      <c r="A1214" s="14">
        <v>91453</v>
      </c>
      <c r="B1214" s="14" t="s">
        <v>945</v>
      </c>
      <c r="C1214" s="12" t="s">
        <v>129</v>
      </c>
      <c r="D1214" s="15" t="str">
        <f t="shared" si="18"/>
        <v>ITS-SG&amp;A - MGT</v>
      </c>
      <c r="E1214" s="12" t="s">
        <v>117</v>
      </c>
      <c r="F1214" s="12" t="s">
        <v>117</v>
      </c>
      <c r="G1214" s="12" t="s">
        <v>117</v>
      </c>
      <c r="H1214" s="12" t="s">
        <v>1025</v>
      </c>
      <c r="I1214" s="12" t="s">
        <v>1026</v>
      </c>
    </row>
    <row r="1215" spans="1:9">
      <c r="A1215" s="14">
        <v>12359</v>
      </c>
      <c r="B1215" s="14" t="s">
        <v>535</v>
      </c>
      <c r="C1215" s="12" t="s">
        <v>185</v>
      </c>
      <c r="D1215" s="15" t="str">
        <f t="shared" si="18"/>
        <v>Jefferson University-ED Coding - TPS</v>
      </c>
      <c r="E1215" s="12" t="s">
        <v>126</v>
      </c>
      <c r="F1215" s="12" t="s">
        <v>237</v>
      </c>
      <c r="G1215" s="12" t="s">
        <v>238</v>
      </c>
      <c r="H1215" s="12" t="s">
        <v>1025</v>
      </c>
      <c r="I1215" s="12" t="s">
        <v>1026</v>
      </c>
    </row>
    <row r="1216" spans="1:9">
      <c r="A1216" s="14">
        <v>51163</v>
      </c>
      <c r="B1216" s="14" t="s">
        <v>724</v>
      </c>
      <c r="C1216" s="12" t="s">
        <v>116</v>
      </c>
      <c r="D1216" s="15" t="str">
        <f t="shared" si="18"/>
        <v>K12-2101-2112-Ankit-Dev - PRD</v>
      </c>
      <c r="E1216" s="12" t="s">
        <v>117</v>
      </c>
      <c r="F1216" s="12" t="s">
        <v>117</v>
      </c>
      <c r="G1216" s="12" t="s">
        <v>117</v>
      </c>
      <c r="H1216" s="12" t="s">
        <v>1025</v>
      </c>
      <c r="I1216" s="12" t="s">
        <v>1026</v>
      </c>
    </row>
    <row r="1217" spans="1:9">
      <c r="A1217" s="14">
        <v>51165</v>
      </c>
      <c r="B1217" s="14" t="s">
        <v>725</v>
      </c>
      <c r="C1217" s="12" t="s">
        <v>116</v>
      </c>
      <c r="D1217" s="15" t="str">
        <f t="shared" si="18"/>
        <v>K12-2207-2306-SOW164 - PRD</v>
      </c>
      <c r="E1217" s="12" t="s">
        <v>117</v>
      </c>
      <c r="F1217" s="12" t="s">
        <v>117</v>
      </c>
      <c r="G1217" s="12" t="s">
        <v>117</v>
      </c>
      <c r="H1217" s="12" t="s">
        <v>1025</v>
      </c>
      <c r="I1217" s="12" t="s">
        <v>1026</v>
      </c>
    </row>
    <row r="1218" spans="1:9">
      <c r="A1218" s="14">
        <v>51473</v>
      </c>
      <c r="B1218" s="14" t="s">
        <v>812</v>
      </c>
      <c r="C1218" s="12" t="s">
        <v>116</v>
      </c>
      <c r="D1218" s="15" t="str">
        <f t="shared" ref="D1218:D1281" si="19">B1218&amp;" - "&amp;C1218</f>
        <v>K12-2309-2408-DataEngineer-Jas - PRD</v>
      </c>
      <c r="E1218" s="12" t="s">
        <v>117</v>
      </c>
      <c r="F1218" s="12" t="s">
        <v>117</v>
      </c>
      <c r="G1218" s="12" t="s">
        <v>117</v>
      </c>
      <c r="H1218" s="12" t="s">
        <v>1025</v>
      </c>
      <c r="I1218" s="12" t="s">
        <v>1026</v>
      </c>
    </row>
    <row r="1219" spans="1:9">
      <c r="A1219" s="14">
        <v>51166</v>
      </c>
      <c r="B1219" s="14" t="s">
        <v>726</v>
      </c>
      <c r="C1219" s="12" t="s">
        <v>116</v>
      </c>
      <c r="D1219" s="15" t="str">
        <f t="shared" si="19"/>
        <v>K12-BIA-RameshBandaru - PRD</v>
      </c>
      <c r="E1219" s="12" t="s">
        <v>117</v>
      </c>
      <c r="F1219" s="12" t="s">
        <v>117</v>
      </c>
      <c r="G1219" s="12" t="s">
        <v>117</v>
      </c>
      <c r="H1219" s="12" t="s">
        <v>1025</v>
      </c>
      <c r="I1219" s="12" t="s">
        <v>1026</v>
      </c>
    </row>
    <row r="1220" spans="1:9">
      <c r="A1220" s="14">
        <v>51167</v>
      </c>
      <c r="B1220" s="14" t="s">
        <v>727</v>
      </c>
      <c r="C1220" s="12" t="s">
        <v>116</v>
      </c>
      <c r="D1220" s="15" t="str">
        <f t="shared" si="19"/>
        <v>K12-BIA-RamMohanRaoKucharkul - PRD</v>
      </c>
      <c r="E1220" s="12" t="s">
        <v>117</v>
      </c>
      <c r="F1220" s="12" t="s">
        <v>117</v>
      </c>
      <c r="G1220" s="12" t="s">
        <v>117</v>
      </c>
      <c r="H1220" s="12" t="s">
        <v>1025</v>
      </c>
      <c r="I1220" s="12" t="s">
        <v>1026</v>
      </c>
    </row>
    <row r="1221" spans="1:9">
      <c r="A1221" s="14">
        <v>51169</v>
      </c>
      <c r="B1221" s="14" t="s">
        <v>728</v>
      </c>
      <c r="C1221" s="12" t="s">
        <v>116</v>
      </c>
      <c r="D1221" s="15" t="str">
        <f t="shared" si="19"/>
        <v>K12-BIA-RaviSadanand - PRD</v>
      </c>
      <c r="E1221" s="12" t="s">
        <v>117</v>
      </c>
      <c r="F1221" s="12" t="s">
        <v>117</v>
      </c>
      <c r="G1221" s="12" t="s">
        <v>117</v>
      </c>
      <c r="H1221" s="12" t="s">
        <v>1025</v>
      </c>
      <c r="I1221" s="12" t="s">
        <v>1026</v>
      </c>
    </row>
    <row r="1222" spans="1:9">
      <c r="A1222" s="14">
        <v>51170</v>
      </c>
      <c r="B1222" s="14" t="s">
        <v>729</v>
      </c>
      <c r="C1222" s="12" t="s">
        <v>116</v>
      </c>
      <c r="D1222" s="15" t="str">
        <f t="shared" si="19"/>
        <v>K12-BIA-VijayPaspuleti - PRD</v>
      </c>
      <c r="E1222" s="12" t="s">
        <v>117</v>
      </c>
      <c r="F1222" s="12" t="s">
        <v>117</v>
      </c>
      <c r="G1222" s="12" t="s">
        <v>117</v>
      </c>
      <c r="H1222" s="12" t="s">
        <v>1025</v>
      </c>
      <c r="I1222" s="12" t="s">
        <v>1026</v>
      </c>
    </row>
    <row r="1223" spans="1:9">
      <c r="A1223" s="14">
        <v>51171</v>
      </c>
      <c r="B1223" s="14" t="s">
        <v>730</v>
      </c>
      <c r="C1223" s="12" t="s">
        <v>116</v>
      </c>
      <c r="D1223" s="15" t="str">
        <f t="shared" si="19"/>
        <v>K12-BIA-ViswanathApparao - PRD</v>
      </c>
      <c r="E1223" s="12" t="s">
        <v>117</v>
      </c>
      <c r="F1223" s="12" t="s">
        <v>117</v>
      </c>
      <c r="G1223" s="12" t="s">
        <v>117</v>
      </c>
      <c r="H1223" s="12" t="s">
        <v>1025</v>
      </c>
      <c r="I1223" s="12" t="s">
        <v>1026</v>
      </c>
    </row>
    <row r="1224" spans="1:9">
      <c r="A1224" s="14">
        <v>93030</v>
      </c>
      <c r="B1224" s="14" t="s">
        <v>956</v>
      </c>
      <c r="C1224" s="12" t="s">
        <v>145</v>
      </c>
      <c r="D1224" s="15" t="str">
        <f t="shared" si="19"/>
        <v>Lead Generation Team - SUP</v>
      </c>
      <c r="E1224" s="12" t="s">
        <v>104</v>
      </c>
      <c r="F1224" s="12" t="s">
        <v>263</v>
      </c>
      <c r="G1224" s="12" t="s">
        <v>264</v>
      </c>
      <c r="H1224" s="12" t="s">
        <v>1025</v>
      </c>
      <c r="I1224" s="12" t="s">
        <v>1026</v>
      </c>
    </row>
    <row r="1225" spans="1:9">
      <c r="A1225" s="14">
        <v>96200</v>
      </c>
      <c r="B1225" s="14" t="s">
        <v>707</v>
      </c>
      <c r="C1225" s="12" t="s">
        <v>133</v>
      </c>
      <c r="D1225" s="15" t="str">
        <f t="shared" si="19"/>
        <v>Legal/ secretarial - AMG</v>
      </c>
      <c r="E1225" s="12" t="s">
        <v>104</v>
      </c>
      <c r="F1225" s="12" t="s">
        <v>708</v>
      </c>
      <c r="G1225" s="12" t="s">
        <v>114</v>
      </c>
      <c r="H1225" s="12" t="s">
        <v>1025</v>
      </c>
      <c r="I1225" s="12" t="s">
        <v>1026</v>
      </c>
    </row>
    <row r="1226" spans="1:9">
      <c r="A1226" s="14">
        <v>96200</v>
      </c>
      <c r="B1226" s="14" t="s">
        <v>707</v>
      </c>
      <c r="C1226" s="12" t="s">
        <v>121</v>
      </c>
      <c r="D1226" s="15" t="str">
        <f t="shared" si="19"/>
        <v>Legal/ secretarial - F&amp;A</v>
      </c>
      <c r="E1226" s="12" t="s">
        <v>104</v>
      </c>
      <c r="F1226" s="12" t="s">
        <v>708</v>
      </c>
      <c r="G1226" s="12" t="s">
        <v>114</v>
      </c>
      <c r="H1226" s="12" t="s">
        <v>1025</v>
      </c>
      <c r="I1226" s="12" t="s">
        <v>1026</v>
      </c>
    </row>
    <row r="1227" spans="1:9">
      <c r="A1227" s="14">
        <v>96200</v>
      </c>
      <c r="B1227" s="14" t="s">
        <v>707</v>
      </c>
      <c r="C1227" s="12" t="s">
        <v>129</v>
      </c>
      <c r="D1227" s="15" t="str">
        <f t="shared" si="19"/>
        <v>Legal/ secretarial - MGT</v>
      </c>
      <c r="E1227" s="12" t="s">
        <v>104</v>
      </c>
      <c r="F1227" s="12" t="s">
        <v>708</v>
      </c>
      <c r="G1227" s="12" t="s">
        <v>114</v>
      </c>
      <c r="H1227" s="12" t="s">
        <v>1025</v>
      </c>
      <c r="I1227" s="12" t="s">
        <v>1026</v>
      </c>
    </row>
    <row r="1228" spans="1:9">
      <c r="A1228" s="14">
        <v>96200</v>
      </c>
      <c r="B1228" s="14" t="s">
        <v>707</v>
      </c>
      <c r="C1228" s="12" t="s">
        <v>145</v>
      </c>
      <c r="D1228" s="15" t="str">
        <f t="shared" si="19"/>
        <v>Legal/ secretarial - SUP</v>
      </c>
      <c r="E1228" s="12" t="s">
        <v>104</v>
      </c>
      <c r="F1228" s="12" t="s">
        <v>708</v>
      </c>
      <c r="G1228" s="12" t="s">
        <v>114</v>
      </c>
      <c r="H1228" s="12" t="s">
        <v>1025</v>
      </c>
      <c r="I1228" s="12" t="s">
        <v>1026</v>
      </c>
    </row>
    <row r="1229" spans="1:9">
      <c r="A1229" s="14">
        <v>96200</v>
      </c>
      <c r="B1229" s="14" t="s">
        <v>707</v>
      </c>
      <c r="C1229" s="12" t="s">
        <v>180</v>
      </c>
      <c r="D1229" s="15" t="str">
        <f t="shared" si="19"/>
        <v>Legal/ secretarial - TMG</v>
      </c>
      <c r="E1229" s="12" t="s">
        <v>104</v>
      </c>
      <c r="F1229" s="12" t="s">
        <v>708</v>
      </c>
      <c r="G1229" s="12" t="s">
        <v>114</v>
      </c>
      <c r="H1229" s="12" t="s">
        <v>1025</v>
      </c>
      <c r="I1229" s="12" t="s">
        <v>1026</v>
      </c>
    </row>
    <row r="1230" spans="1:9">
      <c r="A1230" s="14">
        <v>10726</v>
      </c>
      <c r="B1230" s="14" t="s">
        <v>338</v>
      </c>
      <c r="C1230" s="12" t="s">
        <v>145</v>
      </c>
      <c r="D1230" s="15" t="str">
        <f t="shared" si="19"/>
        <v>Lenovo Comml Smartcare LAS - SUP</v>
      </c>
      <c r="E1230" s="12" t="s">
        <v>104</v>
      </c>
      <c r="F1230" s="12" t="s">
        <v>117</v>
      </c>
      <c r="G1230" s="12" t="s">
        <v>117</v>
      </c>
      <c r="H1230" s="12" t="s">
        <v>1025</v>
      </c>
      <c r="I1230" s="12" t="s">
        <v>1026</v>
      </c>
    </row>
    <row r="1231" spans="1:9">
      <c r="A1231" s="14">
        <v>10772</v>
      </c>
      <c r="B1231" s="14" t="s">
        <v>372</v>
      </c>
      <c r="C1231" s="12" t="s">
        <v>116</v>
      </c>
      <c r="D1231" s="15" t="str">
        <f t="shared" si="19"/>
        <v>Lenovo NA Premium and Gaming - PRD</v>
      </c>
      <c r="E1231" s="12" t="s">
        <v>126</v>
      </c>
      <c r="F1231" s="12" t="s">
        <v>360</v>
      </c>
      <c r="G1231" s="12" t="s">
        <v>361</v>
      </c>
      <c r="H1231" s="12" t="s">
        <v>1025</v>
      </c>
      <c r="I1231" s="12" t="s">
        <v>1026</v>
      </c>
    </row>
    <row r="1232" spans="1:9">
      <c r="A1232" s="14">
        <v>10772</v>
      </c>
      <c r="B1232" s="14" t="s">
        <v>372</v>
      </c>
      <c r="C1232" s="12" t="s">
        <v>172</v>
      </c>
      <c r="D1232" s="15" t="str">
        <f t="shared" si="19"/>
        <v>Lenovo NA Premium and Gaming - SME</v>
      </c>
      <c r="E1232" s="12" t="s">
        <v>126</v>
      </c>
      <c r="F1232" s="12" t="s">
        <v>360</v>
      </c>
      <c r="G1232" s="12" t="s">
        <v>361</v>
      </c>
      <c r="H1232" s="12" t="s">
        <v>1025</v>
      </c>
      <c r="I1232" s="12" t="s">
        <v>1026</v>
      </c>
    </row>
    <row r="1233" spans="1:9">
      <c r="A1233" s="14">
        <v>10772</v>
      </c>
      <c r="B1233" s="14" t="s">
        <v>372</v>
      </c>
      <c r="C1233" s="12" t="s">
        <v>145</v>
      </c>
      <c r="D1233" s="15" t="str">
        <f t="shared" si="19"/>
        <v>Lenovo NA Premium and Gaming - SUP</v>
      </c>
      <c r="E1233" s="12" t="s">
        <v>126</v>
      </c>
      <c r="F1233" s="12" t="s">
        <v>360</v>
      </c>
      <c r="G1233" s="12" t="s">
        <v>361</v>
      </c>
      <c r="H1233" s="12" t="s">
        <v>1025</v>
      </c>
      <c r="I1233" s="12" t="s">
        <v>1026</v>
      </c>
    </row>
    <row r="1234" spans="1:9">
      <c r="A1234" s="14">
        <v>10772</v>
      </c>
      <c r="B1234" s="14" t="s">
        <v>372</v>
      </c>
      <c r="C1234" s="12" t="s">
        <v>198</v>
      </c>
      <c r="D1234" s="15" t="str">
        <f t="shared" si="19"/>
        <v>Lenovo NA Premium and Gaming - TEC</v>
      </c>
      <c r="E1234" s="12" t="s">
        <v>126</v>
      </c>
      <c r="F1234" s="12" t="s">
        <v>360</v>
      </c>
      <c r="G1234" s="12" t="s">
        <v>361</v>
      </c>
      <c r="H1234" s="12" t="s">
        <v>1025</v>
      </c>
      <c r="I1234" s="12" t="s">
        <v>1026</v>
      </c>
    </row>
    <row r="1235" spans="1:9">
      <c r="A1235" s="14">
        <v>10772</v>
      </c>
      <c r="B1235" s="14" t="s">
        <v>372</v>
      </c>
      <c r="C1235" s="12" t="s">
        <v>180</v>
      </c>
      <c r="D1235" s="15" t="str">
        <f t="shared" si="19"/>
        <v>Lenovo NA Premium and Gaming - TMG</v>
      </c>
      <c r="E1235" s="12" t="s">
        <v>126</v>
      </c>
      <c r="F1235" s="12" t="s">
        <v>360</v>
      </c>
      <c r="G1235" s="12" t="s">
        <v>361</v>
      </c>
      <c r="H1235" s="12" t="s">
        <v>1025</v>
      </c>
      <c r="I1235" s="12" t="s">
        <v>1026</v>
      </c>
    </row>
    <row r="1236" spans="1:9">
      <c r="A1236" s="14">
        <v>10677</v>
      </c>
      <c r="B1236" s="14" t="s">
        <v>301</v>
      </c>
      <c r="C1236" s="12" t="s">
        <v>171</v>
      </c>
      <c r="D1236" s="15" t="str">
        <f t="shared" si="19"/>
        <v>Lenovo SmartLeap Smart Assist - ETE</v>
      </c>
      <c r="E1236" s="12" t="s">
        <v>104</v>
      </c>
      <c r="F1236" s="12" t="s">
        <v>117</v>
      </c>
      <c r="G1236" s="12" t="s">
        <v>117</v>
      </c>
      <c r="H1236" s="12" t="s">
        <v>1025</v>
      </c>
      <c r="I1236" s="12" t="s">
        <v>1026</v>
      </c>
    </row>
    <row r="1237" spans="1:9">
      <c r="A1237" s="14">
        <v>10677</v>
      </c>
      <c r="B1237" s="14" t="s">
        <v>301</v>
      </c>
      <c r="C1237" s="12" t="s">
        <v>116</v>
      </c>
      <c r="D1237" s="15" t="str">
        <f t="shared" si="19"/>
        <v>Lenovo SmartLeap Smart Assist - PRD</v>
      </c>
      <c r="E1237" s="12" t="s">
        <v>104</v>
      </c>
      <c r="F1237" s="12" t="s">
        <v>117</v>
      </c>
      <c r="G1237" s="12" t="s">
        <v>117</v>
      </c>
      <c r="H1237" s="12" t="s">
        <v>1025</v>
      </c>
      <c r="I1237" s="12" t="s">
        <v>1026</v>
      </c>
    </row>
    <row r="1238" spans="1:9">
      <c r="A1238" s="14">
        <v>10677</v>
      </c>
      <c r="B1238" s="14" t="s">
        <v>301</v>
      </c>
      <c r="C1238" s="12" t="s">
        <v>145</v>
      </c>
      <c r="D1238" s="15" t="str">
        <f t="shared" si="19"/>
        <v>Lenovo SmartLeap Smart Assist - SUP</v>
      </c>
      <c r="E1238" s="12" t="s">
        <v>104</v>
      </c>
      <c r="F1238" s="12" t="s">
        <v>117</v>
      </c>
      <c r="G1238" s="12" t="s">
        <v>117</v>
      </c>
      <c r="H1238" s="12" t="s">
        <v>1025</v>
      </c>
      <c r="I1238" s="12" t="s">
        <v>1026</v>
      </c>
    </row>
    <row r="1239" spans="1:9">
      <c r="A1239" s="14">
        <v>10677</v>
      </c>
      <c r="B1239" s="14" t="s">
        <v>301</v>
      </c>
      <c r="C1239" s="12" t="s">
        <v>198</v>
      </c>
      <c r="D1239" s="15" t="str">
        <f t="shared" si="19"/>
        <v>Lenovo SmartLeap Smart Assist - TEC</v>
      </c>
      <c r="E1239" s="12" t="s">
        <v>104</v>
      </c>
      <c r="F1239" s="12" t="s">
        <v>117</v>
      </c>
      <c r="G1239" s="12" t="s">
        <v>117</v>
      </c>
      <c r="H1239" s="12" t="s">
        <v>1025</v>
      </c>
      <c r="I1239" s="12" t="s">
        <v>1026</v>
      </c>
    </row>
    <row r="1240" spans="1:9">
      <c r="A1240" s="14">
        <v>10915</v>
      </c>
      <c r="B1240" s="14" t="s">
        <v>459</v>
      </c>
      <c r="C1240" s="12" t="s">
        <v>185</v>
      </c>
      <c r="D1240" s="15" t="str">
        <f t="shared" si="19"/>
        <v>LIDP Insurance India JC - TPS</v>
      </c>
      <c r="E1240" s="12" t="s">
        <v>117</v>
      </c>
      <c r="F1240" s="12" t="s">
        <v>117</v>
      </c>
      <c r="G1240" s="12" t="s">
        <v>117</v>
      </c>
      <c r="H1240" s="12" t="s">
        <v>1025</v>
      </c>
      <c r="I1240" s="12" t="s">
        <v>1026</v>
      </c>
    </row>
    <row r="1241" spans="1:9">
      <c r="A1241" s="14">
        <v>10123</v>
      </c>
      <c r="B1241" s="14" t="s">
        <v>232</v>
      </c>
      <c r="C1241" s="12" t="s">
        <v>150</v>
      </c>
      <c r="D1241" s="15" t="str">
        <f t="shared" si="19"/>
        <v>Lincoln Member Suppt BO IND - CCS</v>
      </c>
      <c r="E1241" s="12" t="s">
        <v>126</v>
      </c>
      <c r="F1241" s="12" t="s">
        <v>163</v>
      </c>
      <c r="G1241" s="12" t="s">
        <v>164</v>
      </c>
      <c r="H1241" s="12" t="s">
        <v>1025</v>
      </c>
      <c r="I1241" s="12" t="s">
        <v>1026</v>
      </c>
    </row>
    <row r="1242" spans="1:9">
      <c r="A1242" s="14">
        <v>92103</v>
      </c>
      <c r="B1242" s="14" t="s">
        <v>713</v>
      </c>
      <c r="C1242" s="12" t="s">
        <v>145</v>
      </c>
      <c r="D1242" s="15" t="str">
        <f t="shared" si="19"/>
        <v>Logistics &amp;Transportation - GM - SUP</v>
      </c>
      <c r="E1242" s="12" t="s">
        <v>104</v>
      </c>
      <c r="F1242" s="12" t="s">
        <v>518</v>
      </c>
      <c r="G1242" s="12" t="s">
        <v>350</v>
      </c>
      <c r="H1242" s="12" t="s">
        <v>1025</v>
      </c>
      <c r="I1242" s="12" t="s">
        <v>1026</v>
      </c>
    </row>
    <row r="1243" spans="1:9">
      <c r="A1243" s="14">
        <v>92203</v>
      </c>
      <c r="B1243" s="14" t="s">
        <v>715</v>
      </c>
      <c r="C1243" s="12" t="s">
        <v>129</v>
      </c>
      <c r="D1243" s="15" t="str">
        <f t="shared" si="19"/>
        <v>LOGISTICS &amp;TRANSPORTATION -SGA - MGT</v>
      </c>
      <c r="E1243" s="12" t="s">
        <v>104</v>
      </c>
      <c r="F1243" s="12" t="s">
        <v>518</v>
      </c>
      <c r="G1243" s="12" t="s">
        <v>350</v>
      </c>
      <c r="H1243" s="12" t="s">
        <v>1025</v>
      </c>
      <c r="I1243" s="12" t="s">
        <v>1026</v>
      </c>
    </row>
    <row r="1244" spans="1:9">
      <c r="A1244" s="14">
        <v>92203</v>
      </c>
      <c r="B1244" s="14" t="s">
        <v>715</v>
      </c>
      <c r="C1244" s="12" t="s">
        <v>145</v>
      </c>
      <c r="D1244" s="15" t="str">
        <f t="shared" si="19"/>
        <v>LOGISTICS &amp;TRANSPORTATION -SGA - SUP</v>
      </c>
      <c r="E1244" s="12" t="s">
        <v>104</v>
      </c>
      <c r="F1244" s="12" t="s">
        <v>518</v>
      </c>
      <c r="G1244" s="12" t="s">
        <v>350</v>
      </c>
      <c r="H1244" s="12" t="s">
        <v>1025</v>
      </c>
      <c r="I1244" s="12" t="s">
        <v>1026</v>
      </c>
    </row>
    <row r="1245" spans="1:9">
      <c r="A1245" s="14">
        <v>51174</v>
      </c>
      <c r="B1245" s="14" t="s">
        <v>731</v>
      </c>
      <c r="C1245" s="12" t="s">
        <v>116</v>
      </c>
      <c r="D1245" s="15" t="str">
        <f t="shared" si="19"/>
        <v>Loudoun-Cloudtestr - PRD</v>
      </c>
      <c r="E1245" s="12" t="s">
        <v>117</v>
      </c>
      <c r="F1245" s="12" t="s">
        <v>117</v>
      </c>
      <c r="G1245" s="12" t="s">
        <v>117</v>
      </c>
      <c r="H1245" s="12" t="s">
        <v>1025</v>
      </c>
      <c r="I1245" s="12" t="s">
        <v>1026</v>
      </c>
    </row>
    <row r="1246" spans="1:9">
      <c r="A1246" s="31">
        <v>10085</v>
      </c>
      <c r="B1246" s="14" t="s">
        <v>200</v>
      </c>
      <c r="C1246" s="12" t="s">
        <v>185</v>
      </c>
      <c r="D1246" s="15" t="str">
        <f t="shared" si="19"/>
        <v>LSC Comm - Growth FY25 - TPS</v>
      </c>
      <c r="E1246" s="12" t="s">
        <v>126</v>
      </c>
      <c r="F1246" s="12" t="s">
        <v>163</v>
      </c>
      <c r="G1246" s="12" t="s">
        <v>164</v>
      </c>
      <c r="H1246" s="12" t="s">
        <v>1025</v>
      </c>
      <c r="I1246" s="12" t="s">
        <v>1026</v>
      </c>
    </row>
    <row r="1247" spans="1:9">
      <c r="A1247" s="14">
        <v>10097</v>
      </c>
      <c r="B1247" s="14" t="s">
        <v>212</v>
      </c>
      <c r="C1247" s="12" t="s">
        <v>150</v>
      </c>
      <c r="D1247" s="15" t="str">
        <f t="shared" si="19"/>
        <v>LSC Comm - NFB FY25 - CCS</v>
      </c>
      <c r="E1247" s="12" t="s">
        <v>117</v>
      </c>
      <c r="F1247" s="12" t="s">
        <v>117</v>
      </c>
      <c r="G1247" s="12" t="s">
        <v>117</v>
      </c>
      <c r="H1247" s="12" t="s">
        <v>1025</v>
      </c>
      <c r="I1247" s="12" t="s">
        <v>1026</v>
      </c>
    </row>
    <row r="1248" spans="1:9">
      <c r="A1248" s="14">
        <v>10794</v>
      </c>
      <c r="B1248" s="14" t="s">
        <v>388</v>
      </c>
      <c r="C1248" s="12" t="s">
        <v>133</v>
      </c>
      <c r="D1248" s="15" t="str">
        <f t="shared" si="19"/>
        <v>LSC F and A - AMG</v>
      </c>
      <c r="E1248" s="12" t="s">
        <v>126</v>
      </c>
      <c r="F1248" s="12" t="s">
        <v>163</v>
      </c>
      <c r="G1248" s="12" t="s">
        <v>164</v>
      </c>
      <c r="H1248" s="12" t="s">
        <v>1025</v>
      </c>
      <c r="I1248" s="12" t="s">
        <v>1026</v>
      </c>
    </row>
    <row r="1249" spans="1:9">
      <c r="A1249" s="14">
        <v>10794</v>
      </c>
      <c r="B1249" s="14" t="s">
        <v>388</v>
      </c>
      <c r="C1249" s="12" t="s">
        <v>306</v>
      </c>
      <c r="D1249" s="15" t="str">
        <f t="shared" si="19"/>
        <v>LSC F and A - FAO</v>
      </c>
      <c r="E1249" s="12" t="s">
        <v>126</v>
      </c>
      <c r="F1249" s="12" t="s">
        <v>163</v>
      </c>
      <c r="G1249" s="12" t="s">
        <v>164</v>
      </c>
      <c r="H1249" s="12" t="s">
        <v>1025</v>
      </c>
      <c r="I1249" s="12" t="s">
        <v>1026</v>
      </c>
    </row>
    <row r="1250" spans="1:9">
      <c r="A1250" s="14">
        <v>10794</v>
      </c>
      <c r="B1250" s="14" t="s">
        <v>388</v>
      </c>
      <c r="C1250" s="12" t="s">
        <v>116</v>
      </c>
      <c r="D1250" s="15" t="str">
        <f t="shared" si="19"/>
        <v>LSC F and A - PRD</v>
      </c>
      <c r="E1250" s="12" t="s">
        <v>126</v>
      </c>
      <c r="F1250" s="12" t="s">
        <v>163</v>
      </c>
      <c r="G1250" s="12" t="s">
        <v>164</v>
      </c>
      <c r="H1250" s="12" t="s">
        <v>1025</v>
      </c>
      <c r="I1250" s="12" t="s">
        <v>1026</v>
      </c>
    </row>
    <row r="1251" spans="1:9">
      <c r="A1251" s="14">
        <v>10794</v>
      </c>
      <c r="B1251" s="14" t="s">
        <v>388</v>
      </c>
      <c r="C1251" s="12" t="s">
        <v>185</v>
      </c>
      <c r="D1251" s="15" t="str">
        <f t="shared" si="19"/>
        <v>LSC F and A - TPS</v>
      </c>
      <c r="E1251" s="12" t="s">
        <v>126</v>
      </c>
      <c r="F1251" s="12" t="s">
        <v>163</v>
      </c>
      <c r="G1251" s="12" t="s">
        <v>164</v>
      </c>
      <c r="H1251" s="12" t="s">
        <v>1025</v>
      </c>
      <c r="I1251" s="12" t="s">
        <v>1026</v>
      </c>
    </row>
    <row r="1252" spans="1:9">
      <c r="A1252" s="14">
        <v>10913</v>
      </c>
      <c r="B1252" s="14" t="s">
        <v>456</v>
      </c>
      <c r="C1252" s="12" t="s">
        <v>177</v>
      </c>
      <c r="D1252" s="15" t="str">
        <f t="shared" si="19"/>
        <v>LSC Growth FnA JC - OPS</v>
      </c>
      <c r="E1252" s="12" t="s">
        <v>126</v>
      </c>
      <c r="F1252" s="12" t="s">
        <v>163</v>
      </c>
      <c r="G1252" s="12" t="s">
        <v>164</v>
      </c>
      <c r="H1252" s="12" t="s">
        <v>1025</v>
      </c>
      <c r="I1252" s="12" t="s">
        <v>1026</v>
      </c>
    </row>
    <row r="1253" spans="1:9">
      <c r="A1253" s="14">
        <v>10912</v>
      </c>
      <c r="B1253" s="14" t="s">
        <v>455</v>
      </c>
      <c r="C1253" s="12" t="s">
        <v>185</v>
      </c>
      <c r="D1253" s="15" t="str">
        <f t="shared" si="19"/>
        <v>LSC NFB JC - TPS</v>
      </c>
      <c r="E1253" s="12" t="s">
        <v>126</v>
      </c>
      <c r="F1253" s="12" t="s">
        <v>163</v>
      </c>
      <c r="G1253" s="12" t="s">
        <v>164</v>
      </c>
      <c r="H1253" s="12" t="s">
        <v>1025</v>
      </c>
      <c r="I1253" s="12" t="s">
        <v>1026</v>
      </c>
    </row>
    <row r="1254" spans="1:9">
      <c r="A1254" s="14">
        <v>10658</v>
      </c>
      <c r="B1254" s="14" t="s">
        <v>293</v>
      </c>
      <c r="C1254" s="12" t="s">
        <v>150</v>
      </c>
      <c r="D1254" s="15" t="str">
        <f t="shared" si="19"/>
        <v>LYFT _RIDER SUPPORT - CCS</v>
      </c>
      <c r="E1254" s="12" t="s">
        <v>126</v>
      </c>
      <c r="F1254" s="12" t="s">
        <v>178</v>
      </c>
      <c r="G1254" s="12" t="s">
        <v>128</v>
      </c>
      <c r="H1254" s="12" t="s">
        <v>1025</v>
      </c>
      <c r="I1254" s="12" t="s">
        <v>1026</v>
      </c>
    </row>
    <row r="1255" spans="1:9">
      <c r="A1255" s="14">
        <v>10658</v>
      </c>
      <c r="B1255" s="14" t="s">
        <v>293</v>
      </c>
      <c r="C1255" s="12" t="s">
        <v>161</v>
      </c>
      <c r="D1255" s="15" t="str">
        <f t="shared" si="19"/>
        <v>LYFT _RIDER SUPPORT - ECC</v>
      </c>
      <c r="E1255" s="12" t="s">
        <v>126</v>
      </c>
      <c r="F1255" s="12" t="s">
        <v>178</v>
      </c>
      <c r="G1255" s="12" t="s">
        <v>128</v>
      </c>
      <c r="H1255" s="12" t="s">
        <v>1025</v>
      </c>
      <c r="I1255" s="12" t="s">
        <v>1026</v>
      </c>
    </row>
    <row r="1256" spans="1:9">
      <c r="A1256" s="14">
        <v>10658</v>
      </c>
      <c r="B1256" s="14" t="s">
        <v>293</v>
      </c>
      <c r="C1256" s="12" t="s">
        <v>129</v>
      </c>
      <c r="D1256" s="15" t="str">
        <f t="shared" si="19"/>
        <v>LYFT _RIDER SUPPORT - MGT</v>
      </c>
      <c r="E1256" s="12" t="s">
        <v>126</v>
      </c>
      <c r="F1256" s="12" t="s">
        <v>178</v>
      </c>
      <c r="G1256" s="12" t="s">
        <v>128</v>
      </c>
      <c r="H1256" s="12" t="s">
        <v>1025</v>
      </c>
      <c r="I1256" s="12" t="s">
        <v>1026</v>
      </c>
    </row>
    <row r="1257" spans="1:9">
      <c r="A1257" s="14">
        <v>10658</v>
      </c>
      <c r="B1257" s="14" t="s">
        <v>293</v>
      </c>
      <c r="C1257" s="12" t="s">
        <v>418</v>
      </c>
      <c r="D1257" s="15" t="str">
        <f t="shared" si="19"/>
        <v>LYFT _RIDER SUPPORT - QLC</v>
      </c>
      <c r="E1257" s="12" t="s">
        <v>112</v>
      </c>
      <c r="F1257" s="12" t="s">
        <v>113</v>
      </c>
      <c r="G1257" s="12" t="s">
        <v>114</v>
      </c>
      <c r="H1257" s="12" t="s">
        <v>1025</v>
      </c>
      <c r="I1257" s="12" t="s">
        <v>1026</v>
      </c>
    </row>
    <row r="1258" spans="1:9">
      <c r="A1258" s="14">
        <v>10658</v>
      </c>
      <c r="B1258" s="14" t="s">
        <v>293</v>
      </c>
      <c r="C1258" s="12" t="s">
        <v>111</v>
      </c>
      <c r="D1258" s="15" t="str">
        <f t="shared" si="19"/>
        <v>LYFT _RIDER SUPPORT - QLY</v>
      </c>
      <c r="E1258" s="12" t="s">
        <v>112</v>
      </c>
      <c r="F1258" s="12" t="s">
        <v>113</v>
      </c>
      <c r="G1258" s="12" t="s">
        <v>114</v>
      </c>
      <c r="H1258" s="12" t="s">
        <v>1025</v>
      </c>
      <c r="I1258" s="12" t="s">
        <v>1026</v>
      </c>
    </row>
    <row r="1259" spans="1:9">
      <c r="A1259" s="14">
        <v>10658</v>
      </c>
      <c r="B1259" s="14" t="s">
        <v>293</v>
      </c>
      <c r="C1259" s="12" t="s">
        <v>172</v>
      </c>
      <c r="D1259" s="15" t="str">
        <f t="shared" si="19"/>
        <v>LYFT _RIDER SUPPORT - SME</v>
      </c>
      <c r="E1259" s="12" t="s">
        <v>126</v>
      </c>
      <c r="F1259" s="12" t="s">
        <v>178</v>
      </c>
      <c r="G1259" s="12" t="s">
        <v>128</v>
      </c>
      <c r="H1259" s="12" t="s">
        <v>1025</v>
      </c>
      <c r="I1259" s="12" t="s">
        <v>1026</v>
      </c>
    </row>
    <row r="1260" spans="1:9">
      <c r="A1260" s="14">
        <v>10658</v>
      </c>
      <c r="B1260" s="14" t="s">
        <v>293</v>
      </c>
      <c r="C1260" s="12" t="s">
        <v>145</v>
      </c>
      <c r="D1260" s="15" t="str">
        <f t="shared" si="19"/>
        <v>LYFT _RIDER SUPPORT - SUP</v>
      </c>
      <c r="E1260" s="12" t="s">
        <v>126</v>
      </c>
      <c r="F1260" s="12" t="s">
        <v>178</v>
      </c>
      <c r="G1260" s="12" t="s">
        <v>128</v>
      </c>
      <c r="H1260" s="12" t="s">
        <v>1025</v>
      </c>
      <c r="I1260" s="12" t="s">
        <v>1026</v>
      </c>
    </row>
    <row r="1261" spans="1:9">
      <c r="A1261" s="14">
        <v>10658</v>
      </c>
      <c r="B1261" s="14" t="s">
        <v>293</v>
      </c>
      <c r="C1261" s="12" t="s">
        <v>180</v>
      </c>
      <c r="D1261" s="15" t="str">
        <f t="shared" si="19"/>
        <v>LYFT _RIDER SUPPORT - TMG</v>
      </c>
      <c r="E1261" s="12" t="s">
        <v>126</v>
      </c>
      <c r="F1261" s="12" t="s">
        <v>178</v>
      </c>
      <c r="G1261" s="12" t="s">
        <v>128</v>
      </c>
      <c r="H1261" s="12" t="s">
        <v>1025</v>
      </c>
      <c r="I1261" s="12" t="s">
        <v>1026</v>
      </c>
    </row>
    <row r="1262" spans="1:9">
      <c r="A1262" s="14">
        <v>10658</v>
      </c>
      <c r="B1262" s="14" t="s">
        <v>293</v>
      </c>
      <c r="C1262" s="12" t="s">
        <v>185</v>
      </c>
      <c r="D1262" s="15" t="str">
        <f t="shared" si="19"/>
        <v>LYFT _RIDER SUPPORT - TPS</v>
      </c>
      <c r="E1262" s="12" t="s">
        <v>126</v>
      </c>
      <c r="F1262" s="12" t="s">
        <v>178</v>
      </c>
      <c r="G1262" s="12" t="s">
        <v>128</v>
      </c>
      <c r="H1262" s="12" t="s">
        <v>1025</v>
      </c>
      <c r="I1262" s="12" t="s">
        <v>1026</v>
      </c>
    </row>
    <row r="1263" spans="1:9">
      <c r="A1263" s="14">
        <v>10658</v>
      </c>
      <c r="B1263" s="14" t="s">
        <v>293</v>
      </c>
      <c r="C1263" s="12" t="s">
        <v>203</v>
      </c>
      <c r="D1263" s="15" t="str">
        <f t="shared" si="19"/>
        <v>LYFT _RIDER SUPPORT - TRG</v>
      </c>
      <c r="E1263" s="12" t="s">
        <v>112</v>
      </c>
      <c r="F1263" s="12" t="s">
        <v>204</v>
      </c>
      <c r="G1263" s="12" t="s">
        <v>205</v>
      </c>
      <c r="H1263" s="12" t="s">
        <v>1025</v>
      </c>
      <c r="I1263" s="12" t="s">
        <v>1026</v>
      </c>
    </row>
    <row r="1264" spans="1:9">
      <c r="A1264" s="14">
        <v>10814</v>
      </c>
      <c r="B1264" s="14" t="s">
        <v>396</v>
      </c>
      <c r="C1264" s="12" t="s">
        <v>161</v>
      </c>
      <c r="D1264" s="15" t="str">
        <f t="shared" si="19"/>
        <v>Lyft Bug Validation_Ind - ECC</v>
      </c>
      <c r="E1264" s="12" t="s">
        <v>126</v>
      </c>
      <c r="F1264" s="12" t="s">
        <v>178</v>
      </c>
      <c r="G1264" s="12" t="s">
        <v>128</v>
      </c>
      <c r="H1264" s="12" t="s">
        <v>1025</v>
      </c>
      <c r="I1264" s="12" t="s">
        <v>1026</v>
      </c>
    </row>
    <row r="1265" spans="1:9">
      <c r="A1265" s="14">
        <v>10814</v>
      </c>
      <c r="B1265" s="14" t="s">
        <v>396</v>
      </c>
      <c r="C1265" s="12" t="s">
        <v>145</v>
      </c>
      <c r="D1265" s="15" t="str">
        <f t="shared" si="19"/>
        <v>Lyft Bug Validation_Ind - SUP</v>
      </c>
      <c r="E1265" s="12" t="s">
        <v>126</v>
      </c>
      <c r="F1265" s="12" t="s">
        <v>178</v>
      </c>
      <c r="G1265" s="12" t="s">
        <v>128</v>
      </c>
      <c r="H1265" s="12" t="s">
        <v>1025</v>
      </c>
      <c r="I1265" s="12" t="s">
        <v>1026</v>
      </c>
    </row>
    <row r="1266" spans="1:9">
      <c r="A1266" s="14">
        <v>10727</v>
      </c>
      <c r="B1266" s="14" t="s">
        <v>340</v>
      </c>
      <c r="C1266" s="12" t="s">
        <v>138</v>
      </c>
      <c r="D1266" s="15" t="str">
        <f t="shared" si="19"/>
        <v>LYFT Procurement Services - BOS</v>
      </c>
      <c r="E1266" s="12" t="s">
        <v>126</v>
      </c>
      <c r="F1266" s="12" t="s">
        <v>178</v>
      </c>
      <c r="G1266" s="12" t="s">
        <v>128</v>
      </c>
      <c r="H1266" s="12" t="s">
        <v>1025</v>
      </c>
      <c r="I1266" s="12" t="s">
        <v>1026</v>
      </c>
    </row>
    <row r="1267" spans="1:9">
      <c r="A1267" s="14">
        <v>10727</v>
      </c>
      <c r="B1267" s="14" t="s">
        <v>340</v>
      </c>
      <c r="C1267" s="12" t="s">
        <v>145</v>
      </c>
      <c r="D1267" s="15" t="str">
        <f t="shared" si="19"/>
        <v>LYFT Procurement Services - SUP</v>
      </c>
      <c r="E1267" s="12" t="s">
        <v>126</v>
      </c>
      <c r="F1267" s="12" t="s">
        <v>178</v>
      </c>
      <c r="G1267" s="12" t="s">
        <v>128</v>
      </c>
      <c r="H1267" s="12" t="s">
        <v>1025</v>
      </c>
      <c r="I1267" s="12" t="s">
        <v>1026</v>
      </c>
    </row>
    <row r="1268" spans="1:9">
      <c r="A1268" s="14">
        <v>51176</v>
      </c>
      <c r="B1268" s="14" t="s">
        <v>732</v>
      </c>
      <c r="C1268" s="12" t="s">
        <v>116</v>
      </c>
      <c r="D1268" s="15" t="str">
        <f t="shared" si="19"/>
        <v>Matco-2304-2603-DevopsImplemen - PRD</v>
      </c>
      <c r="E1268" s="12" t="s">
        <v>117</v>
      </c>
      <c r="F1268" s="12" t="s">
        <v>117</v>
      </c>
      <c r="G1268" s="12" t="s">
        <v>117</v>
      </c>
      <c r="H1268" s="12" t="s">
        <v>1025</v>
      </c>
      <c r="I1268" s="12" t="s">
        <v>1026</v>
      </c>
    </row>
    <row r="1269" spans="1:9">
      <c r="A1269" s="14">
        <v>80005</v>
      </c>
      <c r="B1269" s="14" t="s">
        <v>853</v>
      </c>
      <c r="C1269" s="12" t="s">
        <v>352</v>
      </c>
      <c r="D1269" s="15" t="str">
        <f t="shared" si="19"/>
        <v>McAfee Common - EAT</v>
      </c>
      <c r="E1269" s="12" t="s">
        <v>126</v>
      </c>
      <c r="F1269" s="12" t="s">
        <v>127</v>
      </c>
      <c r="G1269" s="12" t="s">
        <v>128</v>
      </c>
      <c r="H1269" s="12" t="s">
        <v>1025</v>
      </c>
      <c r="I1269" s="12" t="s">
        <v>1026</v>
      </c>
    </row>
    <row r="1270" spans="1:9">
      <c r="A1270" s="14">
        <v>80005</v>
      </c>
      <c r="B1270" s="14" t="s">
        <v>853</v>
      </c>
      <c r="C1270" s="12" t="s">
        <v>129</v>
      </c>
      <c r="D1270" s="15" t="str">
        <f t="shared" si="19"/>
        <v>McAfee Common - MGT</v>
      </c>
      <c r="E1270" s="12" t="s">
        <v>126</v>
      </c>
      <c r="F1270" s="12" t="s">
        <v>178</v>
      </c>
      <c r="G1270" s="12" t="s">
        <v>128</v>
      </c>
      <c r="H1270" s="12" t="s">
        <v>1025</v>
      </c>
      <c r="I1270" s="12" t="s">
        <v>1026</v>
      </c>
    </row>
    <row r="1271" spans="1:9">
      <c r="A1271" s="14">
        <v>80005</v>
      </c>
      <c r="B1271" s="14" t="s">
        <v>853</v>
      </c>
      <c r="C1271" s="12" t="s">
        <v>177</v>
      </c>
      <c r="D1271" s="15" t="str">
        <f t="shared" si="19"/>
        <v>McAfee Common - OPS</v>
      </c>
      <c r="E1271" s="12" t="s">
        <v>126</v>
      </c>
      <c r="F1271" s="12" t="s">
        <v>127</v>
      </c>
      <c r="G1271" s="12" t="s">
        <v>128</v>
      </c>
      <c r="H1271" s="12" t="s">
        <v>1025</v>
      </c>
      <c r="I1271" s="12" t="s">
        <v>1026</v>
      </c>
    </row>
    <row r="1272" spans="1:9">
      <c r="A1272" s="14">
        <v>80005</v>
      </c>
      <c r="B1272" s="14" t="s">
        <v>853</v>
      </c>
      <c r="C1272" s="12" t="s">
        <v>449</v>
      </c>
      <c r="D1272" s="15" t="str">
        <f t="shared" si="19"/>
        <v>McAfee Common - RPA</v>
      </c>
      <c r="E1272" s="12" t="s">
        <v>126</v>
      </c>
      <c r="F1272" s="12" t="s">
        <v>127</v>
      </c>
      <c r="G1272" s="12" t="s">
        <v>128</v>
      </c>
      <c r="H1272" s="12" t="s">
        <v>1025</v>
      </c>
      <c r="I1272" s="12" t="s">
        <v>1026</v>
      </c>
    </row>
    <row r="1273" spans="1:9">
      <c r="A1273" s="14">
        <v>80005</v>
      </c>
      <c r="B1273" s="14" t="s">
        <v>853</v>
      </c>
      <c r="C1273" s="12" t="s">
        <v>139</v>
      </c>
      <c r="D1273" s="15" t="str">
        <f t="shared" si="19"/>
        <v>McAfee Common - SMGT</v>
      </c>
      <c r="E1273" s="12" t="s">
        <v>126</v>
      </c>
      <c r="F1273" s="12" t="s">
        <v>127</v>
      </c>
      <c r="G1273" s="12" t="s">
        <v>128</v>
      </c>
      <c r="H1273" s="12" t="s">
        <v>1025</v>
      </c>
      <c r="I1273" s="12" t="s">
        <v>1026</v>
      </c>
    </row>
    <row r="1274" spans="1:9">
      <c r="A1274" s="14">
        <v>80005</v>
      </c>
      <c r="B1274" s="14" t="s">
        <v>853</v>
      </c>
      <c r="C1274" s="12" t="s">
        <v>145</v>
      </c>
      <c r="D1274" s="15" t="str">
        <f t="shared" si="19"/>
        <v>McAfee Common - SUP</v>
      </c>
      <c r="E1274" s="12" t="s">
        <v>126</v>
      </c>
      <c r="F1274" s="12" t="s">
        <v>127</v>
      </c>
      <c r="G1274" s="12" t="s">
        <v>128</v>
      </c>
      <c r="H1274" s="12" t="s">
        <v>1025</v>
      </c>
      <c r="I1274" s="12" t="s">
        <v>1026</v>
      </c>
    </row>
    <row r="1275" spans="1:9">
      <c r="A1275" s="14">
        <v>80005</v>
      </c>
      <c r="B1275" s="14" t="s">
        <v>853</v>
      </c>
      <c r="C1275" s="12" t="s">
        <v>196</v>
      </c>
      <c r="D1275" s="15" t="str">
        <f t="shared" si="19"/>
        <v>McAfee Common - SUT</v>
      </c>
      <c r="E1275" s="12" t="s">
        <v>126</v>
      </c>
      <c r="F1275" s="12" t="s">
        <v>127</v>
      </c>
      <c r="G1275" s="12" t="s">
        <v>128</v>
      </c>
      <c r="H1275" s="12" t="s">
        <v>1025</v>
      </c>
      <c r="I1275" s="12" t="s">
        <v>1026</v>
      </c>
    </row>
    <row r="1276" spans="1:9">
      <c r="A1276" s="14">
        <v>80005</v>
      </c>
      <c r="B1276" s="14" t="s">
        <v>853</v>
      </c>
      <c r="C1276" s="12" t="s">
        <v>198</v>
      </c>
      <c r="D1276" s="15" t="str">
        <f t="shared" si="19"/>
        <v>McAfee Common - TEC</v>
      </c>
      <c r="E1276" s="12" t="s">
        <v>126</v>
      </c>
      <c r="F1276" s="12" t="s">
        <v>127</v>
      </c>
      <c r="G1276" s="12" t="s">
        <v>128</v>
      </c>
      <c r="H1276" s="12" t="s">
        <v>1025</v>
      </c>
      <c r="I1276" s="12" t="s">
        <v>1026</v>
      </c>
    </row>
    <row r="1277" spans="1:9">
      <c r="A1277" s="14">
        <v>80005</v>
      </c>
      <c r="B1277" s="14" t="s">
        <v>853</v>
      </c>
      <c r="C1277" s="12" t="s">
        <v>180</v>
      </c>
      <c r="D1277" s="15" t="str">
        <f t="shared" si="19"/>
        <v>McAfee Common - TMG</v>
      </c>
      <c r="E1277" s="12" t="s">
        <v>126</v>
      </c>
      <c r="F1277" s="12" t="s">
        <v>127</v>
      </c>
      <c r="G1277" s="12" t="s">
        <v>128</v>
      </c>
      <c r="H1277" s="12" t="s">
        <v>1025</v>
      </c>
      <c r="I1277" s="12" t="s">
        <v>1026</v>
      </c>
    </row>
    <row r="1278" spans="1:9">
      <c r="A1278" s="14">
        <v>10502</v>
      </c>
      <c r="B1278" s="14" t="s">
        <v>253</v>
      </c>
      <c r="C1278" s="12" t="s">
        <v>398</v>
      </c>
      <c r="D1278" s="15" t="str">
        <f t="shared" si="19"/>
        <v>Mcafee Sales &amp; Retention - Chn - CBK</v>
      </c>
      <c r="E1278" s="12" t="s">
        <v>126</v>
      </c>
      <c r="F1278" s="12" t="s">
        <v>360</v>
      </c>
      <c r="G1278" s="12" t="s">
        <v>361</v>
      </c>
      <c r="H1278" s="12" t="s">
        <v>1025</v>
      </c>
      <c r="I1278" s="12" t="s">
        <v>1026</v>
      </c>
    </row>
    <row r="1279" spans="1:9">
      <c r="A1279" s="14">
        <v>10502</v>
      </c>
      <c r="B1279" s="14" t="s">
        <v>253</v>
      </c>
      <c r="C1279" s="12" t="s">
        <v>150</v>
      </c>
      <c r="D1279" s="15" t="str">
        <f t="shared" si="19"/>
        <v>Mcafee Sales &amp; Retention - Chn - CCS</v>
      </c>
      <c r="E1279" s="12" t="s">
        <v>126</v>
      </c>
      <c r="F1279" s="12" t="s">
        <v>360</v>
      </c>
      <c r="G1279" s="12" t="s">
        <v>361</v>
      </c>
      <c r="H1279" s="12" t="s">
        <v>1025</v>
      </c>
      <c r="I1279" s="12" t="s">
        <v>1026</v>
      </c>
    </row>
    <row r="1280" spans="1:9">
      <c r="A1280" s="14">
        <v>10502</v>
      </c>
      <c r="B1280" s="14" t="s">
        <v>253</v>
      </c>
      <c r="C1280" s="12" t="s">
        <v>161</v>
      </c>
      <c r="D1280" s="15" t="str">
        <f t="shared" si="19"/>
        <v>Mcafee Sales &amp; Retention - Chn - ECC</v>
      </c>
      <c r="E1280" s="12" t="s">
        <v>126</v>
      </c>
      <c r="F1280" s="12" t="s">
        <v>360</v>
      </c>
      <c r="G1280" s="12" t="s">
        <v>361</v>
      </c>
      <c r="H1280" s="12" t="s">
        <v>1025</v>
      </c>
      <c r="I1280" s="12" t="s">
        <v>1026</v>
      </c>
    </row>
    <row r="1281" spans="1:9">
      <c r="A1281" s="14">
        <v>10502</v>
      </c>
      <c r="B1281" s="14" t="s">
        <v>253</v>
      </c>
      <c r="C1281" s="12" t="s">
        <v>129</v>
      </c>
      <c r="D1281" s="15" t="str">
        <f t="shared" si="19"/>
        <v>Mcafee Sales &amp; Retention - Chn - MGT</v>
      </c>
      <c r="E1281" s="12" t="s">
        <v>126</v>
      </c>
      <c r="F1281" s="12" t="s">
        <v>360</v>
      </c>
      <c r="G1281" s="12" t="s">
        <v>361</v>
      </c>
      <c r="H1281" s="12" t="s">
        <v>1025</v>
      </c>
      <c r="I1281" s="12" t="s">
        <v>1026</v>
      </c>
    </row>
    <row r="1282" spans="1:9">
      <c r="A1282" s="14">
        <v>10502</v>
      </c>
      <c r="B1282" s="14" t="s">
        <v>253</v>
      </c>
      <c r="C1282" s="12" t="s">
        <v>111</v>
      </c>
      <c r="D1282" s="15" t="str">
        <f t="shared" ref="D1282:D1345" si="20">B1282&amp;" - "&amp;C1282</f>
        <v>Mcafee Sales &amp; Retention - Chn - QLY</v>
      </c>
      <c r="E1282" s="12" t="s">
        <v>112</v>
      </c>
      <c r="F1282" s="12" t="s">
        <v>113</v>
      </c>
      <c r="G1282" s="12" t="s">
        <v>114</v>
      </c>
      <c r="H1282" s="12" t="s">
        <v>1025</v>
      </c>
      <c r="I1282" s="12" t="s">
        <v>1026</v>
      </c>
    </row>
    <row r="1283" spans="1:9">
      <c r="A1283" s="14">
        <v>10502</v>
      </c>
      <c r="B1283" s="14" t="s">
        <v>253</v>
      </c>
      <c r="C1283" s="12" t="s">
        <v>449</v>
      </c>
      <c r="D1283" s="15" t="str">
        <f t="shared" si="20"/>
        <v>Mcafee Sales &amp; Retention - Chn - RPA</v>
      </c>
      <c r="E1283" s="12" t="s">
        <v>126</v>
      </c>
      <c r="F1283" s="12" t="s">
        <v>360</v>
      </c>
      <c r="G1283" s="12" t="s">
        <v>361</v>
      </c>
      <c r="H1283" s="12" t="s">
        <v>1025</v>
      </c>
      <c r="I1283" s="12" t="s">
        <v>1026</v>
      </c>
    </row>
    <row r="1284" spans="1:9">
      <c r="A1284" s="14">
        <v>10502</v>
      </c>
      <c r="B1284" s="14" t="s">
        <v>253</v>
      </c>
      <c r="C1284" s="12" t="s">
        <v>451</v>
      </c>
      <c r="D1284" s="15" t="str">
        <f t="shared" si="20"/>
        <v>Mcafee Sales &amp; Retention - Chn - SLS</v>
      </c>
      <c r="E1284" s="12" t="s">
        <v>126</v>
      </c>
      <c r="F1284" s="12" t="s">
        <v>360</v>
      </c>
      <c r="G1284" s="12" t="s">
        <v>361</v>
      </c>
      <c r="H1284" s="12" t="s">
        <v>1025</v>
      </c>
      <c r="I1284" s="12" t="s">
        <v>1026</v>
      </c>
    </row>
    <row r="1285" spans="1:9">
      <c r="A1285" s="14">
        <v>10502</v>
      </c>
      <c r="B1285" s="14" t="s">
        <v>253</v>
      </c>
      <c r="C1285" s="12" t="s">
        <v>172</v>
      </c>
      <c r="D1285" s="15" t="str">
        <f t="shared" si="20"/>
        <v>Mcafee Sales &amp; Retention - Chn - SME</v>
      </c>
      <c r="E1285" s="12" t="s">
        <v>126</v>
      </c>
      <c r="F1285" s="12" t="s">
        <v>360</v>
      </c>
      <c r="G1285" s="12" t="s">
        <v>361</v>
      </c>
      <c r="H1285" s="12" t="s">
        <v>1025</v>
      </c>
      <c r="I1285" s="12" t="s">
        <v>1026</v>
      </c>
    </row>
    <row r="1286" spans="1:9">
      <c r="A1286" s="14">
        <v>10502</v>
      </c>
      <c r="B1286" s="14" t="s">
        <v>253</v>
      </c>
      <c r="C1286" s="12" t="s">
        <v>145</v>
      </c>
      <c r="D1286" s="15" t="str">
        <f t="shared" si="20"/>
        <v>Mcafee Sales &amp; Retention - Chn - SUP</v>
      </c>
      <c r="E1286" s="12" t="s">
        <v>126</v>
      </c>
      <c r="F1286" s="12" t="s">
        <v>360</v>
      </c>
      <c r="G1286" s="12" t="s">
        <v>361</v>
      </c>
      <c r="H1286" s="12" t="s">
        <v>1025</v>
      </c>
      <c r="I1286" s="12" t="s">
        <v>1026</v>
      </c>
    </row>
    <row r="1287" spans="1:9">
      <c r="A1287" s="14">
        <v>10502</v>
      </c>
      <c r="B1287" s="14" t="s">
        <v>253</v>
      </c>
      <c r="C1287" s="12" t="s">
        <v>196</v>
      </c>
      <c r="D1287" s="15" t="str">
        <f t="shared" si="20"/>
        <v>Mcafee Sales &amp; Retention - Chn - SUT</v>
      </c>
      <c r="E1287" s="12" t="s">
        <v>126</v>
      </c>
      <c r="F1287" s="12" t="s">
        <v>360</v>
      </c>
      <c r="G1287" s="12" t="s">
        <v>361</v>
      </c>
      <c r="H1287" s="12" t="s">
        <v>1025</v>
      </c>
      <c r="I1287" s="12" t="s">
        <v>1026</v>
      </c>
    </row>
    <row r="1288" spans="1:9">
      <c r="A1288" s="14">
        <v>10502</v>
      </c>
      <c r="B1288" s="14" t="s">
        <v>253</v>
      </c>
      <c r="C1288" s="12" t="s">
        <v>198</v>
      </c>
      <c r="D1288" s="15" t="str">
        <f t="shared" si="20"/>
        <v>Mcafee Sales &amp; Retention - Chn - TEC</v>
      </c>
      <c r="E1288" s="12" t="s">
        <v>126</v>
      </c>
      <c r="F1288" s="12" t="s">
        <v>360</v>
      </c>
      <c r="G1288" s="12" t="s">
        <v>361</v>
      </c>
      <c r="H1288" s="12" t="s">
        <v>1025</v>
      </c>
      <c r="I1288" s="12" t="s">
        <v>1026</v>
      </c>
    </row>
    <row r="1289" spans="1:9">
      <c r="A1289" s="14">
        <v>10502</v>
      </c>
      <c r="B1289" s="14" t="s">
        <v>253</v>
      </c>
      <c r="C1289" s="12" t="s">
        <v>180</v>
      </c>
      <c r="D1289" s="15" t="str">
        <f t="shared" si="20"/>
        <v>Mcafee Sales &amp; Retention - Chn - TMG</v>
      </c>
      <c r="E1289" s="12" t="s">
        <v>126</v>
      </c>
      <c r="F1289" s="12" t="s">
        <v>360</v>
      </c>
      <c r="G1289" s="12" t="s">
        <v>361</v>
      </c>
      <c r="H1289" s="12" t="s">
        <v>1025</v>
      </c>
      <c r="I1289" s="12" t="s">
        <v>1026</v>
      </c>
    </row>
    <row r="1290" spans="1:9">
      <c r="A1290" s="14">
        <v>10502</v>
      </c>
      <c r="B1290" s="14" t="s">
        <v>253</v>
      </c>
      <c r="C1290" s="12" t="s">
        <v>203</v>
      </c>
      <c r="D1290" s="15" t="str">
        <f t="shared" si="20"/>
        <v>Mcafee Sales &amp; Retention - Chn - TRG</v>
      </c>
      <c r="E1290" s="12" t="s">
        <v>112</v>
      </c>
      <c r="F1290" s="12" t="s">
        <v>204</v>
      </c>
      <c r="G1290" s="12" t="s">
        <v>205</v>
      </c>
      <c r="H1290" s="12" t="s">
        <v>1025</v>
      </c>
      <c r="I1290" s="12" t="s">
        <v>1026</v>
      </c>
    </row>
    <row r="1291" spans="1:9">
      <c r="A1291" s="14">
        <v>10502</v>
      </c>
      <c r="B1291" s="14" t="s">
        <v>253</v>
      </c>
      <c r="C1291" s="12" t="s">
        <v>208</v>
      </c>
      <c r="D1291" s="15" t="str">
        <f t="shared" si="20"/>
        <v>Mcafee Sales &amp; Retention - Chn - TTR</v>
      </c>
      <c r="E1291" s="12" t="s">
        <v>112</v>
      </c>
      <c r="F1291" s="12" t="s">
        <v>204</v>
      </c>
      <c r="G1291" s="12" t="s">
        <v>205</v>
      </c>
      <c r="H1291" s="12" t="s">
        <v>1025</v>
      </c>
      <c r="I1291" s="12" t="s">
        <v>1026</v>
      </c>
    </row>
    <row r="1292" spans="1:9">
      <c r="A1292" s="14">
        <v>10933</v>
      </c>
      <c r="B1292" s="14" t="s">
        <v>478</v>
      </c>
      <c r="C1292" s="12" t="s">
        <v>133</v>
      </c>
      <c r="D1292" s="15" t="str">
        <f t="shared" si="20"/>
        <v>McAfee Smartleap TS - AMG</v>
      </c>
      <c r="E1292" s="12" t="s">
        <v>126</v>
      </c>
      <c r="F1292" s="12" t="s">
        <v>360</v>
      </c>
      <c r="G1292" s="12" t="s">
        <v>361</v>
      </c>
      <c r="H1292" s="12" t="s">
        <v>1025</v>
      </c>
      <c r="I1292" s="12" t="s">
        <v>1026</v>
      </c>
    </row>
    <row r="1293" spans="1:9">
      <c r="A1293" s="14">
        <v>10933</v>
      </c>
      <c r="B1293" s="14" t="s">
        <v>478</v>
      </c>
      <c r="C1293" s="12" t="s">
        <v>398</v>
      </c>
      <c r="D1293" s="15" t="str">
        <f t="shared" si="20"/>
        <v>McAfee Smartleap TS - CBK</v>
      </c>
      <c r="E1293" s="12" t="s">
        <v>126</v>
      </c>
      <c r="F1293" s="12" t="s">
        <v>360</v>
      </c>
      <c r="G1293" s="12" t="s">
        <v>361</v>
      </c>
      <c r="H1293" s="12" t="s">
        <v>1025</v>
      </c>
      <c r="I1293" s="12" t="s">
        <v>1026</v>
      </c>
    </row>
    <row r="1294" spans="1:9">
      <c r="A1294" s="14">
        <v>10933</v>
      </c>
      <c r="B1294" s="14" t="s">
        <v>478</v>
      </c>
      <c r="C1294" s="12" t="s">
        <v>150</v>
      </c>
      <c r="D1294" s="15" t="str">
        <f t="shared" si="20"/>
        <v>McAfee Smartleap TS - CCS</v>
      </c>
      <c r="E1294" s="12" t="s">
        <v>126</v>
      </c>
      <c r="F1294" s="12" t="s">
        <v>360</v>
      </c>
      <c r="G1294" s="12" t="s">
        <v>361</v>
      </c>
      <c r="H1294" s="12" t="s">
        <v>1025</v>
      </c>
      <c r="I1294" s="12" t="s">
        <v>1026</v>
      </c>
    </row>
    <row r="1295" spans="1:9">
      <c r="A1295" s="14">
        <v>10933</v>
      </c>
      <c r="B1295" s="14" t="s">
        <v>478</v>
      </c>
      <c r="C1295" s="12" t="s">
        <v>161</v>
      </c>
      <c r="D1295" s="15" t="str">
        <f t="shared" si="20"/>
        <v>McAfee Smartleap TS - ECC</v>
      </c>
      <c r="E1295" s="12" t="s">
        <v>126</v>
      </c>
      <c r="F1295" s="12" t="s">
        <v>360</v>
      </c>
      <c r="G1295" s="12" t="s">
        <v>361</v>
      </c>
      <c r="H1295" s="12" t="s">
        <v>1025</v>
      </c>
      <c r="I1295" s="12" t="s">
        <v>1026</v>
      </c>
    </row>
    <row r="1296" spans="1:9">
      <c r="A1296" s="14">
        <v>10933</v>
      </c>
      <c r="B1296" s="14" t="s">
        <v>478</v>
      </c>
      <c r="C1296" s="12" t="s">
        <v>168</v>
      </c>
      <c r="D1296" s="15" t="str">
        <f t="shared" si="20"/>
        <v>McAfee Smartleap TS - ESC</v>
      </c>
      <c r="E1296" s="12" t="s">
        <v>126</v>
      </c>
      <c r="F1296" s="12" t="s">
        <v>360</v>
      </c>
      <c r="G1296" s="12" t="s">
        <v>361</v>
      </c>
      <c r="H1296" s="12" t="s">
        <v>1025</v>
      </c>
      <c r="I1296" s="12" t="s">
        <v>1026</v>
      </c>
    </row>
    <row r="1297" spans="1:9">
      <c r="A1297" s="14">
        <v>10933</v>
      </c>
      <c r="B1297" s="14" t="s">
        <v>478</v>
      </c>
      <c r="C1297" s="12" t="s">
        <v>171</v>
      </c>
      <c r="D1297" s="15" t="str">
        <f t="shared" si="20"/>
        <v>McAfee Smartleap TS - ETE</v>
      </c>
      <c r="E1297" s="12" t="s">
        <v>126</v>
      </c>
      <c r="F1297" s="12" t="s">
        <v>360</v>
      </c>
      <c r="G1297" s="12" t="s">
        <v>361</v>
      </c>
      <c r="H1297" s="12" t="s">
        <v>1025</v>
      </c>
      <c r="I1297" s="12" t="s">
        <v>1026</v>
      </c>
    </row>
    <row r="1298" spans="1:9">
      <c r="A1298" s="14">
        <v>10933</v>
      </c>
      <c r="B1298" s="14" t="s">
        <v>478</v>
      </c>
      <c r="C1298" s="12" t="s">
        <v>250</v>
      </c>
      <c r="D1298" s="15" t="str">
        <f t="shared" si="20"/>
        <v>McAfee Smartleap TS - LED</v>
      </c>
      <c r="E1298" s="12" t="s">
        <v>126</v>
      </c>
      <c r="F1298" s="12" t="s">
        <v>360</v>
      </c>
      <c r="G1298" s="12" t="s">
        <v>361</v>
      </c>
      <c r="H1298" s="12" t="s">
        <v>1025</v>
      </c>
      <c r="I1298" s="12" t="s">
        <v>1026</v>
      </c>
    </row>
    <row r="1299" spans="1:9">
      <c r="A1299" s="14">
        <v>10933</v>
      </c>
      <c r="B1299" s="14" t="s">
        <v>478</v>
      </c>
      <c r="C1299" s="12" t="s">
        <v>177</v>
      </c>
      <c r="D1299" s="15" t="str">
        <f t="shared" si="20"/>
        <v>McAfee Smartleap TS - OPS</v>
      </c>
      <c r="E1299" s="12" t="s">
        <v>126</v>
      </c>
      <c r="F1299" s="12" t="s">
        <v>360</v>
      </c>
      <c r="G1299" s="12" t="s">
        <v>361</v>
      </c>
      <c r="H1299" s="12" t="s">
        <v>1025</v>
      </c>
      <c r="I1299" s="12" t="s">
        <v>1026</v>
      </c>
    </row>
    <row r="1300" spans="1:9">
      <c r="A1300" s="14">
        <v>10933</v>
      </c>
      <c r="B1300" s="14" t="s">
        <v>478</v>
      </c>
      <c r="C1300" s="12" t="s">
        <v>111</v>
      </c>
      <c r="D1300" s="15" t="str">
        <f t="shared" si="20"/>
        <v>McAfee Smartleap TS - QLY</v>
      </c>
      <c r="E1300" s="12" t="s">
        <v>112</v>
      </c>
      <c r="F1300" s="12" t="s">
        <v>113</v>
      </c>
      <c r="G1300" s="12" t="s">
        <v>114</v>
      </c>
      <c r="H1300" s="12" t="s">
        <v>1025</v>
      </c>
      <c r="I1300" s="12" t="s">
        <v>1026</v>
      </c>
    </row>
    <row r="1301" spans="1:9">
      <c r="A1301" s="14">
        <v>10933</v>
      </c>
      <c r="B1301" s="14" t="s">
        <v>478</v>
      </c>
      <c r="C1301" s="12" t="s">
        <v>510</v>
      </c>
      <c r="D1301" s="15" t="str">
        <f t="shared" si="20"/>
        <v>McAfee Smartleap TS - RST</v>
      </c>
      <c r="E1301" s="12" t="s">
        <v>126</v>
      </c>
      <c r="F1301" s="12" t="s">
        <v>360</v>
      </c>
      <c r="G1301" s="12" t="s">
        <v>361</v>
      </c>
      <c r="H1301" s="12" t="s">
        <v>1025</v>
      </c>
      <c r="I1301" s="12" t="s">
        <v>1026</v>
      </c>
    </row>
    <row r="1302" spans="1:9">
      <c r="A1302" s="14">
        <v>10933</v>
      </c>
      <c r="B1302" s="14" t="s">
        <v>478</v>
      </c>
      <c r="C1302" s="12" t="s">
        <v>451</v>
      </c>
      <c r="D1302" s="15" t="str">
        <f t="shared" si="20"/>
        <v>McAfee Smartleap TS - SLS</v>
      </c>
      <c r="E1302" s="12" t="s">
        <v>126</v>
      </c>
      <c r="F1302" s="12" t="s">
        <v>360</v>
      </c>
      <c r="G1302" s="12" t="s">
        <v>361</v>
      </c>
      <c r="H1302" s="12" t="s">
        <v>1025</v>
      </c>
      <c r="I1302" s="12" t="s">
        <v>1026</v>
      </c>
    </row>
    <row r="1303" spans="1:9">
      <c r="A1303" s="14">
        <v>10933</v>
      </c>
      <c r="B1303" s="14" t="s">
        <v>478</v>
      </c>
      <c r="C1303" s="12" t="s">
        <v>172</v>
      </c>
      <c r="D1303" s="15" t="str">
        <f t="shared" si="20"/>
        <v>McAfee Smartleap TS - SME</v>
      </c>
      <c r="E1303" s="12" t="s">
        <v>126</v>
      </c>
      <c r="F1303" s="12" t="s">
        <v>360</v>
      </c>
      <c r="G1303" s="12" t="s">
        <v>361</v>
      </c>
      <c r="H1303" s="12" t="s">
        <v>1025</v>
      </c>
      <c r="I1303" s="12" t="s">
        <v>1026</v>
      </c>
    </row>
    <row r="1304" spans="1:9">
      <c r="A1304" s="14">
        <v>10933</v>
      </c>
      <c r="B1304" s="14" t="s">
        <v>478</v>
      </c>
      <c r="C1304" s="12" t="s">
        <v>119</v>
      </c>
      <c r="D1304" s="15" t="str">
        <f t="shared" si="20"/>
        <v>McAfee Smartleap TS - SQM</v>
      </c>
      <c r="E1304" s="12" t="s">
        <v>112</v>
      </c>
      <c r="F1304" s="12" t="s">
        <v>113</v>
      </c>
      <c r="G1304" s="12" t="s">
        <v>114</v>
      </c>
      <c r="H1304" s="12" t="s">
        <v>1025</v>
      </c>
      <c r="I1304" s="12" t="s">
        <v>1026</v>
      </c>
    </row>
    <row r="1305" spans="1:9">
      <c r="A1305" s="14">
        <v>10933</v>
      </c>
      <c r="B1305" s="14" t="s">
        <v>478</v>
      </c>
      <c r="C1305" s="12" t="s">
        <v>145</v>
      </c>
      <c r="D1305" s="15" t="str">
        <f t="shared" si="20"/>
        <v>McAfee Smartleap TS - SUP</v>
      </c>
      <c r="E1305" s="12" t="s">
        <v>126</v>
      </c>
      <c r="F1305" s="12" t="s">
        <v>360</v>
      </c>
      <c r="G1305" s="12" t="s">
        <v>361</v>
      </c>
      <c r="H1305" s="12" t="s">
        <v>1025</v>
      </c>
      <c r="I1305" s="12" t="s">
        <v>1026</v>
      </c>
    </row>
    <row r="1306" spans="1:9">
      <c r="A1306" s="14">
        <v>10933</v>
      </c>
      <c r="B1306" s="14" t="s">
        <v>478</v>
      </c>
      <c r="C1306" s="12" t="s">
        <v>196</v>
      </c>
      <c r="D1306" s="15" t="str">
        <f t="shared" si="20"/>
        <v>McAfee Smartleap TS - SUT</v>
      </c>
      <c r="E1306" s="12" t="s">
        <v>126</v>
      </c>
      <c r="F1306" s="12" t="s">
        <v>360</v>
      </c>
      <c r="G1306" s="12" t="s">
        <v>361</v>
      </c>
      <c r="H1306" s="12" t="s">
        <v>1025</v>
      </c>
      <c r="I1306" s="12" t="s">
        <v>1026</v>
      </c>
    </row>
    <row r="1307" spans="1:9">
      <c r="A1307" s="14">
        <v>10933</v>
      </c>
      <c r="B1307" s="14" t="s">
        <v>478</v>
      </c>
      <c r="C1307" s="12" t="s">
        <v>198</v>
      </c>
      <c r="D1307" s="15" t="str">
        <f t="shared" si="20"/>
        <v>McAfee Smartleap TS - TEC</v>
      </c>
      <c r="E1307" s="12" t="s">
        <v>126</v>
      </c>
      <c r="F1307" s="12" t="s">
        <v>360</v>
      </c>
      <c r="G1307" s="12" t="s">
        <v>361</v>
      </c>
      <c r="H1307" s="12" t="s">
        <v>1025</v>
      </c>
      <c r="I1307" s="12" t="s">
        <v>1026</v>
      </c>
    </row>
    <row r="1308" spans="1:9">
      <c r="A1308" s="14">
        <v>10933</v>
      </c>
      <c r="B1308" s="14" t="s">
        <v>478</v>
      </c>
      <c r="C1308" s="12" t="s">
        <v>180</v>
      </c>
      <c r="D1308" s="15" t="str">
        <f t="shared" si="20"/>
        <v>McAfee Smartleap TS - TMG</v>
      </c>
      <c r="E1308" s="12" t="s">
        <v>126</v>
      </c>
      <c r="F1308" s="12" t="s">
        <v>360</v>
      </c>
      <c r="G1308" s="12" t="s">
        <v>361</v>
      </c>
      <c r="H1308" s="12" t="s">
        <v>1025</v>
      </c>
      <c r="I1308" s="12" t="s">
        <v>1026</v>
      </c>
    </row>
    <row r="1309" spans="1:9">
      <c r="A1309" s="14">
        <v>10933</v>
      </c>
      <c r="B1309" s="14" t="s">
        <v>478</v>
      </c>
      <c r="C1309" s="12" t="s">
        <v>203</v>
      </c>
      <c r="D1309" s="15" t="str">
        <f t="shared" si="20"/>
        <v>McAfee Smartleap TS - TRG</v>
      </c>
      <c r="E1309" s="12" t="s">
        <v>112</v>
      </c>
      <c r="F1309" s="12" t="s">
        <v>204</v>
      </c>
      <c r="G1309" s="12" t="s">
        <v>205</v>
      </c>
      <c r="H1309" s="12" t="s">
        <v>1025</v>
      </c>
      <c r="I1309" s="12" t="s">
        <v>1026</v>
      </c>
    </row>
    <row r="1310" spans="1:9">
      <c r="A1310" s="14">
        <v>10933</v>
      </c>
      <c r="B1310" s="14" t="s">
        <v>478</v>
      </c>
      <c r="C1310" s="12" t="s">
        <v>208</v>
      </c>
      <c r="D1310" s="15" t="str">
        <f t="shared" si="20"/>
        <v>McAfee Smartleap TS - TTR</v>
      </c>
      <c r="E1310" s="12" t="s">
        <v>112</v>
      </c>
      <c r="F1310" s="12" t="s">
        <v>204</v>
      </c>
      <c r="G1310" s="12" t="s">
        <v>205</v>
      </c>
      <c r="H1310" s="12" t="s">
        <v>1025</v>
      </c>
      <c r="I1310" s="12" t="s">
        <v>1026</v>
      </c>
    </row>
    <row r="1311" spans="1:9">
      <c r="A1311" s="14">
        <v>10200</v>
      </c>
      <c r="B1311" s="14" t="s">
        <v>233</v>
      </c>
      <c r="C1311" s="12" t="s">
        <v>133</v>
      </c>
      <c r="D1311" s="15" t="str">
        <f t="shared" si="20"/>
        <v>Mcafee TS Non Voice – NA - AMG</v>
      </c>
      <c r="E1311" s="12" t="s">
        <v>126</v>
      </c>
      <c r="F1311" s="12" t="s">
        <v>360</v>
      </c>
      <c r="G1311" s="12" t="s">
        <v>361</v>
      </c>
      <c r="H1311" s="12" t="s">
        <v>1025</v>
      </c>
      <c r="I1311" s="12" t="s">
        <v>1026</v>
      </c>
    </row>
    <row r="1312" spans="1:9">
      <c r="A1312" s="14">
        <v>10200</v>
      </c>
      <c r="B1312" s="14" t="s">
        <v>233</v>
      </c>
      <c r="C1312" s="12" t="s">
        <v>398</v>
      </c>
      <c r="D1312" s="15" t="str">
        <f t="shared" si="20"/>
        <v>Mcafee TS Non Voice – NA - CBK</v>
      </c>
      <c r="E1312" s="12" t="s">
        <v>126</v>
      </c>
      <c r="F1312" s="12" t="s">
        <v>360</v>
      </c>
      <c r="G1312" s="12" t="s">
        <v>361</v>
      </c>
      <c r="H1312" s="12" t="s">
        <v>1025</v>
      </c>
      <c r="I1312" s="12" t="s">
        <v>1026</v>
      </c>
    </row>
    <row r="1313" spans="1:9">
      <c r="A1313" s="14">
        <v>10200</v>
      </c>
      <c r="B1313" s="14" t="s">
        <v>233</v>
      </c>
      <c r="C1313" s="12" t="s">
        <v>144</v>
      </c>
      <c r="D1313" s="15" t="str">
        <f t="shared" si="20"/>
        <v>Mcafee TS Non Voice – NA - CCOD</v>
      </c>
      <c r="E1313" s="12" t="s">
        <v>126</v>
      </c>
      <c r="F1313" s="12" t="s">
        <v>360</v>
      </c>
      <c r="G1313" s="12" t="s">
        <v>361</v>
      </c>
      <c r="H1313" s="12" t="s">
        <v>1025</v>
      </c>
      <c r="I1313" s="12" t="s">
        <v>1026</v>
      </c>
    </row>
    <row r="1314" spans="1:9">
      <c r="A1314" s="14">
        <v>10200</v>
      </c>
      <c r="B1314" s="14" t="s">
        <v>233</v>
      </c>
      <c r="C1314" s="12" t="s">
        <v>171</v>
      </c>
      <c r="D1314" s="15" t="str">
        <f t="shared" si="20"/>
        <v>Mcafee TS Non Voice – NA - ETE</v>
      </c>
      <c r="E1314" s="12" t="s">
        <v>126</v>
      </c>
      <c r="F1314" s="12" t="s">
        <v>360</v>
      </c>
      <c r="G1314" s="12" t="s">
        <v>361</v>
      </c>
      <c r="H1314" s="12" t="s">
        <v>1025</v>
      </c>
      <c r="I1314" s="12" t="s">
        <v>1026</v>
      </c>
    </row>
    <row r="1315" spans="1:9">
      <c r="A1315" s="14">
        <v>10200</v>
      </c>
      <c r="B1315" s="14" t="s">
        <v>233</v>
      </c>
      <c r="C1315" s="12" t="s">
        <v>172</v>
      </c>
      <c r="D1315" s="15" t="str">
        <f t="shared" si="20"/>
        <v>Mcafee TS Non Voice – NA - SME</v>
      </c>
      <c r="E1315" s="12" t="s">
        <v>126</v>
      </c>
      <c r="F1315" s="12" t="s">
        <v>360</v>
      </c>
      <c r="G1315" s="12" t="s">
        <v>361</v>
      </c>
      <c r="H1315" s="12" t="s">
        <v>1025</v>
      </c>
      <c r="I1315" s="12" t="s">
        <v>1026</v>
      </c>
    </row>
    <row r="1316" spans="1:9">
      <c r="A1316" s="14">
        <v>10200</v>
      </c>
      <c r="B1316" s="14" t="s">
        <v>233</v>
      </c>
      <c r="C1316" s="12" t="s">
        <v>119</v>
      </c>
      <c r="D1316" s="15" t="str">
        <f t="shared" si="20"/>
        <v>Mcafee TS Non Voice – NA - SQM</v>
      </c>
      <c r="E1316" s="12" t="s">
        <v>112</v>
      </c>
      <c r="F1316" s="12" t="s">
        <v>113</v>
      </c>
      <c r="G1316" s="12" t="s">
        <v>114</v>
      </c>
      <c r="H1316" s="12" t="s">
        <v>1025</v>
      </c>
      <c r="I1316" s="12" t="s">
        <v>1026</v>
      </c>
    </row>
    <row r="1317" spans="1:9">
      <c r="A1317" s="14">
        <v>10200</v>
      </c>
      <c r="B1317" s="14" t="s">
        <v>233</v>
      </c>
      <c r="C1317" s="12" t="s">
        <v>196</v>
      </c>
      <c r="D1317" s="15" t="str">
        <f t="shared" si="20"/>
        <v>Mcafee TS Non Voice – NA - SUT</v>
      </c>
      <c r="E1317" s="12" t="s">
        <v>126</v>
      </c>
      <c r="F1317" s="12" t="s">
        <v>360</v>
      </c>
      <c r="G1317" s="12" t="s">
        <v>361</v>
      </c>
      <c r="H1317" s="12" t="s">
        <v>1025</v>
      </c>
      <c r="I1317" s="12" t="s">
        <v>1026</v>
      </c>
    </row>
    <row r="1318" spans="1:9">
      <c r="A1318" s="14">
        <v>10200</v>
      </c>
      <c r="B1318" s="14" t="s">
        <v>233</v>
      </c>
      <c r="C1318" s="12" t="s">
        <v>198</v>
      </c>
      <c r="D1318" s="15" t="str">
        <f t="shared" si="20"/>
        <v>Mcafee TS Non Voice – NA - TEC</v>
      </c>
      <c r="E1318" s="12" t="s">
        <v>126</v>
      </c>
      <c r="F1318" s="12" t="s">
        <v>360</v>
      </c>
      <c r="G1318" s="12" t="s">
        <v>361</v>
      </c>
      <c r="H1318" s="12" t="s">
        <v>1025</v>
      </c>
      <c r="I1318" s="12" t="s">
        <v>1026</v>
      </c>
    </row>
    <row r="1319" spans="1:9">
      <c r="A1319" s="14">
        <v>10200</v>
      </c>
      <c r="B1319" s="14" t="s">
        <v>233</v>
      </c>
      <c r="C1319" s="12" t="s">
        <v>180</v>
      </c>
      <c r="D1319" s="15" t="str">
        <f t="shared" si="20"/>
        <v>Mcafee TS Non Voice – NA - TMG</v>
      </c>
      <c r="E1319" s="12" t="s">
        <v>126</v>
      </c>
      <c r="F1319" s="12" t="s">
        <v>360</v>
      </c>
      <c r="G1319" s="12" t="s">
        <v>361</v>
      </c>
      <c r="H1319" s="12" t="s">
        <v>1025</v>
      </c>
      <c r="I1319" s="12" t="s">
        <v>1026</v>
      </c>
    </row>
    <row r="1320" spans="1:9">
      <c r="A1320" s="14">
        <v>10200</v>
      </c>
      <c r="B1320" s="14" t="s">
        <v>233</v>
      </c>
      <c r="C1320" s="12" t="s">
        <v>185</v>
      </c>
      <c r="D1320" s="15" t="str">
        <f t="shared" si="20"/>
        <v>Mcafee TS Non Voice – NA - TPS</v>
      </c>
      <c r="E1320" s="12" t="s">
        <v>126</v>
      </c>
      <c r="F1320" s="12" t="s">
        <v>360</v>
      </c>
      <c r="G1320" s="12" t="s">
        <v>361</v>
      </c>
      <c r="H1320" s="12" t="s">
        <v>1025</v>
      </c>
      <c r="I1320" s="12" t="s">
        <v>1026</v>
      </c>
    </row>
    <row r="1321" spans="1:9">
      <c r="A1321" s="14">
        <v>10200</v>
      </c>
      <c r="B1321" s="14" t="s">
        <v>233</v>
      </c>
      <c r="C1321" s="12" t="s">
        <v>203</v>
      </c>
      <c r="D1321" s="15" t="str">
        <f t="shared" si="20"/>
        <v>Mcafee TS Non Voice – NA - TRG</v>
      </c>
      <c r="E1321" s="12" t="s">
        <v>112</v>
      </c>
      <c r="F1321" s="12" t="s">
        <v>204</v>
      </c>
      <c r="G1321" s="12" t="s">
        <v>205</v>
      </c>
      <c r="H1321" s="12" t="s">
        <v>1025</v>
      </c>
      <c r="I1321" s="12" t="s">
        <v>1026</v>
      </c>
    </row>
    <row r="1322" spans="1:9">
      <c r="A1322" s="14">
        <v>10200</v>
      </c>
      <c r="B1322" s="14" t="s">
        <v>233</v>
      </c>
      <c r="C1322" s="12" t="s">
        <v>208</v>
      </c>
      <c r="D1322" s="15" t="str">
        <f t="shared" si="20"/>
        <v>Mcafee TS Non Voice – NA - TTR</v>
      </c>
      <c r="E1322" s="12" t="s">
        <v>112</v>
      </c>
      <c r="F1322" s="12" t="s">
        <v>204</v>
      </c>
      <c r="G1322" s="12" t="s">
        <v>205</v>
      </c>
      <c r="H1322" s="12" t="s">
        <v>1025</v>
      </c>
      <c r="I1322" s="12" t="s">
        <v>1026</v>
      </c>
    </row>
    <row r="1323" spans="1:9">
      <c r="A1323" s="14">
        <v>10211</v>
      </c>
      <c r="B1323" s="14" t="s">
        <v>234</v>
      </c>
      <c r="C1323" s="12" t="s">
        <v>133</v>
      </c>
      <c r="D1323" s="15" t="str">
        <f t="shared" si="20"/>
        <v>Mcafee TS Voice – NA - AMG</v>
      </c>
      <c r="E1323" s="12" t="s">
        <v>126</v>
      </c>
      <c r="F1323" s="12" t="s">
        <v>360</v>
      </c>
      <c r="G1323" s="12" t="s">
        <v>361</v>
      </c>
      <c r="H1323" s="12" t="s">
        <v>1025</v>
      </c>
      <c r="I1323" s="12" t="s">
        <v>1026</v>
      </c>
    </row>
    <row r="1324" spans="1:9">
      <c r="A1324" s="14">
        <v>10211</v>
      </c>
      <c r="B1324" s="14" t="s">
        <v>234</v>
      </c>
      <c r="C1324" s="12" t="s">
        <v>398</v>
      </c>
      <c r="D1324" s="15" t="str">
        <f t="shared" si="20"/>
        <v>Mcafee TS Voice – NA - CBK</v>
      </c>
      <c r="E1324" s="12" t="s">
        <v>126</v>
      </c>
      <c r="F1324" s="12" t="s">
        <v>360</v>
      </c>
      <c r="G1324" s="12" t="s">
        <v>361</v>
      </c>
      <c r="H1324" s="12" t="s">
        <v>1025</v>
      </c>
      <c r="I1324" s="12" t="s">
        <v>1026</v>
      </c>
    </row>
    <row r="1325" spans="1:9">
      <c r="A1325" s="14">
        <v>10211</v>
      </c>
      <c r="B1325" s="14" t="s">
        <v>234</v>
      </c>
      <c r="C1325" s="12" t="s">
        <v>144</v>
      </c>
      <c r="D1325" s="15" t="str">
        <f t="shared" si="20"/>
        <v>Mcafee TS Voice – NA - CCOD</v>
      </c>
      <c r="E1325" s="12" t="s">
        <v>126</v>
      </c>
      <c r="F1325" s="12" t="s">
        <v>360</v>
      </c>
      <c r="G1325" s="12" t="s">
        <v>361</v>
      </c>
      <c r="H1325" s="12" t="s">
        <v>1025</v>
      </c>
      <c r="I1325" s="12" t="s">
        <v>1026</v>
      </c>
    </row>
    <row r="1326" spans="1:9">
      <c r="A1326" s="14">
        <v>10211</v>
      </c>
      <c r="B1326" s="14" t="s">
        <v>234</v>
      </c>
      <c r="C1326" s="12" t="s">
        <v>150</v>
      </c>
      <c r="D1326" s="15" t="str">
        <f t="shared" si="20"/>
        <v>Mcafee TS Voice – NA - CCS</v>
      </c>
      <c r="E1326" s="12" t="s">
        <v>126</v>
      </c>
      <c r="F1326" s="12" t="s">
        <v>360</v>
      </c>
      <c r="G1326" s="12" t="s">
        <v>361</v>
      </c>
      <c r="H1326" s="12" t="s">
        <v>1025</v>
      </c>
      <c r="I1326" s="12" t="s">
        <v>1026</v>
      </c>
    </row>
    <row r="1327" spans="1:9">
      <c r="A1327" s="14">
        <v>10211</v>
      </c>
      <c r="B1327" s="14" t="s">
        <v>234</v>
      </c>
      <c r="C1327" s="12" t="s">
        <v>161</v>
      </c>
      <c r="D1327" s="15" t="str">
        <f t="shared" si="20"/>
        <v>Mcafee TS Voice – NA - ECC</v>
      </c>
      <c r="E1327" s="12" t="s">
        <v>126</v>
      </c>
      <c r="F1327" s="12" t="s">
        <v>360</v>
      </c>
      <c r="G1327" s="12" t="s">
        <v>361</v>
      </c>
      <c r="H1327" s="12" t="s">
        <v>1025</v>
      </c>
      <c r="I1327" s="12" t="s">
        <v>1026</v>
      </c>
    </row>
    <row r="1328" spans="1:9">
      <c r="A1328" s="14">
        <v>10211</v>
      </c>
      <c r="B1328" s="14" t="s">
        <v>234</v>
      </c>
      <c r="C1328" s="12" t="s">
        <v>171</v>
      </c>
      <c r="D1328" s="15" t="str">
        <f t="shared" si="20"/>
        <v>Mcafee TS Voice – NA - ETE</v>
      </c>
      <c r="E1328" s="12" t="s">
        <v>126</v>
      </c>
      <c r="F1328" s="12" t="s">
        <v>360</v>
      </c>
      <c r="G1328" s="12" t="s">
        <v>361</v>
      </c>
      <c r="H1328" s="12" t="s">
        <v>1025</v>
      </c>
      <c r="I1328" s="12" t="s">
        <v>1026</v>
      </c>
    </row>
    <row r="1329" spans="1:9">
      <c r="A1329" s="14">
        <v>10211</v>
      </c>
      <c r="B1329" s="14" t="s">
        <v>234</v>
      </c>
      <c r="C1329" s="12" t="s">
        <v>129</v>
      </c>
      <c r="D1329" s="15" t="str">
        <f t="shared" si="20"/>
        <v>Mcafee TS Voice – NA - MGT</v>
      </c>
      <c r="E1329" s="12" t="s">
        <v>126</v>
      </c>
      <c r="F1329" s="12" t="s">
        <v>360</v>
      </c>
      <c r="G1329" s="12" t="s">
        <v>361</v>
      </c>
      <c r="H1329" s="12" t="s">
        <v>1025</v>
      </c>
      <c r="I1329" s="12" t="s">
        <v>1026</v>
      </c>
    </row>
    <row r="1330" spans="1:9">
      <c r="A1330" s="14">
        <v>10211</v>
      </c>
      <c r="B1330" s="14" t="s">
        <v>234</v>
      </c>
      <c r="C1330" s="12" t="s">
        <v>116</v>
      </c>
      <c r="D1330" s="15" t="str">
        <f t="shared" si="20"/>
        <v>Mcafee TS Voice – NA - PRD</v>
      </c>
      <c r="E1330" s="12" t="s">
        <v>126</v>
      </c>
      <c r="F1330" s="12" t="s">
        <v>360</v>
      </c>
      <c r="G1330" s="12" t="s">
        <v>361</v>
      </c>
      <c r="H1330" s="12" t="s">
        <v>1025</v>
      </c>
      <c r="I1330" s="12" t="s">
        <v>1026</v>
      </c>
    </row>
    <row r="1331" spans="1:9">
      <c r="A1331" s="14">
        <v>10211</v>
      </c>
      <c r="B1331" s="14" t="s">
        <v>234</v>
      </c>
      <c r="C1331" s="12" t="s">
        <v>418</v>
      </c>
      <c r="D1331" s="15" t="str">
        <f t="shared" si="20"/>
        <v>Mcafee TS Voice – NA - QLC</v>
      </c>
      <c r="E1331" s="12" t="s">
        <v>112</v>
      </c>
      <c r="F1331" s="12" t="s">
        <v>113</v>
      </c>
      <c r="G1331" s="12" t="s">
        <v>114</v>
      </c>
      <c r="H1331" s="12" t="s">
        <v>1025</v>
      </c>
      <c r="I1331" s="12" t="s">
        <v>1026</v>
      </c>
    </row>
    <row r="1332" spans="1:9">
      <c r="A1332" s="14">
        <v>10211</v>
      </c>
      <c r="B1332" s="14" t="s">
        <v>234</v>
      </c>
      <c r="C1332" s="12" t="s">
        <v>111</v>
      </c>
      <c r="D1332" s="15" t="str">
        <f t="shared" si="20"/>
        <v>Mcafee TS Voice – NA - QLY</v>
      </c>
      <c r="E1332" s="12" t="s">
        <v>112</v>
      </c>
      <c r="F1332" s="12" t="s">
        <v>113</v>
      </c>
      <c r="G1332" s="12" t="s">
        <v>114</v>
      </c>
      <c r="H1332" s="12" t="s">
        <v>1025</v>
      </c>
      <c r="I1332" s="12" t="s">
        <v>1026</v>
      </c>
    </row>
    <row r="1333" spans="1:9">
      <c r="A1333" s="14">
        <v>10211</v>
      </c>
      <c r="B1333" s="14" t="s">
        <v>234</v>
      </c>
      <c r="C1333" s="12" t="s">
        <v>172</v>
      </c>
      <c r="D1333" s="15" t="str">
        <f t="shared" si="20"/>
        <v>Mcafee TS Voice – NA - SME</v>
      </c>
      <c r="E1333" s="12" t="s">
        <v>126</v>
      </c>
      <c r="F1333" s="12" t="s">
        <v>360</v>
      </c>
      <c r="G1333" s="12" t="s">
        <v>361</v>
      </c>
      <c r="H1333" s="12" t="s">
        <v>1025</v>
      </c>
      <c r="I1333" s="12" t="s">
        <v>1026</v>
      </c>
    </row>
    <row r="1334" spans="1:9">
      <c r="A1334" s="14">
        <v>10211</v>
      </c>
      <c r="B1334" s="14" t="s">
        <v>234</v>
      </c>
      <c r="C1334" s="12" t="s">
        <v>119</v>
      </c>
      <c r="D1334" s="15" t="str">
        <f t="shared" si="20"/>
        <v>Mcafee TS Voice – NA - SQM</v>
      </c>
      <c r="E1334" s="12" t="s">
        <v>112</v>
      </c>
      <c r="F1334" s="12" t="s">
        <v>113</v>
      </c>
      <c r="G1334" s="12" t="s">
        <v>114</v>
      </c>
      <c r="H1334" s="12" t="s">
        <v>1025</v>
      </c>
      <c r="I1334" s="12" t="s">
        <v>1026</v>
      </c>
    </row>
    <row r="1335" spans="1:9">
      <c r="A1335" s="14">
        <v>10211</v>
      </c>
      <c r="B1335" s="14" t="s">
        <v>234</v>
      </c>
      <c r="C1335" s="12" t="s">
        <v>145</v>
      </c>
      <c r="D1335" s="15" t="str">
        <f t="shared" si="20"/>
        <v>Mcafee TS Voice – NA - SUP</v>
      </c>
      <c r="E1335" s="12" t="s">
        <v>126</v>
      </c>
      <c r="F1335" s="12" t="s">
        <v>360</v>
      </c>
      <c r="G1335" s="12" t="s">
        <v>361</v>
      </c>
      <c r="H1335" s="12" t="s">
        <v>1025</v>
      </c>
      <c r="I1335" s="12" t="s">
        <v>1026</v>
      </c>
    </row>
    <row r="1336" spans="1:9">
      <c r="A1336" s="14">
        <v>10211</v>
      </c>
      <c r="B1336" s="14" t="s">
        <v>234</v>
      </c>
      <c r="C1336" s="12" t="s">
        <v>196</v>
      </c>
      <c r="D1336" s="15" t="str">
        <f t="shared" si="20"/>
        <v>Mcafee TS Voice – NA - SUT</v>
      </c>
      <c r="E1336" s="12" t="s">
        <v>126</v>
      </c>
      <c r="F1336" s="12" t="s">
        <v>360</v>
      </c>
      <c r="G1336" s="12" t="s">
        <v>361</v>
      </c>
      <c r="H1336" s="12" t="s">
        <v>1025</v>
      </c>
      <c r="I1336" s="12" t="s">
        <v>1026</v>
      </c>
    </row>
    <row r="1337" spans="1:9">
      <c r="A1337" s="14">
        <v>10211</v>
      </c>
      <c r="B1337" s="14" t="s">
        <v>234</v>
      </c>
      <c r="C1337" s="12" t="s">
        <v>198</v>
      </c>
      <c r="D1337" s="15" t="str">
        <f t="shared" si="20"/>
        <v>Mcafee TS Voice – NA - TEC</v>
      </c>
      <c r="E1337" s="12" t="s">
        <v>126</v>
      </c>
      <c r="F1337" s="12" t="s">
        <v>360</v>
      </c>
      <c r="G1337" s="12" t="s">
        <v>361</v>
      </c>
      <c r="H1337" s="12" t="s">
        <v>1025</v>
      </c>
      <c r="I1337" s="12" t="s">
        <v>1026</v>
      </c>
    </row>
    <row r="1338" spans="1:9">
      <c r="A1338" s="14">
        <v>10211</v>
      </c>
      <c r="B1338" s="14" t="s">
        <v>234</v>
      </c>
      <c r="C1338" s="12" t="s">
        <v>180</v>
      </c>
      <c r="D1338" s="15" t="str">
        <f t="shared" si="20"/>
        <v>Mcafee TS Voice – NA - TMG</v>
      </c>
      <c r="E1338" s="12" t="s">
        <v>126</v>
      </c>
      <c r="F1338" s="12" t="s">
        <v>360</v>
      </c>
      <c r="G1338" s="12" t="s">
        <v>361</v>
      </c>
      <c r="H1338" s="12" t="s">
        <v>1025</v>
      </c>
      <c r="I1338" s="12" t="s">
        <v>1026</v>
      </c>
    </row>
    <row r="1339" spans="1:9">
      <c r="A1339" s="14">
        <v>10211</v>
      </c>
      <c r="B1339" s="14" t="s">
        <v>234</v>
      </c>
      <c r="C1339" s="12" t="s">
        <v>203</v>
      </c>
      <c r="D1339" s="15" t="str">
        <f t="shared" si="20"/>
        <v>Mcafee TS Voice – NA - TRG</v>
      </c>
      <c r="E1339" s="12" t="s">
        <v>112</v>
      </c>
      <c r="F1339" s="12" t="s">
        <v>204</v>
      </c>
      <c r="G1339" s="12" t="s">
        <v>205</v>
      </c>
      <c r="H1339" s="12" t="s">
        <v>1025</v>
      </c>
      <c r="I1339" s="12" t="s">
        <v>1026</v>
      </c>
    </row>
    <row r="1340" spans="1:9">
      <c r="A1340" s="14">
        <v>10211</v>
      </c>
      <c r="B1340" s="14" t="s">
        <v>234</v>
      </c>
      <c r="C1340" s="12" t="s">
        <v>208</v>
      </c>
      <c r="D1340" s="15" t="str">
        <f t="shared" si="20"/>
        <v>Mcafee TS Voice – NA - TTR</v>
      </c>
      <c r="E1340" s="12" t="s">
        <v>112</v>
      </c>
      <c r="F1340" s="12" t="s">
        <v>204</v>
      </c>
      <c r="G1340" s="12" t="s">
        <v>205</v>
      </c>
      <c r="H1340" s="12" t="s">
        <v>1025</v>
      </c>
      <c r="I1340" s="12" t="s">
        <v>1026</v>
      </c>
    </row>
    <row r="1341" spans="1:9">
      <c r="A1341" s="14">
        <v>51179</v>
      </c>
      <c r="B1341" s="14" t="s">
        <v>733</v>
      </c>
      <c r="C1341" s="12" t="s">
        <v>116</v>
      </c>
      <c r="D1341" s="15" t="str">
        <f t="shared" si="20"/>
        <v>McLane-2209-2211-APAutomation - PRD</v>
      </c>
      <c r="E1341" s="12" t="s">
        <v>104</v>
      </c>
      <c r="F1341" s="12" t="s">
        <v>117</v>
      </c>
      <c r="G1341" s="12" t="s">
        <v>117</v>
      </c>
      <c r="H1341" s="12" t="s">
        <v>1025</v>
      </c>
      <c r="I1341" s="12" t="s">
        <v>1026</v>
      </c>
    </row>
    <row r="1342" spans="1:9">
      <c r="A1342" s="14">
        <v>12307</v>
      </c>
      <c r="B1342" s="14" t="s">
        <v>528</v>
      </c>
      <c r="C1342" s="12" t="s">
        <v>177</v>
      </c>
      <c r="D1342" s="15" t="str">
        <f t="shared" si="20"/>
        <v>Mercy Health - Credit Balance - OPS</v>
      </c>
      <c r="E1342" s="12" t="s">
        <v>126</v>
      </c>
      <c r="F1342" s="12" t="s">
        <v>163</v>
      </c>
      <c r="G1342" s="12" t="s">
        <v>164</v>
      </c>
      <c r="H1342" s="12" t="s">
        <v>1025</v>
      </c>
      <c r="I1342" s="12" t="s">
        <v>1026</v>
      </c>
    </row>
    <row r="1343" spans="1:9">
      <c r="A1343" s="14">
        <v>12307</v>
      </c>
      <c r="B1343" s="14" t="s">
        <v>528</v>
      </c>
      <c r="C1343" s="12" t="s">
        <v>185</v>
      </c>
      <c r="D1343" s="15" t="str">
        <f t="shared" si="20"/>
        <v>Mercy Health - Credit Balance - TPS</v>
      </c>
      <c r="E1343" s="12" t="s">
        <v>126</v>
      </c>
      <c r="F1343" s="12" t="s">
        <v>163</v>
      </c>
      <c r="G1343" s="12" t="s">
        <v>164</v>
      </c>
      <c r="H1343" s="12" t="s">
        <v>1025</v>
      </c>
      <c r="I1343" s="12" t="s">
        <v>1026</v>
      </c>
    </row>
    <row r="1344" spans="1:9">
      <c r="A1344" s="14">
        <v>12305</v>
      </c>
      <c r="B1344" s="14" t="s">
        <v>526</v>
      </c>
      <c r="C1344" s="12" t="s">
        <v>116</v>
      </c>
      <c r="D1344" s="15" t="str">
        <f t="shared" si="20"/>
        <v>Mercy Health - PH AR - PRD</v>
      </c>
      <c r="E1344" s="12" t="s">
        <v>126</v>
      </c>
      <c r="F1344" s="12" t="s">
        <v>163</v>
      </c>
      <c r="G1344" s="12" t="s">
        <v>164</v>
      </c>
      <c r="H1344" s="12" t="s">
        <v>1025</v>
      </c>
      <c r="I1344" s="12" t="s">
        <v>1026</v>
      </c>
    </row>
    <row r="1345" spans="1:9">
      <c r="A1345" s="14">
        <v>12305</v>
      </c>
      <c r="B1345" s="14" t="s">
        <v>526</v>
      </c>
      <c r="C1345" s="12" t="s">
        <v>111</v>
      </c>
      <c r="D1345" s="15" t="str">
        <f t="shared" si="20"/>
        <v>Mercy Health - PH AR - QLY</v>
      </c>
      <c r="E1345" s="12" t="s">
        <v>112</v>
      </c>
      <c r="F1345" s="12" t="s">
        <v>113</v>
      </c>
      <c r="G1345" s="12" t="s">
        <v>114</v>
      </c>
      <c r="H1345" s="12" t="s">
        <v>1025</v>
      </c>
      <c r="I1345" s="12" t="s">
        <v>1026</v>
      </c>
    </row>
    <row r="1346" spans="1:9">
      <c r="A1346" s="14">
        <v>12305</v>
      </c>
      <c r="B1346" s="14" t="s">
        <v>526</v>
      </c>
      <c r="C1346" s="12" t="s">
        <v>145</v>
      </c>
      <c r="D1346" s="15" t="str">
        <f t="shared" ref="D1346:D1409" si="21">B1346&amp;" - "&amp;C1346</f>
        <v>Mercy Health - PH AR - SUP</v>
      </c>
      <c r="E1346" s="12" t="s">
        <v>126</v>
      </c>
      <c r="F1346" s="12" t="s">
        <v>163</v>
      </c>
      <c r="G1346" s="12" t="s">
        <v>164</v>
      </c>
      <c r="H1346" s="12" t="s">
        <v>1025</v>
      </c>
      <c r="I1346" s="12" t="s">
        <v>1026</v>
      </c>
    </row>
    <row r="1347" spans="1:9">
      <c r="A1347" s="14">
        <v>12305</v>
      </c>
      <c r="B1347" s="14" t="s">
        <v>526</v>
      </c>
      <c r="C1347" s="12" t="s">
        <v>180</v>
      </c>
      <c r="D1347" s="15" t="str">
        <f t="shared" si="21"/>
        <v>Mercy Health - PH AR - TMG</v>
      </c>
      <c r="E1347" s="12" t="s">
        <v>126</v>
      </c>
      <c r="F1347" s="12" t="s">
        <v>163</v>
      </c>
      <c r="G1347" s="12" t="s">
        <v>164</v>
      </c>
      <c r="H1347" s="12" t="s">
        <v>1025</v>
      </c>
      <c r="I1347" s="12" t="s">
        <v>1026</v>
      </c>
    </row>
    <row r="1348" spans="1:9">
      <c r="A1348" s="14">
        <v>12443</v>
      </c>
      <c r="B1348" s="14" t="s">
        <v>551</v>
      </c>
      <c r="C1348" s="12" t="s">
        <v>161</v>
      </c>
      <c r="D1348" s="15" t="str">
        <f t="shared" si="21"/>
        <v>Mercy Health - PP AR - ECC</v>
      </c>
      <c r="E1348" s="12" t="s">
        <v>126</v>
      </c>
      <c r="F1348" s="12" t="s">
        <v>163</v>
      </c>
      <c r="G1348" s="12" t="s">
        <v>164</v>
      </c>
      <c r="H1348" s="12" t="s">
        <v>1025</v>
      </c>
      <c r="I1348" s="12" t="s">
        <v>1026</v>
      </c>
    </row>
    <row r="1349" spans="1:9">
      <c r="A1349" s="14">
        <v>12443</v>
      </c>
      <c r="B1349" s="14" t="s">
        <v>551</v>
      </c>
      <c r="C1349" s="12" t="s">
        <v>177</v>
      </c>
      <c r="D1349" s="15" t="str">
        <f t="shared" si="21"/>
        <v>Mercy Health - PP AR - OPS</v>
      </c>
      <c r="E1349" s="12" t="s">
        <v>126</v>
      </c>
      <c r="F1349" s="12" t="s">
        <v>163</v>
      </c>
      <c r="G1349" s="12" t="s">
        <v>164</v>
      </c>
      <c r="H1349" s="12" t="s">
        <v>1025</v>
      </c>
      <c r="I1349" s="12" t="s">
        <v>1026</v>
      </c>
    </row>
    <row r="1350" spans="1:9">
      <c r="A1350" s="14">
        <v>12443</v>
      </c>
      <c r="B1350" s="14" t="s">
        <v>551</v>
      </c>
      <c r="C1350" s="12" t="s">
        <v>116</v>
      </c>
      <c r="D1350" s="15" t="str">
        <f t="shared" si="21"/>
        <v>Mercy Health - PP AR - PRD</v>
      </c>
      <c r="E1350" s="12" t="s">
        <v>126</v>
      </c>
      <c r="F1350" s="12" t="s">
        <v>163</v>
      </c>
      <c r="G1350" s="12" t="s">
        <v>164</v>
      </c>
      <c r="H1350" s="12" t="s">
        <v>1025</v>
      </c>
      <c r="I1350" s="12" t="s">
        <v>1026</v>
      </c>
    </row>
    <row r="1351" spans="1:9">
      <c r="A1351" s="14">
        <v>12443</v>
      </c>
      <c r="B1351" s="14" t="s">
        <v>551</v>
      </c>
      <c r="C1351" s="12" t="s">
        <v>185</v>
      </c>
      <c r="D1351" s="15" t="str">
        <f t="shared" si="21"/>
        <v>Mercy Health - PP AR - TPS</v>
      </c>
      <c r="E1351" s="12" t="s">
        <v>126</v>
      </c>
      <c r="F1351" s="12" t="s">
        <v>163</v>
      </c>
      <c r="G1351" s="12" t="s">
        <v>164</v>
      </c>
      <c r="H1351" s="12" t="s">
        <v>1025</v>
      </c>
      <c r="I1351" s="12" t="s">
        <v>1026</v>
      </c>
    </row>
    <row r="1352" spans="1:9">
      <c r="A1352" s="14">
        <v>12306</v>
      </c>
      <c r="B1352" s="14" t="s">
        <v>527</v>
      </c>
      <c r="C1352" s="12" t="s">
        <v>116</v>
      </c>
      <c r="D1352" s="15" t="str">
        <f t="shared" si="21"/>
        <v>Mercy Health - Trans. Servs - PRD</v>
      </c>
      <c r="E1352" s="12" t="s">
        <v>126</v>
      </c>
      <c r="F1352" s="12" t="s">
        <v>163</v>
      </c>
      <c r="G1352" s="12" t="s">
        <v>164</v>
      </c>
      <c r="H1352" s="12" t="s">
        <v>1025</v>
      </c>
      <c r="I1352" s="12" t="s">
        <v>1026</v>
      </c>
    </row>
    <row r="1353" spans="1:9">
      <c r="A1353" s="14">
        <v>12306</v>
      </c>
      <c r="B1353" s="14" t="s">
        <v>527</v>
      </c>
      <c r="C1353" s="12" t="s">
        <v>185</v>
      </c>
      <c r="D1353" s="15" t="str">
        <f t="shared" si="21"/>
        <v>Mercy Health - Trans. Servs - TPS</v>
      </c>
      <c r="E1353" s="12" t="s">
        <v>126</v>
      </c>
      <c r="F1353" s="12" t="s">
        <v>163</v>
      </c>
      <c r="G1353" s="12" t="s">
        <v>164</v>
      </c>
      <c r="H1353" s="12" t="s">
        <v>1025</v>
      </c>
      <c r="I1353" s="12" t="s">
        <v>1026</v>
      </c>
    </row>
    <row r="1354" spans="1:9">
      <c r="A1354" s="14">
        <v>51183</v>
      </c>
      <c r="B1354" s="14" t="s">
        <v>734</v>
      </c>
      <c r="C1354" s="12" t="s">
        <v>116</v>
      </c>
      <c r="D1354" s="15" t="str">
        <f t="shared" si="21"/>
        <v>Meritor-2305-2404-Costplus-Ram - PRD</v>
      </c>
      <c r="E1354" s="12" t="s">
        <v>117</v>
      </c>
      <c r="F1354" s="12" t="s">
        <v>117</v>
      </c>
      <c r="G1354" s="12" t="s">
        <v>117</v>
      </c>
      <c r="H1354" s="12" t="s">
        <v>1025</v>
      </c>
      <c r="I1354" s="12" t="s">
        <v>1026</v>
      </c>
    </row>
    <row r="1355" spans="1:9">
      <c r="A1355" s="14">
        <v>51184</v>
      </c>
      <c r="B1355" s="14" t="s">
        <v>735</v>
      </c>
      <c r="C1355" s="12" t="s">
        <v>116</v>
      </c>
      <c r="D1355" s="15" t="str">
        <f t="shared" si="21"/>
        <v>Meritor-CloudInfraManagedServi - PRD</v>
      </c>
      <c r="E1355" s="12" t="s">
        <v>117</v>
      </c>
      <c r="F1355" s="12" t="s">
        <v>117</v>
      </c>
      <c r="G1355" s="12" t="s">
        <v>117</v>
      </c>
      <c r="H1355" s="12" t="s">
        <v>1025</v>
      </c>
      <c r="I1355" s="12" t="s">
        <v>1026</v>
      </c>
    </row>
    <row r="1356" spans="1:9">
      <c r="A1356" s="14">
        <v>51460</v>
      </c>
      <c r="B1356" s="14" t="s">
        <v>810</v>
      </c>
      <c r="C1356" s="12" t="s">
        <v>116</v>
      </c>
      <c r="D1356" s="15" t="str">
        <f t="shared" si="21"/>
        <v>Meritor-GlobalPlant AWS Suppor - PRD</v>
      </c>
      <c r="E1356" s="12" t="s">
        <v>117</v>
      </c>
      <c r="F1356" s="12" t="s">
        <v>117</v>
      </c>
      <c r="G1356" s="12" t="s">
        <v>117</v>
      </c>
      <c r="H1356" s="12" t="s">
        <v>1025</v>
      </c>
      <c r="I1356" s="12" t="s">
        <v>1026</v>
      </c>
    </row>
    <row r="1357" spans="1:9">
      <c r="A1357" s="14">
        <v>20679</v>
      </c>
      <c r="B1357" s="14" t="s">
        <v>641</v>
      </c>
      <c r="C1357" s="12" t="s">
        <v>145</v>
      </c>
      <c r="D1357" s="15" t="str">
        <f t="shared" si="21"/>
        <v>Meta SBG NA Accelerate - SUP</v>
      </c>
      <c r="E1357" s="12" t="s">
        <v>112</v>
      </c>
      <c r="F1357" s="12" t="s">
        <v>1006</v>
      </c>
      <c r="G1357" s="12" t="s">
        <v>114</v>
      </c>
      <c r="H1357" s="12" t="s">
        <v>1025</v>
      </c>
      <c r="I1357" s="12" t="s">
        <v>1026</v>
      </c>
    </row>
    <row r="1358" spans="1:9">
      <c r="A1358" s="14">
        <v>10720</v>
      </c>
      <c r="B1358" s="14" t="s">
        <v>333</v>
      </c>
      <c r="C1358" s="12" t="s">
        <v>150</v>
      </c>
      <c r="D1358" s="15" t="str">
        <f t="shared" si="21"/>
        <v>Micron Add-on work - India - CCS</v>
      </c>
      <c r="E1358" s="12" t="s">
        <v>126</v>
      </c>
      <c r="F1358" s="12" t="s">
        <v>163</v>
      </c>
      <c r="G1358" s="12" t="s">
        <v>164</v>
      </c>
      <c r="H1358" s="12" t="s">
        <v>1025</v>
      </c>
      <c r="I1358" s="12" t="s">
        <v>1026</v>
      </c>
    </row>
    <row r="1359" spans="1:9">
      <c r="A1359" s="14">
        <v>10678</v>
      </c>
      <c r="B1359" s="14" t="s">
        <v>304</v>
      </c>
      <c r="C1359" s="12" t="s">
        <v>585</v>
      </c>
      <c r="D1359" s="15" t="str">
        <f t="shared" si="21"/>
        <v>Micron OMR - 40EREG</v>
      </c>
      <c r="E1359" s="12" t="s">
        <v>126</v>
      </c>
      <c r="F1359" s="12" t="s">
        <v>163</v>
      </c>
      <c r="G1359" s="12" t="s">
        <v>164</v>
      </c>
      <c r="H1359" s="12" t="s">
        <v>1025</v>
      </c>
      <c r="I1359" s="12" t="s">
        <v>1026</v>
      </c>
    </row>
    <row r="1360" spans="1:9">
      <c r="A1360" s="14">
        <v>10678</v>
      </c>
      <c r="B1360" s="14" t="s">
        <v>304</v>
      </c>
      <c r="C1360" s="12" t="s">
        <v>138</v>
      </c>
      <c r="D1360" s="15" t="str">
        <f t="shared" si="21"/>
        <v>Micron OMR - BOS</v>
      </c>
      <c r="E1360" s="12" t="s">
        <v>126</v>
      </c>
      <c r="F1360" s="12" t="s">
        <v>163</v>
      </c>
      <c r="G1360" s="12" t="s">
        <v>164</v>
      </c>
      <c r="H1360" s="12" t="s">
        <v>1025</v>
      </c>
      <c r="I1360" s="12" t="s">
        <v>1026</v>
      </c>
    </row>
    <row r="1361" spans="1:9">
      <c r="A1361" s="14">
        <v>10678</v>
      </c>
      <c r="B1361" s="14" t="s">
        <v>304</v>
      </c>
      <c r="C1361" s="12" t="s">
        <v>150</v>
      </c>
      <c r="D1361" s="15" t="str">
        <f t="shared" si="21"/>
        <v>Micron OMR - CCS</v>
      </c>
      <c r="E1361" s="12" t="s">
        <v>126</v>
      </c>
      <c r="F1361" s="12" t="s">
        <v>163</v>
      </c>
      <c r="G1361" s="12" t="s">
        <v>164</v>
      </c>
      <c r="H1361" s="12" t="s">
        <v>1025</v>
      </c>
      <c r="I1361" s="12" t="s">
        <v>1026</v>
      </c>
    </row>
    <row r="1362" spans="1:9">
      <c r="A1362" s="14">
        <v>10678</v>
      </c>
      <c r="B1362" s="14" t="s">
        <v>304</v>
      </c>
      <c r="C1362" s="12" t="s">
        <v>250</v>
      </c>
      <c r="D1362" s="15" t="str">
        <f t="shared" si="21"/>
        <v>Micron OMR - LED</v>
      </c>
      <c r="E1362" s="12" t="s">
        <v>126</v>
      </c>
      <c r="F1362" s="12" t="s">
        <v>163</v>
      </c>
      <c r="G1362" s="12" t="s">
        <v>164</v>
      </c>
      <c r="H1362" s="12" t="s">
        <v>1025</v>
      </c>
      <c r="I1362" s="12" t="s">
        <v>1026</v>
      </c>
    </row>
    <row r="1363" spans="1:9">
      <c r="A1363" s="14">
        <v>10678</v>
      </c>
      <c r="B1363" s="14" t="s">
        <v>304</v>
      </c>
      <c r="C1363" s="12" t="s">
        <v>116</v>
      </c>
      <c r="D1363" s="15" t="str">
        <f t="shared" si="21"/>
        <v>Micron OMR - PRD</v>
      </c>
      <c r="E1363" s="12" t="s">
        <v>126</v>
      </c>
      <c r="F1363" s="12" t="s">
        <v>163</v>
      </c>
      <c r="G1363" s="12" t="s">
        <v>164</v>
      </c>
      <c r="H1363" s="12" t="s">
        <v>1025</v>
      </c>
      <c r="I1363" s="12" t="s">
        <v>1026</v>
      </c>
    </row>
    <row r="1364" spans="1:9">
      <c r="A1364" s="14">
        <v>10678</v>
      </c>
      <c r="B1364" s="14" t="s">
        <v>304</v>
      </c>
      <c r="C1364" s="12" t="s">
        <v>180</v>
      </c>
      <c r="D1364" s="15" t="str">
        <f t="shared" si="21"/>
        <v>Micron OMR - TMG</v>
      </c>
      <c r="E1364" s="12" t="s">
        <v>126</v>
      </c>
      <c r="F1364" s="12" t="s">
        <v>163</v>
      </c>
      <c r="G1364" s="12" t="s">
        <v>164</v>
      </c>
      <c r="H1364" s="12" t="s">
        <v>1025</v>
      </c>
      <c r="I1364" s="12" t="s">
        <v>1026</v>
      </c>
    </row>
    <row r="1365" spans="1:9">
      <c r="A1365" s="14">
        <v>10749</v>
      </c>
      <c r="B1365" s="14" t="s">
        <v>358</v>
      </c>
      <c r="C1365" s="12" t="s">
        <v>138</v>
      </c>
      <c r="D1365" s="15" t="str">
        <f t="shared" si="21"/>
        <v>Micron OMR Chennai - BOS</v>
      </c>
      <c r="E1365" s="12" t="s">
        <v>126</v>
      </c>
      <c r="F1365" s="12" t="s">
        <v>163</v>
      </c>
      <c r="G1365" s="12" t="s">
        <v>164</v>
      </c>
      <c r="H1365" s="12" t="s">
        <v>1025</v>
      </c>
      <c r="I1365" s="12" t="s">
        <v>1026</v>
      </c>
    </row>
    <row r="1366" spans="1:9">
      <c r="A1366" s="14">
        <v>10749</v>
      </c>
      <c r="B1366" s="14" t="s">
        <v>358</v>
      </c>
      <c r="C1366" s="12" t="s">
        <v>250</v>
      </c>
      <c r="D1366" s="15" t="str">
        <f t="shared" si="21"/>
        <v>Micron OMR Chennai - LED</v>
      </c>
      <c r="E1366" s="12" t="s">
        <v>126</v>
      </c>
      <c r="F1366" s="12" t="s">
        <v>163</v>
      </c>
      <c r="G1366" s="12" t="s">
        <v>164</v>
      </c>
      <c r="H1366" s="12" t="s">
        <v>1025</v>
      </c>
      <c r="I1366" s="12" t="s">
        <v>1026</v>
      </c>
    </row>
    <row r="1367" spans="1:9">
      <c r="A1367" s="14">
        <v>10749</v>
      </c>
      <c r="B1367" s="14" t="s">
        <v>358</v>
      </c>
      <c r="C1367" s="12" t="s">
        <v>116</v>
      </c>
      <c r="D1367" s="15" t="str">
        <f t="shared" si="21"/>
        <v>Micron OMR Chennai - PRD</v>
      </c>
      <c r="E1367" s="12" t="s">
        <v>126</v>
      </c>
      <c r="F1367" s="12" t="s">
        <v>163</v>
      </c>
      <c r="G1367" s="12" t="s">
        <v>164</v>
      </c>
      <c r="H1367" s="12" t="s">
        <v>1025</v>
      </c>
      <c r="I1367" s="12" t="s">
        <v>1026</v>
      </c>
    </row>
    <row r="1368" spans="1:9">
      <c r="A1368" s="14">
        <v>10749</v>
      </c>
      <c r="B1368" s="14" t="s">
        <v>358</v>
      </c>
      <c r="C1368" s="12" t="s">
        <v>145</v>
      </c>
      <c r="D1368" s="15" t="str">
        <f t="shared" si="21"/>
        <v>Micron OMR Chennai - SUP</v>
      </c>
      <c r="E1368" s="12" t="s">
        <v>126</v>
      </c>
      <c r="F1368" s="12" t="s">
        <v>163</v>
      </c>
      <c r="G1368" s="12" t="s">
        <v>164</v>
      </c>
      <c r="H1368" s="12" t="s">
        <v>1025</v>
      </c>
      <c r="I1368" s="12" t="s">
        <v>1026</v>
      </c>
    </row>
    <row r="1369" spans="1:9">
      <c r="A1369" s="14">
        <v>10749</v>
      </c>
      <c r="B1369" s="14" t="s">
        <v>358</v>
      </c>
      <c r="C1369" s="12" t="s">
        <v>180</v>
      </c>
      <c r="D1369" s="15" t="str">
        <f t="shared" si="21"/>
        <v>Micron OMR Chennai - TMG</v>
      </c>
      <c r="E1369" s="12" t="s">
        <v>126</v>
      </c>
      <c r="F1369" s="12" t="s">
        <v>163</v>
      </c>
      <c r="G1369" s="12" t="s">
        <v>164</v>
      </c>
      <c r="H1369" s="12" t="s">
        <v>1025</v>
      </c>
      <c r="I1369" s="12" t="s">
        <v>1026</v>
      </c>
    </row>
    <row r="1370" spans="1:9">
      <c r="A1370" s="14">
        <v>10749</v>
      </c>
      <c r="B1370" s="14" t="s">
        <v>358</v>
      </c>
      <c r="C1370" s="12" t="s">
        <v>185</v>
      </c>
      <c r="D1370" s="15" t="str">
        <f t="shared" si="21"/>
        <v>Micron OMR Chennai - TPS</v>
      </c>
      <c r="E1370" s="12" t="s">
        <v>126</v>
      </c>
      <c r="F1370" s="12" t="s">
        <v>163</v>
      </c>
      <c r="G1370" s="12" t="s">
        <v>164</v>
      </c>
      <c r="H1370" s="12" t="s">
        <v>1025</v>
      </c>
      <c r="I1370" s="12" t="s">
        <v>1026</v>
      </c>
    </row>
    <row r="1371" spans="1:9">
      <c r="A1371" s="14">
        <v>10818</v>
      </c>
      <c r="B1371" s="14" t="s">
        <v>399</v>
      </c>
      <c r="C1371" s="12" t="s">
        <v>193</v>
      </c>
      <c r="D1371" s="15" t="str">
        <f t="shared" si="21"/>
        <v>Micron RMA ImplandSupp-IndiaJC - DEV</v>
      </c>
      <c r="E1371" s="12" t="s">
        <v>117</v>
      </c>
      <c r="F1371" s="12" t="s">
        <v>117</v>
      </c>
      <c r="G1371" s="12" t="s">
        <v>117</v>
      </c>
      <c r="H1371" s="12" t="s">
        <v>1025</v>
      </c>
      <c r="I1371" s="12" t="s">
        <v>1026</v>
      </c>
    </row>
    <row r="1372" spans="1:9">
      <c r="A1372" s="14">
        <v>10818</v>
      </c>
      <c r="B1372" s="14" t="s">
        <v>399</v>
      </c>
      <c r="C1372" s="12" t="s">
        <v>145</v>
      </c>
      <c r="D1372" s="15" t="str">
        <f t="shared" si="21"/>
        <v>Micron RMA ImplandSupp-IndiaJC - SUP</v>
      </c>
      <c r="E1372" s="12" t="s">
        <v>117</v>
      </c>
      <c r="F1372" s="12" t="s">
        <v>117</v>
      </c>
      <c r="G1372" s="12" t="s">
        <v>117</v>
      </c>
      <c r="H1372" s="12" t="s">
        <v>1025</v>
      </c>
      <c r="I1372" s="12" t="s">
        <v>1026</v>
      </c>
    </row>
    <row r="1373" spans="1:9">
      <c r="A1373" s="14">
        <v>10652</v>
      </c>
      <c r="B1373" s="14" t="s">
        <v>285</v>
      </c>
      <c r="C1373" s="12" t="s">
        <v>585</v>
      </c>
      <c r="D1373" s="15" t="str">
        <f t="shared" si="21"/>
        <v>Micron WW - 40EREG</v>
      </c>
      <c r="E1373" s="12" t="s">
        <v>126</v>
      </c>
      <c r="F1373" s="12" t="s">
        <v>163</v>
      </c>
      <c r="G1373" s="12" t="s">
        <v>164</v>
      </c>
      <c r="H1373" s="12" t="s">
        <v>1025</v>
      </c>
      <c r="I1373" s="12" t="s">
        <v>1026</v>
      </c>
    </row>
    <row r="1374" spans="1:9">
      <c r="A1374" s="14">
        <v>10652</v>
      </c>
      <c r="B1374" s="14" t="s">
        <v>285</v>
      </c>
      <c r="C1374" s="12" t="s">
        <v>133</v>
      </c>
      <c r="D1374" s="15" t="str">
        <f t="shared" si="21"/>
        <v>Micron WW - AMG</v>
      </c>
      <c r="E1374" s="12" t="s">
        <v>126</v>
      </c>
      <c r="F1374" s="12" t="s">
        <v>163</v>
      </c>
      <c r="G1374" s="12" t="s">
        <v>164</v>
      </c>
      <c r="H1374" s="12" t="s">
        <v>1025</v>
      </c>
      <c r="I1374" s="12" t="s">
        <v>1026</v>
      </c>
    </row>
    <row r="1375" spans="1:9">
      <c r="A1375" s="14">
        <v>10652</v>
      </c>
      <c r="B1375" s="14" t="s">
        <v>285</v>
      </c>
      <c r="C1375" s="12" t="s">
        <v>138</v>
      </c>
      <c r="D1375" s="15" t="str">
        <f t="shared" si="21"/>
        <v>Micron WW - BOS</v>
      </c>
      <c r="E1375" s="12" t="s">
        <v>126</v>
      </c>
      <c r="F1375" s="12" t="s">
        <v>163</v>
      </c>
      <c r="G1375" s="12" t="s">
        <v>164</v>
      </c>
      <c r="H1375" s="12" t="s">
        <v>1025</v>
      </c>
      <c r="I1375" s="12" t="s">
        <v>1026</v>
      </c>
    </row>
    <row r="1376" spans="1:9">
      <c r="A1376" s="14">
        <v>10652</v>
      </c>
      <c r="B1376" s="14" t="s">
        <v>285</v>
      </c>
      <c r="C1376" s="12" t="s">
        <v>150</v>
      </c>
      <c r="D1376" s="15" t="str">
        <f t="shared" si="21"/>
        <v>Micron WW - CCS</v>
      </c>
      <c r="E1376" s="12" t="s">
        <v>126</v>
      </c>
      <c r="F1376" s="12" t="s">
        <v>163</v>
      </c>
      <c r="G1376" s="12" t="s">
        <v>164</v>
      </c>
      <c r="H1376" s="12" t="s">
        <v>1025</v>
      </c>
      <c r="I1376" s="12" t="s">
        <v>1026</v>
      </c>
    </row>
    <row r="1377" spans="1:9">
      <c r="A1377" s="14">
        <v>10652</v>
      </c>
      <c r="B1377" s="14" t="s">
        <v>285</v>
      </c>
      <c r="C1377" s="12" t="s">
        <v>306</v>
      </c>
      <c r="D1377" s="15" t="str">
        <f t="shared" si="21"/>
        <v>Micron WW - FAO</v>
      </c>
      <c r="E1377" s="12" t="s">
        <v>126</v>
      </c>
      <c r="F1377" s="12" t="s">
        <v>163</v>
      </c>
      <c r="G1377" s="12" t="s">
        <v>164</v>
      </c>
      <c r="H1377" s="12" t="s">
        <v>1025</v>
      </c>
      <c r="I1377" s="12" t="s">
        <v>1026</v>
      </c>
    </row>
    <row r="1378" spans="1:9">
      <c r="A1378" s="14">
        <v>10652</v>
      </c>
      <c r="B1378" s="14" t="s">
        <v>285</v>
      </c>
      <c r="C1378" s="12" t="s">
        <v>250</v>
      </c>
      <c r="D1378" s="15" t="str">
        <f t="shared" si="21"/>
        <v>Micron WW - LED</v>
      </c>
      <c r="E1378" s="12" t="s">
        <v>126</v>
      </c>
      <c r="F1378" s="12" t="s">
        <v>163</v>
      </c>
      <c r="G1378" s="12" t="s">
        <v>164</v>
      </c>
      <c r="H1378" s="12" t="s">
        <v>1025</v>
      </c>
      <c r="I1378" s="12" t="s">
        <v>1026</v>
      </c>
    </row>
    <row r="1379" spans="1:9">
      <c r="A1379" s="14">
        <v>10652</v>
      </c>
      <c r="B1379" s="14" t="s">
        <v>285</v>
      </c>
      <c r="C1379" s="12" t="s">
        <v>116</v>
      </c>
      <c r="D1379" s="15" t="str">
        <f t="shared" si="21"/>
        <v>Micron WW - PRD</v>
      </c>
      <c r="E1379" s="12" t="s">
        <v>126</v>
      </c>
      <c r="F1379" s="12" t="s">
        <v>163</v>
      </c>
      <c r="G1379" s="12" t="s">
        <v>164</v>
      </c>
      <c r="H1379" s="12" t="s">
        <v>1025</v>
      </c>
      <c r="I1379" s="12" t="s">
        <v>1026</v>
      </c>
    </row>
    <row r="1380" spans="1:9">
      <c r="A1380" s="14">
        <v>10652</v>
      </c>
      <c r="B1380" s="14" t="s">
        <v>285</v>
      </c>
      <c r="C1380" s="12" t="s">
        <v>198</v>
      </c>
      <c r="D1380" s="15" t="str">
        <f t="shared" si="21"/>
        <v>Micron WW - TEC</v>
      </c>
      <c r="E1380" s="12" t="s">
        <v>126</v>
      </c>
      <c r="F1380" s="12" t="s">
        <v>163</v>
      </c>
      <c r="G1380" s="12" t="s">
        <v>164</v>
      </c>
      <c r="H1380" s="12" t="s">
        <v>1025</v>
      </c>
      <c r="I1380" s="12" t="s">
        <v>1026</v>
      </c>
    </row>
    <row r="1381" spans="1:9">
      <c r="A1381" s="14">
        <v>10652</v>
      </c>
      <c r="B1381" s="14" t="s">
        <v>285</v>
      </c>
      <c r="C1381" s="12" t="s">
        <v>180</v>
      </c>
      <c r="D1381" s="15" t="str">
        <f t="shared" si="21"/>
        <v>Micron WW - TMG</v>
      </c>
      <c r="E1381" s="12" t="s">
        <v>126</v>
      </c>
      <c r="F1381" s="12" t="s">
        <v>163</v>
      </c>
      <c r="G1381" s="12" t="s">
        <v>164</v>
      </c>
      <c r="H1381" s="12" t="s">
        <v>1025</v>
      </c>
      <c r="I1381" s="12" t="s">
        <v>1026</v>
      </c>
    </row>
    <row r="1382" spans="1:9">
      <c r="A1382" s="14">
        <v>10652</v>
      </c>
      <c r="B1382" s="14" t="s">
        <v>285</v>
      </c>
      <c r="C1382" s="12" t="s">
        <v>185</v>
      </c>
      <c r="D1382" s="15" t="str">
        <f t="shared" si="21"/>
        <v>Micron WW - TPS</v>
      </c>
      <c r="E1382" s="12" t="s">
        <v>126</v>
      </c>
      <c r="F1382" s="12" t="s">
        <v>163</v>
      </c>
      <c r="G1382" s="12" t="s">
        <v>164</v>
      </c>
      <c r="H1382" s="12" t="s">
        <v>1025</v>
      </c>
      <c r="I1382" s="12" t="s">
        <v>1026</v>
      </c>
    </row>
    <row r="1383" spans="1:9">
      <c r="A1383" s="14">
        <v>10652</v>
      </c>
      <c r="B1383" s="14" t="s">
        <v>285</v>
      </c>
      <c r="C1383" s="12" t="s">
        <v>546</v>
      </c>
      <c r="D1383" s="15" t="str">
        <f t="shared" si="21"/>
        <v>Micron WW - TRN</v>
      </c>
      <c r="E1383" s="12" t="s">
        <v>112</v>
      </c>
      <c r="F1383" s="12" t="s">
        <v>204</v>
      </c>
      <c r="G1383" s="12" t="s">
        <v>205</v>
      </c>
      <c r="H1383" s="12" t="s">
        <v>1025</v>
      </c>
      <c r="I1383" s="12" t="s">
        <v>1026</v>
      </c>
    </row>
    <row r="1384" spans="1:9">
      <c r="A1384" s="14">
        <v>40053</v>
      </c>
      <c r="B1384" s="14" t="s">
        <v>661</v>
      </c>
      <c r="C1384" s="12" t="s">
        <v>180</v>
      </c>
      <c r="D1384" s="15" t="str">
        <f t="shared" si="21"/>
        <v>Middle East FDS - TMG</v>
      </c>
      <c r="E1384" s="12" t="s">
        <v>126</v>
      </c>
      <c r="F1384" s="12" t="s">
        <v>163</v>
      </c>
      <c r="G1384" s="12" t="s">
        <v>164</v>
      </c>
      <c r="H1384" s="12" t="s">
        <v>1025</v>
      </c>
      <c r="I1384" s="12" t="s">
        <v>1026</v>
      </c>
    </row>
    <row r="1385" spans="1:9">
      <c r="A1385" s="14">
        <v>40053</v>
      </c>
      <c r="B1385" s="14" t="s">
        <v>661</v>
      </c>
      <c r="C1385" s="12" t="s">
        <v>185</v>
      </c>
      <c r="D1385" s="15" t="str">
        <f t="shared" si="21"/>
        <v>Middle East FDS - TPS</v>
      </c>
      <c r="E1385" s="12" t="s">
        <v>126</v>
      </c>
      <c r="F1385" s="12" t="s">
        <v>163</v>
      </c>
      <c r="G1385" s="12" t="s">
        <v>164</v>
      </c>
      <c r="H1385" s="12" t="s">
        <v>1025</v>
      </c>
      <c r="I1385" s="12" t="s">
        <v>1026</v>
      </c>
    </row>
    <row r="1386" spans="1:9">
      <c r="A1386" s="14">
        <v>93625</v>
      </c>
      <c r="B1386" s="14" t="s">
        <v>737</v>
      </c>
      <c r="C1386" s="12" t="s">
        <v>129</v>
      </c>
      <c r="D1386" s="15" t="str">
        <f t="shared" si="21"/>
        <v>Middle East Solution Support - MGT</v>
      </c>
      <c r="E1386" s="12" t="s">
        <v>104</v>
      </c>
      <c r="F1386" s="12" t="s">
        <v>303</v>
      </c>
      <c r="G1386" s="12" t="s">
        <v>114</v>
      </c>
      <c r="H1386" s="12" t="s">
        <v>1025</v>
      </c>
      <c r="I1386" s="12" t="s">
        <v>1026</v>
      </c>
    </row>
    <row r="1387" spans="1:9">
      <c r="A1387" s="14">
        <v>93625</v>
      </c>
      <c r="B1387" s="14" t="s">
        <v>737</v>
      </c>
      <c r="C1387" s="12" t="s">
        <v>185</v>
      </c>
      <c r="D1387" s="15" t="str">
        <f t="shared" si="21"/>
        <v>Middle East Solution Support - TPS</v>
      </c>
      <c r="E1387" s="12" t="s">
        <v>104</v>
      </c>
      <c r="F1387" s="12" t="s">
        <v>303</v>
      </c>
      <c r="G1387" s="12" t="s">
        <v>114</v>
      </c>
      <c r="H1387" s="12" t="s">
        <v>1025</v>
      </c>
      <c r="I1387" s="12" t="s">
        <v>1026</v>
      </c>
    </row>
    <row r="1388" spans="1:9">
      <c r="A1388" s="14">
        <v>93625</v>
      </c>
      <c r="B1388" s="14" t="s">
        <v>737</v>
      </c>
      <c r="C1388" s="12" t="s">
        <v>203</v>
      </c>
      <c r="D1388" s="15" t="str">
        <f t="shared" si="21"/>
        <v>Middle East Solution Support - TRG</v>
      </c>
      <c r="E1388" s="12" t="s">
        <v>104</v>
      </c>
      <c r="F1388" s="12" t="s">
        <v>303</v>
      </c>
      <c r="G1388" s="12" t="s">
        <v>114</v>
      </c>
      <c r="H1388" s="12" t="s">
        <v>1025</v>
      </c>
      <c r="I1388" s="12" t="s">
        <v>1026</v>
      </c>
    </row>
    <row r="1389" spans="1:9">
      <c r="A1389" s="14">
        <v>18061</v>
      </c>
      <c r="B1389" s="14" t="s">
        <v>626</v>
      </c>
      <c r="C1389" s="12" t="s">
        <v>138</v>
      </c>
      <c r="D1389" s="15" t="str">
        <f t="shared" si="21"/>
        <v>Mission_TPR Shared Service - BOS</v>
      </c>
      <c r="E1389" s="12" t="s">
        <v>126</v>
      </c>
      <c r="F1389" s="12" t="s">
        <v>163</v>
      </c>
      <c r="G1389" s="12" t="s">
        <v>164</v>
      </c>
      <c r="H1389" s="12" t="s">
        <v>1025</v>
      </c>
      <c r="I1389" s="12" t="s">
        <v>1026</v>
      </c>
    </row>
    <row r="1390" spans="1:9">
      <c r="A1390" s="14">
        <v>18061</v>
      </c>
      <c r="B1390" s="14" t="s">
        <v>626</v>
      </c>
      <c r="C1390" s="12" t="s">
        <v>116</v>
      </c>
      <c r="D1390" s="15" t="str">
        <f t="shared" si="21"/>
        <v>Mission_TPR Shared Service - PRD</v>
      </c>
      <c r="E1390" s="12" t="s">
        <v>126</v>
      </c>
      <c r="F1390" s="12" t="s">
        <v>163</v>
      </c>
      <c r="G1390" s="12" t="s">
        <v>164</v>
      </c>
      <c r="H1390" s="12" t="s">
        <v>1025</v>
      </c>
      <c r="I1390" s="12" t="s">
        <v>1026</v>
      </c>
    </row>
    <row r="1391" spans="1:9">
      <c r="A1391" s="14">
        <v>18061</v>
      </c>
      <c r="B1391" s="14" t="s">
        <v>626</v>
      </c>
      <c r="C1391" s="12" t="s">
        <v>145</v>
      </c>
      <c r="D1391" s="15" t="str">
        <f t="shared" si="21"/>
        <v>Mission_TPR Shared Service - SUP</v>
      </c>
      <c r="E1391" s="12" t="s">
        <v>126</v>
      </c>
      <c r="F1391" s="12" t="s">
        <v>163</v>
      </c>
      <c r="G1391" s="12" t="s">
        <v>164</v>
      </c>
      <c r="H1391" s="12" t="s">
        <v>1025</v>
      </c>
      <c r="I1391" s="12" t="s">
        <v>1026</v>
      </c>
    </row>
    <row r="1392" spans="1:9">
      <c r="A1392" s="14">
        <v>18061</v>
      </c>
      <c r="B1392" s="14" t="s">
        <v>626</v>
      </c>
      <c r="C1392" s="12" t="s">
        <v>180</v>
      </c>
      <c r="D1392" s="15" t="str">
        <f t="shared" si="21"/>
        <v>Mission_TPR Shared Service - TMG</v>
      </c>
      <c r="E1392" s="12" t="s">
        <v>126</v>
      </c>
      <c r="F1392" s="12" t="s">
        <v>163</v>
      </c>
      <c r="G1392" s="12" t="s">
        <v>164</v>
      </c>
      <c r="H1392" s="12" t="s">
        <v>1025</v>
      </c>
      <c r="I1392" s="12" t="s">
        <v>1026</v>
      </c>
    </row>
    <row r="1393" spans="1:9">
      <c r="A1393" s="14">
        <v>18061</v>
      </c>
      <c r="B1393" s="14" t="s">
        <v>626</v>
      </c>
      <c r="C1393" s="12" t="s">
        <v>185</v>
      </c>
      <c r="D1393" s="15" t="str">
        <f t="shared" si="21"/>
        <v>Mission_TPR Shared Service - TPS</v>
      </c>
      <c r="E1393" s="12" t="s">
        <v>126</v>
      </c>
      <c r="F1393" s="12" t="s">
        <v>163</v>
      </c>
      <c r="G1393" s="12" t="s">
        <v>164</v>
      </c>
      <c r="H1393" s="12" t="s">
        <v>1025</v>
      </c>
      <c r="I1393" s="12" t="s">
        <v>1026</v>
      </c>
    </row>
    <row r="1394" spans="1:9">
      <c r="A1394" s="14">
        <v>10012</v>
      </c>
      <c r="B1394" s="14" t="s">
        <v>146</v>
      </c>
      <c r="C1394" s="12" t="s">
        <v>150</v>
      </c>
      <c r="D1394" s="15" t="str">
        <f t="shared" si="21"/>
        <v>Mittera - F and A - AP - CCS</v>
      </c>
      <c r="E1394" s="12" t="s">
        <v>126</v>
      </c>
      <c r="F1394" s="12" t="s">
        <v>163</v>
      </c>
      <c r="G1394" s="12" t="s">
        <v>164</v>
      </c>
      <c r="H1394" s="12" t="s">
        <v>1025</v>
      </c>
      <c r="I1394" s="12" t="s">
        <v>1026</v>
      </c>
    </row>
    <row r="1395" spans="1:9">
      <c r="A1395" s="14">
        <v>10012</v>
      </c>
      <c r="B1395" s="14" t="s">
        <v>146</v>
      </c>
      <c r="C1395" s="12" t="s">
        <v>306</v>
      </c>
      <c r="D1395" s="15" t="str">
        <f t="shared" si="21"/>
        <v>Mittera - F and A - AP - FAO</v>
      </c>
      <c r="E1395" s="12" t="s">
        <v>126</v>
      </c>
      <c r="F1395" s="12" t="s">
        <v>163</v>
      </c>
      <c r="G1395" s="12" t="s">
        <v>164</v>
      </c>
      <c r="H1395" s="12" t="s">
        <v>1025</v>
      </c>
      <c r="I1395" s="12" t="s">
        <v>1026</v>
      </c>
    </row>
    <row r="1396" spans="1:9">
      <c r="A1396" s="14">
        <v>10012</v>
      </c>
      <c r="B1396" s="14" t="s">
        <v>146</v>
      </c>
      <c r="C1396" s="12" t="s">
        <v>145</v>
      </c>
      <c r="D1396" s="15" t="str">
        <f t="shared" si="21"/>
        <v>Mittera - F and A - AP - SUP</v>
      </c>
      <c r="E1396" s="12" t="s">
        <v>126</v>
      </c>
      <c r="F1396" s="12" t="s">
        <v>163</v>
      </c>
      <c r="G1396" s="12" t="s">
        <v>164</v>
      </c>
      <c r="H1396" s="12" t="s">
        <v>1025</v>
      </c>
      <c r="I1396" s="12" t="s">
        <v>1026</v>
      </c>
    </row>
    <row r="1397" spans="1:9">
      <c r="A1397" s="14">
        <v>10012</v>
      </c>
      <c r="B1397" s="14" t="s">
        <v>146</v>
      </c>
      <c r="C1397" s="12" t="s">
        <v>185</v>
      </c>
      <c r="D1397" s="15" t="str">
        <f t="shared" si="21"/>
        <v>Mittera - F and A - AP - TPS</v>
      </c>
      <c r="E1397" s="12" t="s">
        <v>126</v>
      </c>
      <c r="F1397" s="12" t="s">
        <v>163</v>
      </c>
      <c r="G1397" s="12" t="s">
        <v>164</v>
      </c>
      <c r="H1397" s="12" t="s">
        <v>1025</v>
      </c>
      <c r="I1397" s="12" t="s">
        <v>1026</v>
      </c>
    </row>
    <row r="1398" spans="1:9">
      <c r="A1398" s="14">
        <v>93024</v>
      </c>
      <c r="B1398" s="14" t="s">
        <v>954</v>
      </c>
      <c r="C1398" s="12" t="s">
        <v>129</v>
      </c>
      <c r="D1398" s="15" t="str">
        <f t="shared" si="21"/>
        <v>Mktg Corporate - MGT</v>
      </c>
      <c r="E1398" s="12" t="s">
        <v>104</v>
      </c>
      <c r="F1398" s="12" t="s">
        <v>257</v>
      </c>
      <c r="G1398" s="12" t="s">
        <v>114</v>
      </c>
      <c r="H1398" s="12" t="s">
        <v>1025</v>
      </c>
      <c r="I1398" s="12" t="s">
        <v>1026</v>
      </c>
    </row>
    <row r="1399" spans="1:9">
      <c r="A1399" s="14">
        <v>93024</v>
      </c>
      <c r="B1399" s="14" t="s">
        <v>954</v>
      </c>
      <c r="C1399" s="12" t="s">
        <v>145</v>
      </c>
      <c r="D1399" s="15" t="str">
        <f t="shared" si="21"/>
        <v>Mktg Corporate - SUP</v>
      </c>
      <c r="E1399" s="12" t="s">
        <v>104</v>
      </c>
      <c r="F1399" s="12" t="s">
        <v>257</v>
      </c>
      <c r="G1399" s="12" t="s">
        <v>114</v>
      </c>
      <c r="H1399" s="12" t="s">
        <v>1025</v>
      </c>
      <c r="I1399" s="12" t="s">
        <v>1026</v>
      </c>
    </row>
    <row r="1400" spans="1:9">
      <c r="A1400" s="14">
        <v>93026</v>
      </c>
      <c r="B1400" s="14" t="s">
        <v>955</v>
      </c>
      <c r="C1400" s="12" t="s">
        <v>129</v>
      </c>
      <c r="D1400" s="15" t="str">
        <f t="shared" si="21"/>
        <v>Mktg-Demand Generation - MGT</v>
      </c>
      <c r="E1400" s="12" t="s">
        <v>104</v>
      </c>
      <c r="F1400" s="12" t="s">
        <v>257</v>
      </c>
      <c r="G1400" s="12" t="s">
        <v>114</v>
      </c>
      <c r="H1400" s="12" t="s">
        <v>1025</v>
      </c>
      <c r="I1400" s="12" t="s">
        <v>1026</v>
      </c>
    </row>
    <row r="1401" spans="1:9">
      <c r="A1401" s="14">
        <v>93026</v>
      </c>
      <c r="B1401" s="14" t="s">
        <v>955</v>
      </c>
      <c r="C1401" s="12" t="s">
        <v>145</v>
      </c>
      <c r="D1401" s="15" t="str">
        <f t="shared" si="21"/>
        <v>Mktg-Demand Generation - SUP</v>
      </c>
      <c r="E1401" s="12" t="s">
        <v>104</v>
      </c>
      <c r="F1401" s="12" t="s">
        <v>257</v>
      </c>
      <c r="G1401" s="12" t="s">
        <v>114</v>
      </c>
      <c r="H1401" s="12" t="s">
        <v>1025</v>
      </c>
      <c r="I1401" s="12" t="s">
        <v>1026</v>
      </c>
    </row>
    <row r="1402" spans="1:9">
      <c r="A1402" s="14">
        <v>88034</v>
      </c>
      <c r="B1402" s="14" t="s">
        <v>911</v>
      </c>
      <c r="C1402" s="12" t="s">
        <v>156</v>
      </c>
      <c r="D1402" s="15" t="str">
        <f t="shared" si="21"/>
        <v>Mortgage (E2E) - CLR</v>
      </c>
      <c r="E1402" s="12" t="s">
        <v>126</v>
      </c>
      <c r="F1402" s="12" t="s">
        <v>163</v>
      </c>
      <c r="G1402" s="12" t="s">
        <v>164</v>
      </c>
      <c r="H1402" s="12" t="s">
        <v>1025</v>
      </c>
      <c r="I1402" s="12" t="s">
        <v>1026</v>
      </c>
    </row>
    <row r="1403" spans="1:9">
      <c r="A1403" s="14">
        <v>88034</v>
      </c>
      <c r="B1403" s="14" t="s">
        <v>911</v>
      </c>
      <c r="C1403" s="12" t="s">
        <v>177</v>
      </c>
      <c r="D1403" s="15" t="str">
        <f t="shared" si="21"/>
        <v>Mortgage (E2E) - OPS</v>
      </c>
      <c r="E1403" s="12" t="s">
        <v>126</v>
      </c>
      <c r="F1403" s="12" t="s">
        <v>163</v>
      </c>
      <c r="G1403" s="12" t="s">
        <v>164</v>
      </c>
      <c r="H1403" s="12" t="s">
        <v>1025</v>
      </c>
      <c r="I1403" s="12" t="s">
        <v>1026</v>
      </c>
    </row>
    <row r="1404" spans="1:9">
      <c r="A1404" s="14">
        <v>88034</v>
      </c>
      <c r="B1404" s="14" t="s">
        <v>911</v>
      </c>
      <c r="C1404" s="12" t="s">
        <v>116</v>
      </c>
      <c r="D1404" s="15" t="str">
        <f t="shared" si="21"/>
        <v>Mortgage (E2E) - PRD</v>
      </c>
      <c r="E1404" s="12" t="s">
        <v>126</v>
      </c>
      <c r="F1404" s="12" t="s">
        <v>163</v>
      </c>
      <c r="G1404" s="12" t="s">
        <v>164</v>
      </c>
      <c r="H1404" s="12" t="s">
        <v>1025</v>
      </c>
      <c r="I1404" s="12" t="s">
        <v>1026</v>
      </c>
    </row>
    <row r="1405" spans="1:9">
      <c r="A1405" s="14">
        <v>88034</v>
      </c>
      <c r="B1405" s="14" t="s">
        <v>911</v>
      </c>
      <c r="C1405" s="12" t="s">
        <v>230</v>
      </c>
      <c r="D1405" s="15" t="str">
        <f t="shared" si="21"/>
        <v>Mortgage (E2E) - PRSP</v>
      </c>
      <c r="E1405" s="12" t="s">
        <v>126</v>
      </c>
      <c r="F1405" s="12" t="s">
        <v>163</v>
      </c>
      <c r="G1405" s="12" t="s">
        <v>164</v>
      </c>
      <c r="H1405" s="12" t="s">
        <v>1025</v>
      </c>
      <c r="I1405" s="12" t="s">
        <v>1026</v>
      </c>
    </row>
    <row r="1406" spans="1:9">
      <c r="A1406" s="14">
        <v>88034</v>
      </c>
      <c r="B1406" s="14" t="s">
        <v>911</v>
      </c>
      <c r="C1406" s="12" t="s">
        <v>1014</v>
      </c>
      <c r="D1406" s="15" t="str">
        <f t="shared" si="21"/>
        <v>Mortgage (E2E) - SMSI-A</v>
      </c>
      <c r="E1406" s="12" t="s">
        <v>126</v>
      </c>
      <c r="F1406" s="12" t="s">
        <v>163</v>
      </c>
      <c r="G1406" s="12" t="s">
        <v>164</v>
      </c>
      <c r="H1406" s="12" t="s">
        <v>1025</v>
      </c>
      <c r="I1406" s="12" t="s">
        <v>1026</v>
      </c>
    </row>
    <row r="1407" spans="1:9">
      <c r="A1407" s="14">
        <v>88034</v>
      </c>
      <c r="B1407" s="14" t="s">
        <v>911</v>
      </c>
      <c r="C1407" s="12" t="s">
        <v>1015</v>
      </c>
      <c r="D1407" s="15" t="str">
        <f t="shared" si="21"/>
        <v>Mortgage (E2E) - SMSI-B</v>
      </c>
      <c r="E1407" s="12" t="s">
        <v>126</v>
      </c>
      <c r="F1407" s="12" t="s">
        <v>163</v>
      </c>
      <c r="G1407" s="12" t="s">
        <v>164</v>
      </c>
      <c r="H1407" s="12" t="s">
        <v>1025</v>
      </c>
      <c r="I1407" s="12" t="s">
        <v>1026</v>
      </c>
    </row>
    <row r="1408" spans="1:9">
      <c r="A1408" s="14">
        <v>88034</v>
      </c>
      <c r="B1408" s="14" t="s">
        <v>911</v>
      </c>
      <c r="C1408" s="12" t="s">
        <v>1016</v>
      </c>
      <c r="D1408" s="15" t="str">
        <f t="shared" si="21"/>
        <v>Mortgage (E2E) - SMSI-C</v>
      </c>
      <c r="E1408" s="12" t="s">
        <v>126</v>
      </c>
      <c r="F1408" s="12" t="s">
        <v>163</v>
      </c>
      <c r="G1408" s="12" t="s">
        <v>164</v>
      </c>
      <c r="H1408" s="12" t="s">
        <v>1025</v>
      </c>
      <c r="I1408" s="12" t="s">
        <v>1026</v>
      </c>
    </row>
    <row r="1409" spans="1:9">
      <c r="A1409" s="14">
        <v>88034</v>
      </c>
      <c r="B1409" s="14" t="s">
        <v>911</v>
      </c>
      <c r="C1409" s="12" t="s">
        <v>1017</v>
      </c>
      <c r="D1409" s="15" t="str">
        <f t="shared" si="21"/>
        <v>Mortgage (E2E) - SMSI-D</v>
      </c>
      <c r="E1409" s="12" t="s">
        <v>126</v>
      </c>
      <c r="F1409" s="12" t="s">
        <v>163</v>
      </c>
      <c r="G1409" s="12" t="s">
        <v>164</v>
      </c>
      <c r="H1409" s="12" t="s">
        <v>1025</v>
      </c>
      <c r="I1409" s="12" t="s">
        <v>1026</v>
      </c>
    </row>
    <row r="1410" spans="1:9">
      <c r="A1410" s="14">
        <v>88034</v>
      </c>
      <c r="B1410" s="14" t="s">
        <v>911</v>
      </c>
      <c r="C1410" s="12" t="s">
        <v>1018</v>
      </c>
      <c r="D1410" s="15" t="str">
        <f t="shared" ref="D1410:D1473" si="22">B1410&amp;" - "&amp;C1410</f>
        <v>Mortgage (E2E) - SMSI-E</v>
      </c>
      <c r="E1410" s="12" t="s">
        <v>126</v>
      </c>
      <c r="F1410" s="12" t="s">
        <v>163</v>
      </c>
      <c r="G1410" s="12" t="s">
        <v>164</v>
      </c>
      <c r="H1410" s="12" t="s">
        <v>1025</v>
      </c>
      <c r="I1410" s="12" t="s">
        <v>1026</v>
      </c>
    </row>
    <row r="1411" spans="1:9">
      <c r="A1411" s="14">
        <v>88034</v>
      </c>
      <c r="B1411" s="14" t="s">
        <v>911</v>
      </c>
      <c r="C1411" s="12" t="s">
        <v>145</v>
      </c>
      <c r="D1411" s="15" t="str">
        <f t="shared" si="22"/>
        <v>Mortgage (E2E) - SUP</v>
      </c>
      <c r="E1411" s="12" t="s">
        <v>126</v>
      </c>
      <c r="F1411" s="12" t="s">
        <v>163</v>
      </c>
      <c r="G1411" s="12" t="s">
        <v>164</v>
      </c>
      <c r="H1411" s="12" t="s">
        <v>1025</v>
      </c>
      <c r="I1411" s="12" t="s">
        <v>1026</v>
      </c>
    </row>
    <row r="1412" spans="1:9">
      <c r="A1412" s="14">
        <v>88034</v>
      </c>
      <c r="B1412" s="14" t="s">
        <v>911</v>
      </c>
      <c r="C1412" s="12" t="s">
        <v>180</v>
      </c>
      <c r="D1412" s="15" t="str">
        <f t="shared" si="22"/>
        <v>Mortgage (E2E) - TMG</v>
      </c>
      <c r="E1412" s="12" t="s">
        <v>126</v>
      </c>
      <c r="F1412" s="12" t="s">
        <v>163</v>
      </c>
      <c r="G1412" s="12" t="s">
        <v>164</v>
      </c>
      <c r="H1412" s="12" t="s">
        <v>1025</v>
      </c>
      <c r="I1412" s="12" t="s">
        <v>1026</v>
      </c>
    </row>
    <row r="1413" spans="1:9">
      <c r="A1413" s="14">
        <v>88034</v>
      </c>
      <c r="B1413" s="14" t="s">
        <v>911</v>
      </c>
      <c r="C1413" s="12" t="s">
        <v>185</v>
      </c>
      <c r="D1413" s="15" t="str">
        <f t="shared" si="22"/>
        <v>Mortgage (E2E) - TPS</v>
      </c>
      <c r="E1413" s="12" t="s">
        <v>126</v>
      </c>
      <c r="F1413" s="12" t="s">
        <v>163</v>
      </c>
      <c r="G1413" s="12" t="s">
        <v>164</v>
      </c>
      <c r="H1413" s="12" t="s">
        <v>1025</v>
      </c>
      <c r="I1413" s="12" t="s">
        <v>1026</v>
      </c>
    </row>
    <row r="1414" spans="1:9">
      <c r="A1414" s="14">
        <v>10780</v>
      </c>
      <c r="B1414" s="14" t="s">
        <v>379</v>
      </c>
      <c r="C1414" s="12" t="s">
        <v>145</v>
      </c>
      <c r="D1414" s="15" t="str">
        <f t="shared" si="22"/>
        <v>Mosaic Robility-IND - SUP</v>
      </c>
      <c r="E1414" s="12" t="s">
        <v>104</v>
      </c>
      <c r="F1414" s="12" t="s">
        <v>117</v>
      </c>
      <c r="G1414" s="12" t="s">
        <v>117</v>
      </c>
      <c r="H1414" s="12" t="s">
        <v>1025</v>
      </c>
      <c r="I1414" s="12" t="s">
        <v>1026</v>
      </c>
    </row>
    <row r="1415" spans="1:9">
      <c r="A1415" s="14">
        <v>12108</v>
      </c>
      <c r="B1415" s="14" t="s">
        <v>516</v>
      </c>
      <c r="C1415" s="12" t="s">
        <v>177</v>
      </c>
      <c r="D1415" s="15" t="str">
        <f t="shared" si="22"/>
        <v>Mt.Sinai Sch of Nursing-AR - OPS</v>
      </c>
      <c r="E1415" s="12" t="s">
        <v>126</v>
      </c>
      <c r="F1415" s="12" t="s">
        <v>163</v>
      </c>
      <c r="G1415" s="12" t="s">
        <v>164</v>
      </c>
      <c r="H1415" s="12" t="s">
        <v>1025</v>
      </c>
      <c r="I1415" s="12" t="s">
        <v>1026</v>
      </c>
    </row>
    <row r="1416" spans="1:9">
      <c r="A1416" s="14">
        <v>12108</v>
      </c>
      <c r="B1416" s="14" t="s">
        <v>516</v>
      </c>
      <c r="C1416" s="12" t="s">
        <v>116</v>
      </c>
      <c r="D1416" s="15" t="str">
        <f t="shared" si="22"/>
        <v>Mt.Sinai Sch of Nursing-AR - PRD</v>
      </c>
      <c r="E1416" s="12" t="s">
        <v>126</v>
      </c>
      <c r="F1416" s="12" t="s">
        <v>163</v>
      </c>
      <c r="G1416" s="12" t="s">
        <v>164</v>
      </c>
      <c r="H1416" s="12" t="s">
        <v>1025</v>
      </c>
      <c r="I1416" s="12" t="s">
        <v>1026</v>
      </c>
    </row>
    <row r="1417" spans="1:9">
      <c r="A1417" s="14">
        <v>12108</v>
      </c>
      <c r="B1417" s="14" t="s">
        <v>516</v>
      </c>
      <c r="C1417" s="12" t="s">
        <v>332</v>
      </c>
      <c r="D1417" s="15" t="str">
        <f t="shared" si="22"/>
        <v>Mt.Sinai Sch of Nursing-AR - RCF</v>
      </c>
      <c r="E1417" s="12" t="s">
        <v>126</v>
      </c>
      <c r="F1417" s="12" t="s">
        <v>163</v>
      </c>
      <c r="G1417" s="12" t="s">
        <v>164</v>
      </c>
      <c r="H1417" s="12" t="s">
        <v>1025</v>
      </c>
      <c r="I1417" s="12" t="s">
        <v>1026</v>
      </c>
    </row>
    <row r="1418" spans="1:9">
      <c r="A1418" s="14">
        <v>12108</v>
      </c>
      <c r="B1418" s="14" t="s">
        <v>516</v>
      </c>
      <c r="C1418" s="12" t="s">
        <v>185</v>
      </c>
      <c r="D1418" s="15" t="str">
        <f t="shared" si="22"/>
        <v>Mt.Sinai Sch of Nursing-AR - TPS</v>
      </c>
      <c r="E1418" s="12" t="s">
        <v>126</v>
      </c>
      <c r="F1418" s="12" t="s">
        <v>163</v>
      </c>
      <c r="G1418" s="12" t="s">
        <v>164</v>
      </c>
      <c r="H1418" s="12" t="s">
        <v>1025</v>
      </c>
      <c r="I1418" s="12" t="s">
        <v>1026</v>
      </c>
    </row>
    <row r="1419" spans="1:9">
      <c r="A1419" s="14">
        <v>12116</v>
      </c>
      <c r="B1419" s="14" t="s">
        <v>519</v>
      </c>
      <c r="C1419" s="12" t="s">
        <v>133</v>
      </c>
      <c r="D1419" s="15" t="str">
        <f t="shared" si="22"/>
        <v>MultiPlan - AMG</v>
      </c>
      <c r="E1419" s="12" t="s">
        <v>126</v>
      </c>
      <c r="F1419" s="12" t="s">
        <v>163</v>
      </c>
      <c r="G1419" s="12" t="s">
        <v>164</v>
      </c>
      <c r="H1419" s="12" t="s">
        <v>1025</v>
      </c>
      <c r="I1419" s="12" t="s">
        <v>1026</v>
      </c>
    </row>
    <row r="1420" spans="1:9">
      <c r="A1420" s="14">
        <v>12116</v>
      </c>
      <c r="B1420" s="14" t="s">
        <v>519</v>
      </c>
      <c r="C1420" s="12" t="s">
        <v>116</v>
      </c>
      <c r="D1420" s="15" t="str">
        <f t="shared" si="22"/>
        <v>MultiPlan - PRD</v>
      </c>
      <c r="E1420" s="12" t="s">
        <v>126</v>
      </c>
      <c r="F1420" s="12" t="s">
        <v>163</v>
      </c>
      <c r="G1420" s="12" t="s">
        <v>164</v>
      </c>
      <c r="H1420" s="12" t="s">
        <v>1025</v>
      </c>
      <c r="I1420" s="12" t="s">
        <v>1026</v>
      </c>
    </row>
    <row r="1421" spans="1:9">
      <c r="A1421" s="14">
        <v>12116</v>
      </c>
      <c r="B1421" s="14" t="s">
        <v>519</v>
      </c>
      <c r="C1421" s="12" t="s">
        <v>111</v>
      </c>
      <c r="D1421" s="15" t="str">
        <f t="shared" si="22"/>
        <v>MultiPlan - QLY</v>
      </c>
      <c r="E1421" s="12" t="s">
        <v>112</v>
      </c>
      <c r="F1421" s="12" t="s">
        <v>113</v>
      </c>
      <c r="G1421" s="12" t="s">
        <v>114</v>
      </c>
      <c r="H1421" s="12" t="s">
        <v>1025</v>
      </c>
      <c r="I1421" s="12" t="s">
        <v>1026</v>
      </c>
    </row>
    <row r="1422" spans="1:9">
      <c r="A1422" s="14">
        <v>12116</v>
      </c>
      <c r="B1422" s="14" t="s">
        <v>519</v>
      </c>
      <c r="C1422" s="12" t="s">
        <v>172</v>
      </c>
      <c r="D1422" s="15" t="str">
        <f t="shared" si="22"/>
        <v>MultiPlan - SME</v>
      </c>
      <c r="E1422" s="12" t="s">
        <v>126</v>
      </c>
      <c r="F1422" s="12" t="s">
        <v>163</v>
      </c>
      <c r="G1422" s="12" t="s">
        <v>164</v>
      </c>
      <c r="H1422" s="12" t="s">
        <v>1025</v>
      </c>
      <c r="I1422" s="12" t="s">
        <v>1026</v>
      </c>
    </row>
    <row r="1423" spans="1:9">
      <c r="A1423" s="14">
        <v>12116</v>
      </c>
      <c r="B1423" s="14" t="s">
        <v>519</v>
      </c>
      <c r="C1423" s="12" t="s">
        <v>180</v>
      </c>
      <c r="D1423" s="15" t="str">
        <f t="shared" si="22"/>
        <v>MultiPlan - TMG</v>
      </c>
      <c r="E1423" s="12" t="s">
        <v>126</v>
      </c>
      <c r="F1423" s="12" t="s">
        <v>163</v>
      </c>
      <c r="G1423" s="12" t="s">
        <v>164</v>
      </c>
      <c r="H1423" s="12" t="s">
        <v>1025</v>
      </c>
      <c r="I1423" s="12" t="s">
        <v>1026</v>
      </c>
    </row>
    <row r="1424" spans="1:9">
      <c r="A1424" s="14">
        <v>12116</v>
      </c>
      <c r="B1424" s="14" t="s">
        <v>519</v>
      </c>
      <c r="C1424" s="12" t="s">
        <v>185</v>
      </c>
      <c r="D1424" s="15" t="str">
        <f t="shared" si="22"/>
        <v>MultiPlan - TPS</v>
      </c>
      <c r="E1424" s="12" t="s">
        <v>126</v>
      </c>
      <c r="F1424" s="12" t="s">
        <v>163</v>
      </c>
      <c r="G1424" s="12" t="s">
        <v>164</v>
      </c>
      <c r="H1424" s="12" t="s">
        <v>1025</v>
      </c>
      <c r="I1424" s="12" t="s">
        <v>1026</v>
      </c>
    </row>
    <row r="1425" spans="1:9">
      <c r="A1425" s="14">
        <v>10107</v>
      </c>
      <c r="B1425" s="14" t="s">
        <v>220</v>
      </c>
      <c r="C1425" s="12" t="s">
        <v>185</v>
      </c>
      <c r="D1425" s="15" t="str">
        <f t="shared" si="22"/>
        <v>Navigatr Travel Fulfillment - TPS</v>
      </c>
      <c r="E1425" s="12" t="s">
        <v>126</v>
      </c>
      <c r="F1425" s="12" t="s">
        <v>163</v>
      </c>
      <c r="G1425" s="12" t="s">
        <v>164</v>
      </c>
      <c r="H1425" s="12" t="s">
        <v>1025</v>
      </c>
      <c r="I1425" s="12" t="s">
        <v>1026</v>
      </c>
    </row>
    <row r="1426" spans="1:9">
      <c r="A1426" s="14">
        <v>12529</v>
      </c>
      <c r="B1426" s="14" t="s">
        <v>580</v>
      </c>
      <c r="C1426" s="12"/>
      <c r="D1426" s="15" t="str">
        <f t="shared" si="22"/>
        <v xml:space="preserve">NCSBN  Offshore (ORBS) - </v>
      </c>
      <c r="E1426" s="12" t="s">
        <v>117</v>
      </c>
      <c r="F1426" s="12" t="s">
        <v>117</v>
      </c>
      <c r="G1426" s="12" t="s">
        <v>117</v>
      </c>
      <c r="H1426" s="12" t="s">
        <v>1025</v>
      </c>
      <c r="I1426" s="12" t="s">
        <v>1026</v>
      </c>
    </row>
    <row r="1427" spans="1:9">
      <c r="A1427" s="14">
        <v>10660</v>
      </c>
      <c r="B1427" s="14" t="s">
        <v>295</v>
      </c>
      <c r="C1427" s="12" t="s">
        <v>198</v>
      </c>
      <c r="D1427" s="15" t="str">
        <f t="shared" si="22"/>
        <v>NetApp -BLR- SolidFire - TEC</v>
      </c>
      <c r="E1427" s="12" t="s">
        <v>126</v>
      </c>
      <c r="F1427" s="12" t="s">
        <v>360</v>
      </c>
      <c r="G1427" s="12" t="s">
        <v>361</v>
      </c>
      <c r="H1427" s="12" t="s">
        <v>1025</v>
      </c>
      <c r="I1427" s="12" t="s">
        <v>1026</v>
      </c>
    </row>
    <row r="1428" spans="1:9">
      <c r="A1428" s="14">
        <v>10513</v>
      </c>
      <c r="B1428" s="14" t="s">
        <v>266</v>
      </c>
      <c r="C1428" s="12" t="s">
        <v>133</v>
      </c>
      <c r="D1428" s="15" t="str">
        <f t="shared" si="22"/>
        <v>NetApp_HARDWARE_Bangalore - AMG</v>
      </c>
      <c r="E1428" s="12" t="s">
        <v>126</v>
      </c>
      <c r="F1428" s="12" t="s">
        <v>360</v>
      </c>
      <c r="G1428" s="12" t="s">
        <v>361</v>
      </c>
      <c r="H1428" s="12" t="s">
        <v>1025</v>
      </c>
      <c r="I1428" s="12" t="s">
        <v>1026</v>
      </c>
    </row>
    <row r="1429" spans="1:9">
      <c r="A1429" s="14">
        <v>10513</v>
      </c>
      <c r="B1429" s="14" t="s">
        <v>266</v>
      </c>
      <c r="C1429" s="12" t="s">
        <v>172</v>
      </c>
      <c r="D1429" s="15" t="str">
        <f t="shared" si="22"/>
        <v>NetApp_HARDWARE_Bangalore - SME</v>
      </c>
      <c r="E1429" s="12" t="s">
        <v>126</v>
      </c>
      <c r="F1429" s="12" t="s">
        <v>360</v>
      </c>
      <c r="G1429" s="12" t="s">
        <v>361</v>
      </c>
      <c r="H1429" s="12" t="s">
        <v>1025</v>
      </c>
      <c r="I1429" s="12" t="s">
        <v>1026</v>
      </c>
    </row>
    <row r="1430" spans="1:9">
      <c r="A1430" s="14">
        <v>10513</v>
      </c>
      <c r="B1430" s="14" t="s">
        <v>266</v>
      </c>
      <c r="C1430" s="12" t="s">
        <v>145</v>
      </c>
      <c r="D1430" s="15" t="str">
        <f t="shared" si="22"/>
        <v>NetApp_HARDWARE_Bangalore - SUP</v>
      </c>
      <c r="E1430" s="12" t="s">
        <v>126</v>
      </c>
      <c r="F1430" s="12" t="s">
        <v>360</v>
      </c>
      <c r="G1430" s="12" t="s">
        <v>361</v>
      </c>
      <c r="H1430" s="12" t="s">
        <v>1025</v>
      </c>
      <c r="I1430" s="12" t="s">
        <v>1026</v>
      </c>
    </row>
    <row r="1431" spans="1:9">
      <c r="A1431" s="14">
        <v>10513</v>
      </c>
      <c r="B1431" s="14" t="s">
        <v>266</v>
      </c>
      <c r="C1431" s="12" t="s">
        <v>198</v>
      </c>
      <c r="D1431" s="15" t="str">
        <f t="shared" si="22"/>
        <v>NetApp_HARDWARE_Bangalore - TEC</v>
      </c>
      <c r="E1431" s="12" t="s">
        <v>126</v>
      </c>
      <c r="F1431" s="12" t="s">
        <v>360</v>
      </c>
      <c r="G1431" s="12" t="s">
        <v>361</v>
      </c>
      <c r="H1431" s="12" t="s">
        <v>1025</v>
      </c>
      <c r="I1431" s="12" t="s">
        <v>1026</v>
      </c>
    </row>
    <row r="1432" spans="1:9">
      <c r="A1432" s="14">
        <v>10513</v>
      </c>
      <c r="B1432" s="14" t="s">
        <v>266</v>
      </c>
      <c r="C1432" s="12" t="s">
        <v>180</v>
      </c>
      <c r="D1432" s="15" t="str">
        <f t="shared" si="22"/>
        <v>NetApp_HARDWARE_Bangalore - TMG</v>
      </c>
      <c r="E1432" s="12" t="s">
        <v>126</v>
      </c>
      <c r="F1432" s="12" t="s">
        <v>360</v>
      </c>
      <c r="G1432" s="12" t="s">
        <v>361</v>
      </c>
      <c r="H1432" s="12" t="s">
        <v>1025</v>
      </c>
      <c r="I1432" s="12" t="s">
        <v>1026</v>
      </c>
    </row>
    <row r="1433" spans="1:9">
      <c r="A1433" s="14">
        <v>10513</v>
      </c>
      <c r="B1433" s="14" t="s">
        <v>266</v>
      </c>
      <c r="C1433" s="12" t="s">
        <v>185</v>
      </c>
      <c r="D1433" s="15" t="str">
        <f t="shared" si="22"/>
        <v>NetApp_HARDWARE_Bangalore - TPS</v>
      </c>
      <c r="E1433" s="12" t="s">
        <v>126</v>
      </c>
      <c r="F1433" s="12" t="s">
        <v>360</v>
      </c>
      <c r="G1433" s="12" t="s">
        <v>361</v>
      </c>
      <c r="H1433" s="12" t="s">
        <v>1025</v>
      </c>
      <c r="I1433" s="12" t="s">
        <v>1026</v>
      </c>
    </row>
    <row r="1434" spans="1:9">
      <c r="A1434" s="14">
        <v>10498</v>
      </c>
      <c r="B1434" s="14" t="s">
        <v>251</v>
      </c>
      <c r="C1434" s="12" t="s">
        <v>133</v>
      </c>
      <c r="D1434" s="15" t="str">
        <f t="shared" si="22"/>
        <v>Netflix APAC - AMG</v>
      </c>
      <c r="E1434" s="12" t="s">
        <v>126</v>
      </c>
      <c r="F1434" s="12" t="s">
        <v>127</v>
      </c>
      <c r="G1434" s="12" t="s">
        <v>128</v>
      </c>
      <c r="H1434" s="12" t="s">
        <v>1025</v>
      </c>
      <c r="I1434" s="12" t="s">
        <v>1026</v>
      </c>
    </row>
    <row r="1435" spans="1:9">
      <c r="A1435" s="14">
        <v>10498</v>
      </c>
      <c r="B1435" s="14" t="s">
        <v>251</v>
      </c>
      <c r="C1435" s="12" t="s">
        <v>150</v>
      </c>
      <c r="D1435" s="15" t="str">
        <f t="shared" si="22"/>
        <v>Netflix APAC - CCS</v>
      </c>
      <c r="E1435" s="12" t="s">
        <v>126</v>
      </c>
      <c r="F1435" s="12" t="s">
        <v>127</v>
      </c>
      <c r="G1435" s="12" t="s">
        <v>128</v>
      </c>
      <c r="H1435" s="12" t="s">
        <v>1025</v>
      </c>
      <c r="I1435" s="12" t="s">
        <v>1026</v>
      </c>
    </row>
    <row r="1436" spans="1:9">
      <c r="A1436" s="14">
        <v>10498</v>
      </c>
      <c r="B1436" s="14" t="s">
        <v>251</v>
      </c>
      <c r="C1436" s="12" t="s">
        <v>161</v>
      </c>
      <c r="D1436" s="15" t="str">
        <f t="shared" si="22"/>
        <v>Netflix APAC - ECC</v>
      </c>
      <c r="E1436" s="12" t="s">
        <v>126</v>
      </c>
      <c r="F1436" s="12" t="s">
        <v>127</v>
      </c>
      <c r="G1436" s="12" t="s">
        <v>128</v>
      </c>
      <c r="H1436" s="12" t="s">
        <v>1025</v>
      </c>
      <c r="I1436" s="12" t="s">
        <v>1026</v>
      </c>
    </row>
    <row r="1437" spans="1:9">
      <c r="A1437" s="14">
        <v>10498</v>
      </c>
      <c r="B1437" s="14" t="s">
        <v>251</v>
      </c>
      <c r="C1437" s="12" t="s">
        <v>171</v>
      </c>
      <c r="D1437" s="15" t="str">
        <f t="shared" si="22"/>
        <v>Netflix APAC - ETE</v>
      </c>
      <c r="E1437" s="12" t="s">
        <v>126</v>
      </c>
      <c r="F1437" s="12" t="s">
        <v>127</v>
      </c>
      <c r="G1437" s="12" t="s">
        <v>128</v>
      </c>
      <c r="H1437" s="12" t="s">
        <v>1025</v>
      </c>
      <c r="I1437" s="12" t="s">
        <v>1026</v>
      </c>
    </row>
    <row r="1438" spans="1:9">
      <c r="A1438" s="14">
        <v>10498</v>
      </c>
      <c r="B1438" s="14" t="s">
        <v>251</v>
      </c>
      <c r="C1438" s="12" t="s">
        <v>129</v>
      </c>
      <c r="D1438" s="15" t="str">
        <f t="shared" si="22"/>
        <v>Netflix APAC - MGT</v>
      </c>
      <c r="E1438" s="12" t="s">
        <v>126</v>
      </c>
      <c r="F1438" s="12" t="s">
        <v>127</v>
      </c>
      <c r="G1438" s="12" t="s">
        <v>128</v>
      </c>
      <c r="H1438" s="12" t="s">
        <v>1025</v>
      </c>
      <c r="I1438" s="12" t="s">
        <v>1026</v>
      </c>
    </row>
    <row r="1439" spans="1:9">
      <c r="A1439" s="14">
        <v>10498</v>
      </c>
      <c r="B1439" s="14" t="s">
        <v>251</v>
      </c>
      <c r="C1439" s="12" t="s">
        <v>177</v>
      </c>
      <c r="D1439" s="15" t="str">
        <f t="shared" si="22"/>
        <v>Netflix APAC - OPS</v>
      </c>
      <c r="E1439" s="12" t="s">
        <v>112</v>
      </c>
      <c r="F1439" s="12" t="s">
        <v>204</v>
      </c>
      <c r="G1439" s="12" t="s">
        <v>205</v>
      </c>
      <c r="H1439" s="12" t="s">
        <v>1025</v>
      </c>
      <c r="I1439" s="12" t="s">
        <v>1026</v>
      </c>
    </row>
    <row r="1440" spans="1:9">
      <c r="A1440" s="14">
        <v>10498</v>
      </c>
      <c r="B1440" s="14" t="s">
        <v>251</v>
      </c>
      <c r="C1440" s="12" t="s">
        <v>116</v>
      </c>
      <c r="D1440" s="15" t="str">
        <f t="shared" si="22"/>
        <v>Netflix APAC - PRD</v>
      </c>
      <c r="E1440" s="12" t="s">
        <v>126</v>
      </c>
      <c r="F1440" s="12" t="s">
        <v>127</v>
      </c>
      <c r="G1440" s="12" t="s">
        <v>128</v>
      </c>
      <c r="H1440" s="12" t="s">
        <v>1025</v>
      </c>
      <c r="I1440" s="12" t="s">
        <v>1026</v>
      </c>
    </row>
    <row r="1441" spans="1:9">
      <c r="A1441" s="14">
        <v>10498</v>
      </c>
      <c r="B1441" s="14" t="s">
        <v>251</v>
      </c>
      <c r="C1441" s="12" t="s">
        <v>111</v>
      </c>
      <c r="D1441" s="15" t="str">
        <f t="shared" si="22"/>
        <v>Netflix APAC - QLY</v>
      </c>
      <c r="E1441" s="12" t="s">
        <v>112</v>
      </c>
      <c r="F1441" s="12" t="s">
        <v>113</v>
      </c>
      <c r="G1441" s="12" t="s">
        <v>114</v>
      </c>
      <c r="H1441" s="12" t="s">
        <v>1025</v>
      </c>
      <c r="I1441" s="12" t="s">
        <v>1026</v>
      </c>
    </row>
    <row r="1442" spans="1:9">
      <c r="A1442" s="14">
        <v>10498</v>
      </c>
      <c r="B1442" s="14" t="s">
        <v>251</v>
      </c>
      <c r="C1442" s="12" t="s">
        <v>172</v>
      </c>
      <c r="D1442" s="15" t="str">
        <f t="shared" si="22"/>
        <v>Netflix APAC - SME</v>
      </c>
      <c r="E1442" s="12" t="s">
        <v>126</v>
      </c>
      <c r="F1442" s="12" t="s">
        <v>127</v>
      </c>
      <c r="G1442" s="12" t="s">
        <v>128</v>
      </c>
      <c r="H1442" s="12" t="s">
        <v>1025</v>
      </c>
      <c r="I1442" s="12" t="s">
        <v>1026</v>
      </c>
    </row>
    <row r="1443" spans="1:9">
      <c r="A1443" s="14">
        <v>10498</v>
      </c>
      <c r="B1443" s="14" t="s">
        <v>251</v>
      </c>
      <c r="C1443" s="12" t="s">
        <v>145</v>
      </c>
      <c r="D1443" s="15" t="str">
        <f t="shared" si="22"/>
        <v>Netflix APAC - SUP</v>
      </c>
      <c r="E1443" s="12" t="s">
        <v>126</v>
      </c>
      <c r="F1443" s="12" t="s">
        <v>127</v>
      </c>
      <c r="G1443" s="12" t="s">
        <v>128</v>
      </c>
      <c r="H1443" s="12" t="s">
        <v>1025</v>
      </c>
      <c r="I1443" s="12" t="s">
        <v>1026</v>
      </c>
    </row>
    <row r="1444" spans="1:9">
      <c r="A1444" s="14">
        <v>10498</v>
      </c>
      <c r="B1444" s="14" t="s">
        <v>251</v>
      </c>
      <c r="C1444" s="12" t="s">
        <v>198</v>
      </c>
      <c r="D1444" s="15" t="str">
        <f t="shared" si="22"/>
        <v>Netflix APAC - TEC</v>
      </c>
      <c r="E1444" s="12" t="s">
        <v>126</v>
      </c>
      <c r="F1444" s="12" t="s">
        <v>127</v>
      </c>
      <c r="G1444" s="12" t="s">
        <v>128</v>
      </c>
      <c r="H1444" s="12" t="s">
        <v>1025</v>
      </c>
      <c r="I1444" s="12" t="s">
        <v>1026</v>
      </c>
    </row>
    <row r="1445" spans="1:9">
      <c r="A1445" s="14">
        <v>10498</v>
      </c>
      <c r="B1445" s="14" t="s">
        <v>251</v>
      </c>
      <c r="C1445" s="12" t="s">
        <v>539</v>
      </c>
      <c r="D1445" s="15" t="str">
        <f t="shared" si="22"/>
        <v>Netflix APAC - TEC II</v>
      </c>
      <c r="E1445" s="12" t="s">
        <v>126</v>
      </c>
      <c r="F1445" s="12" t="s">
        <v>127</v>
      </c>
      <c r="G1445" s="12" t="s">
        <v>128</v>
      </c>
      <c r="H1445" s="12" t="s">
        <v>1025</v>
      </c>
      <c r="I1445" s="12" t="s">
        <v>1026</v>
      </c>
    </row>
    <row r="1446" spans="1:9">
      <c r="A1446" s="14">
        <v>10498</v>
      </c>
      <c r="B1446" s="14" t="s">
        <v>251</v>
      </c>
      <c r="C1446" s="12" t="s">
        <v>180</v>
      </c>
      <c r="D1446" s="15" t="str">
        <f t="shared" si="22"/>
        <v>Netflix APAC - TMG</v>
      </c>
      <c r="E1446" s="12" t="s">
        <v>126</v>
      </c>
      <c r="F1446" s="12" t="s">
        <v>127</v>
      </c>
      <c r="G1446" s="12" t="s">
        <v>128</v>
      </c>
      <c r="H1446" s="12" t="s">
        <v>1025</v>
      </c>
      <c r="I1446" s="12" t="s">
        <v>1026</v>
      </c>
    </row>
    <row r="1447" spans="1:9">
      <c r="A1447" s="14">
        <v>10498</v>
      </c>
      <c r="B1447" s="14" t="s">
        <v>251</v>
      </c>
      <c r="C1447" s="12" t="s">
        <v>185</v>
      </c>
      <c r="D1447" s="15" t="str">
        <f t="shared" si="22"/>
        <v>Netflix APAC - TPS</v>
      </c>
      <c r="E1447" s="12" t="s">
        <v>126</v>
      </c>
      <c r="F1447" s="12" t="s">
        <v>127</v>
      </c>
      <c r="G1447" s="12" t="s">
        <v>128</v>
      </c>
      <c r="H1447" s="12" t="s">
        <v>1025</v>
      </c>
      <c r="I1447" s="12" t="s">
        <v>1026</v>
      </c>
    </row>
    <row r="1448" spans="1:9">
      <c r="A1448" s="14">
        <v>10498</v>
      </c>
      <c r="B1448" s="14" t="s">
        <v>251</v>
      </c>
      <c r="C1448" s="12" t="s">
        <v>203</v>
      </c>
      <c r="D1448" s="15" t="str">
        <f t="shared" si="22"/>
        <v>Netflix APAC - TRG</v>
      </c>
      <c r="E1448" s="12" t="s">
        <v>112</v>
      </c>
      <c r="F1448" s="12" t="s">
        <v>204</v>
      </c>
      <c r="G1448" s="12" t="s">
        <v>205</v>
      </c>
      <c r="H1448" s="12" t="s">
        <v>1025</v>
      </c>
      <c r="I1448" s="12" t="s">
        <v>1026</v>
      </c>
    </row>
    <row r="1449" spans="1:9">
      <c r="A1449" s="14">
        <v>10498</v>
      </c>
      <c r="B1449" s="14" t="s">
        <v>251</v>
      </c>
      <c r="C1449" s="12" t="s">
        <v>546</v>
      </c>
      <c r="D1449" s="15" t="str">
        <f t="shared" si="22"/>
        <v>Netflix APAC - TRN</v>
      </c>
      <c r="E1449" s="12" t="s">
        <v>112</v>
      </c>
      <c r="F1449" s="12" t="s">
        <v>204</v>
      </c>
      <c r="G1449" s="12" t="s">
        <v>205</v>
      </c>
      <c r="H1449" s="12" t="s">
        <v>1025</v>
      </c>
      <c r="I1449" s="12" t="s">
        <v>1026</v>
      </c>
    </row>
    <row r="1450" spans="1:9">
      <c r="A1450" s="14">
        <v>10498</v>
      </c>
      <c r="B1450" s="14" t="s">
        <v>251</v>
      </c>
      <c r="C1450" s="12" t="s">
        <v>208</v>
      </c>
      <c r="D1450" s="15" t="str">
        <f t="shared" si="22"/>
        <v>Netflix APAC - TTR</v>
      </c>
      <c r="E1450" s="12" t="s">
        <v>112</v>
      </c>
      <c r="F1450" s="12" t="s">
        <v>204</v>
      </c>
      <c r="G1450" s="12" t="s">
        <v>205</v>
      </c>
      <c r="H1450" s="12" t="s">
        <v>1025</v>
      </c>
      <c r="I1450" s="12" t="s">
        <v>1026</v>
      </c>
    </row>
    <row r="1451" spans="1:9">
      <c r="A1451" s="14">
        <v>10831</v>
      </c>
      <c r="B1451" s="14" t="s">
        <v>417</v>
      </c>
      <c r="C1451" s="12" t="s">
        <v>133</v>
      </c>
      <c r="D1451" s="15" t="str">
        <f t="shared" si="22"/>
        <v>Netflix Hyd - AMG</v>
      </c>
      <c r="E1451" s="12" t="s">
        <v>126</v>
      </c>
      <c r="F1451" s="12" t="s">
        <v>127</v>
      </c>
      <c r="G1451" s="12" t="s">
        <v>128</v>
      </c>
      <c r="H1451" s="12" t="s">
        <v>1025</v>
      </c>
      <c r="I1451" s="12" t="s">
        <v>1026</v>
      </c>
    </row>
    <row r="1452" spans="1:9">
      <c r="A1452" s="14">
        <v>10831</v>
      </c>
      <c r="B1452" s="14" t="s">
        <v>417</v>
      </c>
      <c r="C1452" s="12" t="s">
        <v>150</v>
      </c>
      <c r="D1452" s="15" t="str">
        <f t="shared" si="22"/>
        <v>Netflix Hyd - CCS</v>
      </c>
      <c r="E1452" s="12" t="s">
        <v>126</v>
      </c>
      <c r="F1452" s="12" t="s">
        <v>127</v>
      </c>
      <c r="G1452" s="12" t="s">
        <v>128</v>
      </c>
      <c r="H1452" s="12" t="s">
        <v>1025</v>
      </c>
      <c r="I1452" s="12" t="s">
        <v>1026</v>
      </c>
    </row>
    <row r="1453" spans="1:9">
      <c r="A1453" s="14">
        <v>10831</v>
      </c>
      <c r="B1453" s="14" t="s">
        <v>417</v>
      </c>
      <c r="C1453" s="12" t="s">
        <v>161</v>
      </c>
      <c r="D1453" s="15" t="str">
        <f t="shared" si="22"/>
        <v>Netflix Hyd - ECC</v>
      </c>
      <c r="E1453" s="12" t="s">
        <v>126</v>
      </c>
      <c r="F1453" s="12" t="s">
        <v>127</v>
      </c>
      <c r="G1453" s="12" t="s">
        <v>128</v>
      </c>
      <c r="H1453" s="12" t="s">
        <v>1025</v>
      </c>
      <c r="I1453" s="12" t="s">
        <v>1026</v>
      </c>
    </row>
    <row r="1454" spans="1:9">
      <c r="A1454" s="14">
        <v>10831</v>
      </c>
      <c r="B1454" s="14" t="s">
        <v>417</v>
      </c>
      <c r="C1454" s="12" t="s">
        <v>171</v>
      </c>
      <c r="D1454" s="15" t="str">
        <f t="shared" si="22"/>
        <v>Netflix Hyd - ETE</v>
      </c>
      <c r="E1454" s="12" t="s">
        <v>126</v>
      </c>
      <c r="F1454" s="12" t="s">
        <v>127</v>
      </c>
      <c r="G1454" s="12" t="s">
        <v>128</v>
      </c>
      <c r="H1454" s="12" t="s">
        <v>1025</v>
      </c>
      <c r="I1454" s="12" t="s">
        <v>1026</v>
      </c>
    </row>
    <row r="1455" spans="1:9">
      <c r="A1455" s="14">
        <v>10831</v>
      </c>
      <c r="B1455" s="14" t="s">
        <v>417</v>
      </c>
      <c r="C1455" s="12" t="s">
        <v>129</v>
      </c>
      <c r="D1455" s="15" t="str">
        <f t="shared" si="22"/>
        <v>Netflix Hyd - MGT</v>
      </c>
      <c r="E1455" s="12" t="s">
        <v>126</v>
      </c>
      <c r="F1455" s="12" t="s">
        <v>127</v>
      </c>
      <c r="G1455" s="12" t="s">
        <v>128</v>
      </c>
      <c r="H1455" s="12" t="s">
        <v>1025</v>
      </c>
      <c r="I1455" s="12" t="s">
        <v>1026</v>
      </c>
    </row>
    <row r="1456" spans="1:9">
      <c r="A1456" s="14">
        <v>10831</v>
      </c>
      <c r="B1456" s="14" t="s">
        <v>417</v>
      </c>
      <c r="C1456" s="12" t="s">
        <v>198</v>
      </c>
      <c r="D1456" s="15" t="str">
        <f t="shared" si="22"/>
        <v>Netflix Hyd - TEC</v>
      </c>
      <c r="E1456" s="12" t="s">
        <v>126</v>
      </c>
      <c r="F1456" s="12" t="s">
        <v>127</v>
      </c>
      <c r="G1456" s="12" t="s">
        <v>128</v>
      </c>
      <c r="H1456" s="12" t="s">
        <v>1025</v>
      </c>
      <c r="I1456" s="12" t="s">
        <v>1026</v>
      </c>
    </row>
    <row r="1457" spans="1:9">
      <c r="A1457" s="14">
        <v>95102</v>
      </c>
      <c r="B1457" s="14" t="s">
        <v>762</v>
      </c>
      <c r="C1457" s="12" t="s">
        <v>415</v>
      </c>
      <c r="D1457" s="15" t="str">
        <f t="shared" si="22"/>
        <v>Networking - GTI</v>
      </c>
      <c r="E1457" s="12" t="s">
        <v>104</v>
      </c>
      <c r="F1457" s="12" t="s">
        <v>263</v>
      </c>
      <c r="G1457" s="12" t="s">
        <v>264</v>
      </c>
      <c r="H1457" s="12" t="s">
        <v>1025</v>
      </c>
      <c r="I1457" s="12" t="s">
        <v>1026</v>
      </c>
    </row>
    <row r="1458" spans="1:9">
      <c r="A1458" s="14">
        <v>95102</v>
      </c>
      <c r="B1458" s="14" t="s">
        <v>762</v>
      </c>
      <c r="C1458" s="12" t="s">
        <v>129</v>
      </c>
      <c r="D1458" s="15" t="str">
        <f t="shared" si="22"/>
        <v>Networking - MGT</v>
      </c>
      <c r="E1458" s="12" t="s">
        <v>104</v>
      </c>
      <c r="F1458" s="12" t="s">
        <v>263</v>
      </c>
      <c r="G1458" s="12" t="s">
        <v>264</v>
      </c>
      <c r="H1458" s="12" t="s">
        <v>1025</v>
      </c>
      <c r="I1458" s="12" t="s">
        <v>1026</v>
      </c>
    </row>
    <row r="1459" spans="1:9">
      <c r="A1459" s="14">
        <v>95102</v>
      </c>
      <c r="B1459" s="14" t="s">
        <v>762</v>
      </c>
      <c r="C1459" s="12" t="s">
        <v>139</v>
      </c>
      <c r="D1459" s="15" t="str">
        <f t="shared" si="22"/>
        <v>Networking - SMGT</v>
      </c>
      <c r="E1459" s="12" t="s">
        <v>104</v>
      </c>
      <c r="F1459" s="12" t="s">
        <v>263</v>
      </c>
      <c r="G1459" s="12" t="s">
        <v>264</v>
      </c>
      <c r="H1459" s="12" t="s">
        <v>1025</v>
      </c>
      <c r="I1459" s="12" t="s">
        <v>1026</v>
      </c>
    </row>
    <row r="1460" spans="1:9">
      <c r="A1460" s="14">
        <v>95102</v>
      </c>
      <c r="B1460" s="14" t="s">
        <v>762</v>
      </c>
      <c r="C1460" s="12" t="s">
        <v>145</v>
      </c>
      <c r="D1460" s="15" t="str">
        <f t="shared" si="22"/>
        <v>Networking - SUP</v>
      </c>
      <c r="E1460" s="12" t="s">
        <v>104</v>
      </c>
      <c r="F1460" s="12" t="s">
        <v>263</v>
      </c>
      <c r="G1460" s="12" t="s">
        <v>264</v>
      </c>
      <c r="H1460" s="12" t="s">
        <v>1025</v>
      </c>
      <c r="I1460" s="12" t="s">
        <v>1026</v>
      </c>
    </row>
    <row r="1461" spans="1:9">
      <c r="A1461" s="14">
        <v>95102</v>
      </c>
      <c r="B1461" s="14" t="s">
        <v>762</v>
      </c>
      <c r="C1461" s="12" t="s">
        <v>180</v>
      </c>
      <c r="D1461" s="15" t="str">
        <f t="shared" si="22"/>
        <v>Networking - TMG</v>
      </c>
      <c r="E1461" s="12" t="s">
        <v>104</v>
      </c>
      <c r="F1461" s="12" t="s">
        <v>263</v>
      </c>
      <c r="G1461" s="12" t="s">
        <v>264</v>
      </c>
      <c r="H1461" s="12" t="s">
        <v>1025</v>
      </c>
      <c r="I1461" s="12" t="s">
        <v>1026</v>
      </c>
    </row>
    <row r="1462" spans="1:9">
      <c r="A1462" s="14">
        <v>18034</v>
      </c>
      <c r="B1462" s="14" t="s">
        <v>617</v>
      </c>
      <c r="C1462" s="12" t="s">
        <v>116</v>
      </c>
      <c r="D1462" s="15" t="str">
        <f t="shared" si="22"/>
        <v>NexBank Mortgage - PRD</v>
      </c>
      <c r="E1462" s="12" t="s">
        <v>126</v>
      </c>
      <c r="F1462" s="12" t="s">
        <v>163</v>
      </c>
      <c r="G1462" s="12" t="s">
        <v>164</v>
      </c>
      <c r="H1462" s="12" t="s">
        <v>1025</v>
      </c>
      <c r="I1462" s="12" t="s">
        <v>1026</v>
      </c>
    </row>
    <row r="1463" spans="1:9">
      <c r="A1463" s="14">
        <v>18034</v>
      </c>
      <c r="B1463" s="14" t="s">
        <v>617</v>
      </c>
      <c r="C1463" s="12" t="s">
        <v>230</v>
      </c>
      <c r="D1463" s="15" t="str">
        <f t="shared" si="22"/>
        <v>NexBank Mortgage - PRSP</v>
      </c>
      <c r="E1463" s="12" t="s">
        <v>126</v>
      </c>
      <c r="F1463" s="12" t="s">
        <v>163</v>
      </c>
      <c r="G1463" s="12" t="s">
        <v>164</v>
      </c>
      <c r="H1463" s="12" t="s">
        <v>1025</v>
      </c>
      <c r="I1463" s="12" t="s">
        <v>1026</v>
      </c>
    </row>
    <row r="1464" spans="1:9">
      <c r="A1464" s="14">
        <v>18034</v>
      </c>
      <c r="B1464" s="14" t="s">
        <v>617</v>
      </c>
      <c r="C1464" s="12" t="s">
        <v>185</v>
      </c>
      <c r="D1464" s="15" t="str">
        <f t="shared" si="22"/>
        <v>NexBank Mortgage - TPS</v>
      </c>
      <c r="E1464" s="12" t="s">
        <v>126</v>
      </c>
      <c r="F1464" s="12" t="s">
        <v>163</v>
      </c>
      <c r="G1464" s="12" t="s">
        <v>164</v>
      </c>
      <c r="H1464" s="12" t="s">
        <v>1025</v>
      </c>
      <c r="I1464" s="12" t="s">
        <v>1026</v>
      </c>
    </row>
    <row r="1465" spans="1:9">
      <c r="A1465" s="14">
        <v>18040</v>
      </c>
      <c r="B1465" s="14" t="s">
        <v>621</v>
      </c>
      <c r="C1465" s="12" t="s">
        <v>116</v>
      </c>
      <c r="D1465" s="15" t="str">
        <f t="shared" si="22"/>
        <v>NexBank TPO - PRD</v>
      </c>
      <c r="E1465" s="12" t="s">
        <v>126</v>
      </c>
      <c r="F1465" s="12" t="s">
        <v>163</v>
      </c>
      <c r="G1465" s="12" t="s">
        <v>164</v>
      </c>
      <c r="H1465" s="12" t="s">
        <v>1025</v>
      </c>
      <c r="I1465" s="12" t="s">
        <v>1026</v>
      </c>
    </row>
    <row r="1466" spans="1:9">
      <c r="A1466" s="14">
        <v>18040</v>
      </c>
      <c r="B1466" s="14" t="s">
        <v>621</v>
      </c>
      <c r="C1466" s="12" t="s">
        <v>185</v>
      </c>
      <c r="D1466" s="15" t="str">
        <f t="shared" si="22"/>
        <v>NexBank TPO - TPS</v>
      </c>
      <c r="E1466" s="12" t="s">
        <v>126</v>
      </c>
      <c r="F1466" s="12" t="s">
        <v>163</v>
      </c>
      <c r="G1466" s="12" t="s">
        <v>164</v>
      </c>
      <c r="H1466" s="12" t="s">
        <v>1025</v>
      </c>
      <c r="I1466" s="12" t="s">
        <v>1026</v>
      </c>
    </row>
    <row r="1467" spans="1:9">
      <c r="A1467" s="14">
        <v>12625</v>
      </c>
      <c r="B1467" s="14" t="s">
        <v>605</v>
      </c>
      <c r="C1467" s="12" t="s">
        <v>145</v>
      </c>
      <c r="D1467" s="15" t="str">
        <f t="shared" si="22"/>
        <v>NextGen - Support - SUP</v>
      </c>
      <c r="E1467" s="12" t="s">
        <v>117</v>
      </c>
      <c r="F1467" s="12" t="s">
        <v>117</v>
      </c>
      <c r="G1467" s="12" t="s">
        <v>117</v>
      </c>
      <c r="H1467" s="12" t="s">
        <v>1025</v>
      </c>
      <c r="I1467" s="12" t="s">
        <v>1026</v>
      </c>
    </row>
    <row r="1468" spans="1:9">
      <c r="A1468" s="14">
        <v>12472</v>
      </c>
      <c r="B1468" s="14" t="s">
        <v>560</v>
      </c>
      <c r="C1468" s="12" t="s">
        <v>116</v>
      </c>
      <c r="D1468" s="15" t="str">
        <f t="shared" si="22"/>
        <v>Northwell – PDM Tools - PRD</v>
      </c>
      <c r="E1468" s="12" t="s">
        <v>117</v>
      </c>
      <c r="F1468" s="12" t="s">
        <v>117</v>
      </c>
      <c r="G1468" s="12" t="s">
        <v>117</v>
      </c>
      <c r="H1468" s="12" t="s">
        <v>1025</v>
      </c>
      <c r="I1468" s="12" t="s">
        <v>1026</v>
      </c>
    </row>
    <row r="1469" spans="1:9">
      <c r="A1469" s="14">
        <v>12420</v>
      </c>
      <c r="B1469" s="14" t="s">
        <v>544</v>
      </c>
      <c r="C1469" s="12" t="s">
        <v>116</v>
      </c>
      <c r="D1469" s="15" t="str">
        <f t="shared" si="22"/>
        <v>Northwell - RPA - PRD</v>
      </c>
      <c r="E1469" s="12" t="s">
        <v>104</v>
      </c>
      <c r="F1469" s="12" t="s">
        <v>117</v>
      </c>
      <c r="G1469" s="12" t="s">
        <v>117</v>
      </c>
      <c r="H1469" s="12" t="s">
        <v>1025</v>
      </c>
      <c r="I1469" s="12" t="s">
        <v>1026</v>
      </c>
    </row>
    <row r="1470" spans="1:9">
      <c r="A1470" s="14">
        <v>12124</v>
      </c>
      <c r="B1470" s="14" t="s">
        <v>520</v>
      </c>
      <c r="C1470" s="12" t="s">
        <v>224</v>
      </c>
      <c r="D1470" s="15" t="str">
        <f t="shared" si="22"/>
        <v>Northwell Commercial AR - ACM</v>
      </c>
      <c r="E1470" s="12" t="s">
        <v>126</v>
      </c>
      <c r="F1470" s="12" t="s">
        <v>163</v>
      </c>
      <c r="G1470" s="12" t="s">
        <v>164</v>
      </c>
      <c r="H1470" s="12" t="s">
        <v>1025</v>
      </c>
      <c r="I1470" s="12" t="s">
        <v>1026</v>
      </c>
    </row>
    <row r="1471" spans="1:9">
      <c r="A1471" s="14">
        <v>12124</v>
      </c>
      <c r="B1471" s="14" t="s">
        <v>520</v>
      </c>
      <c r="C1471" s="12" t="s">
        <v>177</v>
      </c>
      <c r="D1471" s="15" t="str">
        <f t="shared" si="22"/>
        <v>Northwell Commercial AR - OPS</v>
      </c>
      <c r="E1471" s="12" t="s">
        <v>126</v>
      </c>
      <c r="F1471" s="12" t="s">
        <v>163</v>
      </c>
      <c r="G1471" s="12" t="s">
        <v>164</v>
      </c>
      <c r="H1471" s="12" t="s">
        <v>1025</v>
      </c>
      <c r="I1471" s="12" t="s">
        <v>1026</v>
      </c>
    </row>
    <row r="1472" spans="1:9">
      <c r="A1472" s="14">
        <v>12124</v>
      </c>
      <c r="B1472" s="14" t="s">
        <v>520</v>
      </c>
      <c r="C1472" s="12" t="s">
        <v>116</v>
      </c>
      <c r="D1472" s="15" t="str">
        <f t="shared" si="22"/>
        <v>Northwell Commercial AR - PRD</v>
      </c>
      <c r="E1472" s="12" t="s">
        <v>126</v>
      </c>
      <c r="F1472" s="12" t="s">
        <v>163</v>
      </c>
      <c r="G1472" s="12" t="s">
        <v>164</v>
      </c>
      <c r="H1472" s="12" t="s">
        <v>1025</v>
      </c>
      <c r="I1472" s="12" t="s">
        <v>1026</v>
      </c>
    </row>
    <row r="1473" spans="1:9">
      <c r="A1473" s="14">
        <v>12124</v>
      </c>
      <c r="B1473" s="14" t="s">
        <v>520</v>
      </c>
      <c r="C1473" s="12" t="s">
        <v>111</v>
      </c>
      <c r="D1473" s="15" t="str">
        <f t="shared" si="22"/>
        <v>Northwell Commercial AR - QLY</v>
      </c>
      <c r="E1473" s="12" t="s">
        <v>112</v>
      </c>
      <c r="F1473" s="12" t="s">
        <v>113</v>
      </c>
      <c r="G1473" s="12" t="s">
        <v>114</v>
      </c>
      <c r="H1473" s="12" t="s">
        <v>1025</v>
      </c>
      <c r="I1473" s="12" t="s">
        <v>1026</v>
      </c>
    </row>
    <row r="1474" spans="1:9">
      <c r="A1474" s="14">
        <v>12124</v>
      </c>
      <c r="B1474" s="14" t="s">
        <v>520</v>
      </c>
      <c r="C1474" s="12" t="s">
        <v>332</v>
      </c>
      <c r="D1474" s="15" t="str">
        <f t="shared" ref="D1474:D1537" si="23">B1474&amp;" - "&amp;C1474</f>
        <v>Northwell Commercial AR - RCF</v>
      </c>
      <c r="E1474" s="12" t="s">
        <v>126</v>
      </c>
      <c r="F1474" s="12" t="s">
        <v>163</v>
      </c>
      <c r="G1474" s="12" t="s">
        <v>164</v>
      </c>
      <c r="H1474" s="12" t="s">
        <v>1025</v>
      </c>
      <c r="I1474" s="12" t="s">
        <v>1026</v>
      </c>
    </row>
    <row r="1475" spans="1:9">
      <c r="A1475" s="14">
        <v>12124</v>
      </c>
      <c r="B1475" s="14" t="s">
        <v>520</v>
      </c>
      <c r="C1475" s="12" t="s">
        <v>145</v>
      </c>
      <c r="D1475" s="15" t="str">
        <f t="shared" si="23"/>
        <v>Northwell Commercial AR - SUP</v>
      </c>
      <c r="E1475" s="12" t="s">
        <v>126</v>
      </c>
      <c r="F1475" s="12" t="s">
        <v>163</v>
      </c>
      <c r="G1475" s="12" t="s">
        <v>164</v>
      </c>
      <c r="H1475" s="12" t="s">
        <v>1025</v>
      </c>
      <c r="I1475" s="12" t="s">
        <v>1026</v>
      </c>
    </row>
    <row r="1476" spans="1:9">
      <c r="A1476" s="14">
        <v>12124</v>
      </c>
      <c r="B1476" s="14" t="s">
        <v>520</v>
      </c>
      <c r="C1476" s="12" t="s">
        <v>180</v>
      </c>
      <c r="D1476" s="15" t="str">
        <f t="shared" si="23"/>
        <v>Northwell Commercial AR - TMG</v>
      </c>
      <c r="E1476" s="12" t="s">
        <v>126</v>
      </c>
      <c r="F1476" s="12" t="s">
        <v>163</v>
      </c>
      <c r="G1476" s="12" t="s">
        <v>164</v>
      </c>
      <c r="H1476" s="12" t="s">
        <v>1025</v>
      </c>
      <c r="I1476" s="12" t="s">
        <v>1026</v>
      </c>
    </row>
    <row r="1477" spans="1:9">
      <c r="A1477" s="14">
        <v>12124</v>
      </c>
      <c r="B1477" s="14" t="s">
        <v>520</v>
      </c>
      <c r="C1477" s="12" t="s">
        <v>185</v>
      </c>
      <c r="D1477" s="15" t="str">
        <f t="shared" si="23"/>
        <v>Northwell Commercial AR - TPS</v>
      </c>
      <c r="E1477" s="12" t="s">
        <v>126</v>
      </c>
      <c r="F1477" s="12" t="s">
        <v>163</v>
      </c>
      <c r="G1477" s="12" t="s">
        <v>164</v>
      </c>
      <c r="H1477" s="12" t="s">
        <v>1025</v>
      </c>
      <c r="I1477" s="12" t="s">
        <v>1026</v>
      </c>
    </row>
    <row r="1478" spans="1:9">
      <c r="A1478" s="14">
        <v>12125</v>
      </c>
      <c r="B1478" s="14" t="s">
        <v>522</v>
      </c>
      <c r="C1478" s="12" t="s">
        <v>224</v>
      </c>
      <c r="D1478" s="15" t="str">
        <f t="shared" si="23"/>
        <v>Northwell Missing Check Proj - ACM</v>
      </c>
      <c r="E1478" s="12" t="s">
        <v>126</v>
      </c>
      <c r="F1478" s="12" t="s">
        <v>163</v>
      </c>
      <c r="G1478" s="12" t="s">
        <v>164</v>
      </c>
      <c r="H1478" s="12" t="s">
        <v>1025</v>
      </c>
      <c r="I1478" s="12" t="s">
        <v>1026</v>
      </c>
    </row>
    <row r="1479" spans="1:9">
      <c r="A1479" s="14">
        <v>12125</v>
      </c>
      <c r="B1479" s="14" t="s">
        <v>522</v>
      </c>
      <c r="C1479" s="12" t="s">
        <v>177</v>
      </c>
      <c r="D1479" s="15" t="str">
        <f t="shared" si="23"/>
        <v>Northwell Missing Check Proj - OPS</v>
      </c>
      <c r="E1479" s="12" t="s">
        <v>126</v>
      </c>
      <c r="F1479" s="12" t="s">
        <v>163</v>
      </c>
      <c r="G1479" s="12" t="s">
        <v>164</v>
      </c>
      <c r="H1479" s="12" t="s">
        <v>1025</v>
      </c>
      <c r="I1479" s="12" t="s">
        <v>1026</v>
      </c>
    </row>
    <row r="1480" spans="1:9">
      <c r="A1480" s="14">
        <v>12125</v>
      </c>
      <c r="B1480" s="14" t="s">
        <v>522</v>
      </c>
      <c r="C1480" s="12" t="s">
        <v>116</v>
      </c>
      <c r="D1480" s="15" t="str">
        <f t="shared" si="23"/>
        <v>Northwell Missing Check Proj - PRD</v>
      </c>
      <c r="E1480" s="12" t="s">
        <v>126</v>
      </c>
      <c r="F1480" s="12" t="s">
        <v>163</v>
      </c>
      <c r="G1480" s="12" t="s">
        <v>164</v>
      </c>
      <c r="H1480" s="12" t="s">
        <v>1025</v>
      </c>
      <c r="I1480" s="12" t="s">
        <v>1026</v>
      </c>
    </row>
    <row r="1481" spans="1:9">
      <c r="A1481" s="14">
        <v>12125</v>
      </c>
      <c r="B1481" s="14" t="s">
        <v>522</v>
      </c>
      <c r="C1481" s="12" t="s">
        <v>332</v>
      </c>
      <c r="D1481" s="15" t="str">
        <f t="shared" si="23"/>
        <v>Northwell Missing Check Proj - RCF</v>
      </c>
      <c r="E1481" s="12" t="s">
        <v>126</v>
      </c>
      <c r="F1481" s="12" t="s">
        <v>163</v>
      </c>
      <c r="G1481" s="12" t="s">
        <v>164</v>
      </c>
      <c r="H1481" s="12" t="s">
        <v>1025</v>
      </c>
      <c r="I1481" s="12" t="s">
        <v>1026</v>
      </c>
    </row>
    <row r="1482" spans="1:9">
      <c r="A1482" s="14">
        <v>12125</v>
      </c>
      <c r="B1482" s="14" t="s">
        <v>522</v>
      </c>
      <c r="C1482" s="12" t="s">
        <v>180</v>
      </c>
      <c r="D1482" s="15" t="str">
        <f t="shared" si="23"/>
        <v>Northwell Missing Check Proj - TMG</v>
      </c>
      <c r="E1482" s="12" t="s">
        <v>126</v>
      </c>
      <c r="F1482" s="12" t="s">
        <v>163</v>
      </c>
      <c r="G1482" s="12" t="s">
        <v>164</v>
      </c>
      <c r="H1482" s="12" t="s">
        <v>1025</v>
      </c>
      <c r="I1482" s="12" t="s">
        <v>1026</v>
      </c>
    </row>
    <row r="1483" spans="1:9">
      <c r="A1483" s="14">
        <v>12125</v>
      </c>
      <c r="B1483" s="14" t="s">
        <v>522</v>
      </c>
      <c r="C1483" s="12" t="s">
        <v>185</v>
      </c>
      <c r="D1483" s="15" t="str">
        <f t="shared" si="23"/>
        <v>Northwell Missing Check Proj - TPS</v>
      </c>
      <c r="E1483" s="12" t="s">
        <v>126</v>
      </c>
      <c r="F1483" s="12" t="s">
        <v>163</v>
      </c>
      <c r="G1483" s="12" t="s">
        <v>164</v>
      </c>
      <c r="H1483" s="12" t="s">
        <v>1025</v>
      </c>
      <c r="I1483" s="12" t="s">
        <v>1026</v>
      </c>
    </row>
    <row r="1484" spans="1:9">
      <c r="A1484" s="14">
        <v>12502</v>
      </c>
      <c r="B1484" s="14" t="s">
        <v>568</v>
      </c>
      <c r="C1484" s="12" t="s">
        <v>116</v>
      </c>
      <c r="D1484" s="15" t="str">
        <f t="shared" si="23"/>
        <v>Northwell RCM - PAP - PRD</v>
      </c>
      <c r="E1484" s="12" t="s">
        <v>126</v>
      </c>
      <c r="F1484" s="12" t="s">
        <v>163</v>
      </c>
      <c r="G1484" s="12" t="s">
        <v>164</v>
      </c>
      <c r="H1484" s="12" t="s">
        <v>1025</v>
      </c>
      <c r="I1484" s="12" t="s">
        <v>1026</v>
      </c>
    </row>
    <row r="1485" spans="1:9">
      <c r="A1485" s="14">
        <v>12126</v>
      </c>
      <c r="B1485" s="14" t="s">
        <v>523</v>
      </c>
      <c r="C1485" s="12" t="s">
        <v>230</v>
      </c>
      <c r="D1485" s="15" t="str">
        <f t="shared" si="23"/>
        <v>Northwell_Coding Services - PRSP</v>
      </c>
      <c r="E1485" s="12" t="s">
        <v>126</v>
      </c>
      <c r="F1485" s="12" t="s">
        <v>237</v>
      </c>
      <c r="G1485" s="12" t="s">
        <v>238</v>
      </c>
      <c r="H1485" s="12" t="s">
        <v>1025</v>
      </c>
      <c r="I1485" s="12" t="s">
        <v>1026</v>
      </c>
    </row>
    <row r="1486" spans="1:9">
      <c r="A1486" s="14">
        <v>12126</v>
      </c>
      <c r="B1486" s="14" t="s">
        <v>523</v>
      </c>
      <c r="C1486" s="12" t="s">
        <v>145</v>
      </c>
      <c r="D1486" s="15" t="str">
        <f t="shared" si="23"/>
        <v>Northwell_Coding Services - SUP</v>
      </c>
      <c r="E1486" s="12" t="s">
        <v>126</v>
      </c>
      <c r="F1486" s="12" t="s">
        <v>237</v>
      </c>
      <c r="G1486" s="12" t="s">
        <v>238</v>
      </c>
      <c r="H1486" s="12" t="s">
        <v>1025</v>
      </c>
      <c r="I1486" s="12" t="s">
        <v>1026</v>
      </c>
    </row>
    <row r="1487" spans="1:9">
      <c r="A1487" s="14">
        <v>12126</v>
      </c>
      <c r="B1487" s="14" t="s">
        <v>523</v>
      </c>
      <c r="C1487" s="12" t="s">
        <v>185</v>
      </c>
      <c r="D1487" s="15" t="str">
        <f t="shared" si="23"/>
        <v>Northwell_Coding Services - TPS</v>
      </c>
      <c r="E1487" s="12" t="s">
        <v>126</v>
      </c>
      <c r="F1487" s="12" t="s">
        <v>237</v>
      </c>
      <c r="G1487" s="12" t="s">
        <v>238</v>
      </c>
      <c r="H1487" s="12" t="s">
        <v>1025</v>
      </c>
      <c r="I1487" s="12" t="s">
        <v>1026</v>
      </c>
    </row>
    <row r="1488" spans="1:9">
      <c r="A1488" s="14">
        <v>51502</v>
      </c>
      <c r="B1488" s="14" t="s">
        <v>822</v>
      </c>
      <c r="C1488" s="12" t="s">
        <v>116</v>
      </c>
      <c r="D1488" s="15" t="str">
        <f t="shared" si="23"/>
        <v>NRUCFC-SUNERAPARTNERSHIPEAM-CX - PRD</v>
      </c>
      <c r="E1488" s="12" t="s">
        <v>117</v>
      </c>
      <c r="F1488" s="12" t="s">
        <v>117</v>
      </c>
      <c r="G1488" s="12" t="s">
        <v>117</v>
      </c>
      <c r="H1488" s="12" t="s">
        <v>1025</v>
      </c>
      <c r="I1488" s="12" t="s">
        <v>1026</v>
      </c>
    </row>
    <row r="1489" spans="1:9">
      <c r="A1489" s="14">
        <v>12413</v>
      </c>
      <c r="B1489" s="14" t="s">
        <v>543</v>
      </c>
      <c r="C1489" s="12" t="s">
        <v>116</v>
      </c>
      <c r="D1489" s="15" t="str">
        <f t="shared" si="23"/>
        <v>Nyack In-Patient - Coding - PRD</v>
      </c>
      <c r="E1489" s="12" t="s">
        <v>126</v>
      </c>
      <c r="F1489" s="12" t="s">
        <v>237</v>
      </c>
      <c r="G1489" s="12" t="s">
        <v>238</v>
      </c>
      <c r="H1489" s="12" t="s">
        <v>1025</v>
      </c>
      <c r="I1489" s="12" t="s">
        <v>1026</v>
      </c>
    </row>
    <row r="1490" spans="1:9">
      <c r="A1490" s="14">
        <v>12413</v>
      </c>
      <c r="B1490" s="14" t="s">
        <v>543</v>
      </c>
      <c r="C1490" s="12" t="s">
        <v>185</v>
      </c>
      <c r="D1490" s="15" t="str">
        <f t="shared" si="23"/>
        <v>Nyack In-Patient - Coding - TPS</v>
      </c>
      <c r="E1490" s="12" t="s">
        <v>126</v>
      </c>
      <c r="F1490" s="12" t="s">
        <v>237</v>
      </c>
      <c r="G1490" s="12" t="s">
        <v>238</v>
      </c>
      <c r="H1490" s="12" t="s">
        <v>1025</v>
      </c>
      <c r="I1490" s="12" t="s">
        <v>1026</v>
      </c>
    </row>
    <row r="1491" spans="1:9">
      <c r="A1491" s="14">
        <v>12422</v>
      </c>
      <c r="B1491" s="14" t="s">
        <v>548</v>
      </c>
      <c r="C1491" s="12" t="s">
        <v>230</v>
      </c>
      <c r="D1491" s="15" t="str">
        <f t="shared" si="23"/>
        <v>NYC Health - Coding - PRSP</v>
      </c>
      <c r="E1491" s="12" t="s">
        <v>126</v>
      </c>
      <c r="F1491" s="12" t="s">
        <v>237</v>
      </c>
      <c r="G1491" s="12" t="s">
        <v>238</v>
      </c>
      <c r="H1491" s="12" t="s">
        <v>1025</v>
      </c>
      <c r="I1491" s="12" t="s">
        <v>1026</v>
      </c>
    </row>
    <row r="1492" spans="1:9">
      <c r="A1492" s="14">
        <v>12422</v>
      </c>
      <c r="B1492" s="14" t="s">
        <v>548</v>
      </c>
      <c r="C1492" s="12" t="s">
        <v>185</v>
      </c>
      <c r="D1492" s="15" t="str">
        <f t="shared" si="23"/>
        <v>NYC Health - Coding - TPS</v>
      </c>
      <c r="E1492" s="12" t="s">
        <v>126</v>
      </c>
      <c r="F1492" s="12" t="s">
        <v>237</v>
      </c>
      <c r="G1492" s="12" t="s">
        <v>238</v>
      </c>
      <c r="H1492" s="12" t="s">
        <v>1025</v>
      </c>
      <c r="I1492" s="12" t="s">
        <v>1026</v>
      </c>
    </row>
    <row r="1493" spans="1:9">
      <c r="A1493" s="14">
        <v>12431</v>
      </c>
      <c r="B1493" s="14" t="s">
        <v>550</v>
      </c>
      <c r="C1493" s="12" t="s">
        <v>116</v>
      </c>
      <c r="D1493" s="15" t="str">
        <f t="shared" si="23"/>
        <v>NYC Health - PH AR - PRD</v>
      </c>
      <c r="E1493" s="12" t="s">
        <v>126</v>
      </c>
      <c r="F1493" s="12" t="s">
        <v>163</v>
      </c>
      <c r="G1493" s="12" t="s">
        <v>164</v>
      </c>
      <c r="H1493" s="12" t="s">
        <v>1025</v>
      </c>
      <c r="I1493" s="12" t="s">
        <v>1026</v>
      </c>
    </row>
    <row r="1494" spans="1:9">
      <c r="A1494" s="14">
        <v>12431</v>
      </c>
      <c r="B1494" s="14" t="s">
        <v>550</v>
      </c>
      <c r="C1494" s="12" t="s">
        <v>145</v>
      </c>
      <c r="D1494" s="15" t="str">
        <f t="shared" si="23"/>
        <v>NYC Health - PH AR - SUP</v>
      </c>
      <c r="E1494" s="12" t="s">
        <v>126</v>
      </c>
      <c r="F1494" s="12" t="s">
        <v>163</v>
      </c>
      <c r="G1494" s="12" t="s">
        <v>164</v>
      </c>
      <c r="H1494" s="12" t="s">
        <v>1025</v>
      </c>
      <c r="I1494" s="12" t="s">
        <v>1026</v>
      </c>
    </row>
    <row r="1495" spans="1:9">
      <c r="A1495" s="14">
        <v>12431</v>
      </c>
      <c r="B1495" s="14" t="s">
        <v>550</v>
      </c>
      <c r="C1495" s="12" t="s">
        <v>180</v>
      </c>
      <c r="D1495" s="15" t="str">
        <f t="shared" si="23"/>
        <v>NYC Health - PH AR - TMG</v>
      </c>
      <c r="E1495" s="12" t="s">
        <v>126</v>
      </c>
      <c r="F1495" s="12" t="s">
        <v>163</v>
      </c>
      <c r="G1495" s="12" t="s">
        <v>164</v>
      </c>
      <c r="H1495" s="12" t="s">
        <v>1025</v>
      </c>
      <c r="I1495" s="12" t="s">
        <v>1026</v>
      </c>
    </row>
    <row r="1496" spans="1:9">
      <c r="A1496" s="14">
        <v>21492</v>
      </c>
      <c r="B1496" s="14" t="s">
        <v>646</v>
      </c>
      <c r="C1496" s="12" t="s">
        <v>116</v>
      </c>
      <c r="D1496" s="15" t="str">
        <f t="shared" si="23"/>
        <v>NYC Health - SP - PRD</v>
      </c>
      <c r="E1496" s="12" t="s">
        <v>126</v>
      </c>
      <c r="F1496" s="12" t="s">
        <v>163</v>
      </c>
      <c r="G1496" s="12" t="s">
        <v>164</v>
      </c>
      <c r="H1496" s="12" t="s">
        <v>1025</v>
      </c>
      <c r="I1496" s="12" t="s">
        <v>1026</v>
      </c>
    </row>
    <row r="1497" spans="1:9">
      <c r="A1497" s="14">
        <v>40059</v>
      </c>
      <c r="B1497" s="14" t="s">
        <v>663</v>
      </c>
      <c r="C1497" s="12" t="s">
        <v>116</v>
      </c>
      <c r="D1497" s="15" t="str">
        <f t="shared" si="23"/>
        <v>Oman FDS - PRD</v>
      </c>
      <c r="E1497" s="12" t="s">
        <v>126</v>
      </c>
      <c r="F1497" s="12" t="s">
        <v>163</v>
      </c>
      <c r="G1497" s="12" t="s">
        <v>164</v>
      </c>
      <c r="H1497" s="12" t="s">
        <v>1025</v>
      </c>
      <c r="I1497" s="12" t="s">
        <v>1026</v>
      </c>
    </row>
    <row r="1498" spans="1:9">
      <c r="A1498" s="14">
        <v>40059</v>
      </c>
      <c r="B1498" s="14" t="s">
        <v>663</v>
      </c>
      <c r="C1498" s="12" t="s">
        <v>185</v>
      </c>
      <c r="D1498" s="15" t="str">
        <f t="shared" si="23"/>
        <v>Oman FDS - TPS</v>
      </c>
      <c r="E1498" s="12" t="s">
        <v>126</v>
      </c>
      <c r="F1498" s="12" t="s">
        <v>163</v>
      </c>
      <c r="G1498" s="12" t="s">
        <v>164</v>
      </c>
      <c r="H1498" s="12" t="s">
        <v>1025</v>
      </c>
      <c r="I1498" s="12" t="s">
        <v>1026</v>
      </c>
    </row>
    <row r="1499" spans="1:9">
      <c r="A1499" s="14">
        <v>40061</v>
      </c>
      <c r="B1499" s="14" t="s">
        <v>664</v>
      </c>
      <c r="C1499" s="12" t="s">
        <v>133</v>
      </c>
      <c r="D1499" s="15" t="str">
        <f t="shared" si="23"/>
        <v>Oman PRA - AMG</v>
      </c>
      <c r="E1499" s="12" t="s">
        <v>126</v>
      </c>
      <c r="F1499" s="12" t="s">
        <v>163</v>
      </c>
      <c r="G1499" s="12" t="s">
        <v>164</v>
      </c>
      <c r="H1499" s="12" t="s">
        <v>1025</v>
      </c>
      <c r="I1499" s="12" t="s">
        <v>1026</v>
      </c>
    </row>
    <row r="1500" spans="1:9">
      <c r="A1500" s="14">
        <v>40061</v>
      </c>
      <c r="B1500" s="14" t="s">
        <v>664</v>
      </c>
      <c r="C1500" s="12" t="s">
        <v>116</v>
      </c>
      <c r="D1500" s="15" t="str">
        <f t="shared" si="23"/>
        <v>Oman PRA - PRD</v>
      </c>
      <c r="E1500" s="12" t="s">
        <v>126</v>
      </c>
      <c r="F1500" s="12" t="s">
        <v>163</v>
      </c>
      <c r="G1500" s="12" t="s">
        <v>164</v>
      </c>
      <c r="H1500" s="12" t="s">
        <v>1025</v>
      </c>
      <c r="I1500" s="12" t="s">
        <v>1026</v>
      </c>
    </row>
    <row r="1501" spans="1:9">
      <c r="A1501" s="14">
        <v>40061</v>
      </c>
      <c r="B1501" s="14" t="s">
        <v>664</v>
      </c>
      <c r="C1501" s="12" t="s">
        <v>145</v>
      </c>
      <c r="D1501" s="15" t="str">
        <f t="shared" si="23"/>
        <v>Oman PRA - SUP</v>
      </c>
      <c r="E1501" s="12" t="s">
        <v>126</v>
      </c>
      <c r="F1501" s="12" t="s">
        <v>163</v>
      </c>
      <c r="G1501" s="12" t="s">
        <v>164</v>
      </c>
      <c r="H1501" s="12" t="s">
        <v>1025</v>
      </c>
      <c r="I1501" s="12" t="s">
        <v>1026</v>
      </c>
    </row>
    <row r="1502" spans="1:9">
      <c r="A1502" s="14">
        <v>40061</v>
      </c>
      <c r="B1502" s="14" t="s">
        <v>664</v>
      </c>
      <c r="C1502" s="12" t="s">
        <v>180</v>
      </c>
      <c r="D1502" s="15" t="str">
        <f t="shared" si="23"/>
        <v>Oman PRA - TMG</v>
      </c>
      <c r="E1502" s="12" t="s">
        <v>126</v>
      </c>
      <c r="F1502" s="12" t="s">
        <v>163</v>
      </c>
      <c r="G1502" s="12" t="s">
        <v>164</v>
      </c>
      <c r="H1502" s="12" t="s">
        <v>1025</v>
      </c>
      <c r="I1502" s="12" t="s">
        <v>1026</v>
      </c>
    </row>
    <row r="1503" spans="1:9">
      <c r="A1503" s="14">
        <v>40061</v>
      </c>
      <c r="B1503" s="14" t="s">
        <v>664</v>
      </c>
      <c r="C1503" s="12" t="s">
        <v>185</v>
      </c>
      <c r="D1503" s="15" t="str">
        <f t="shared" si="23"/>
        <v>Oman PRA - TPS</v>
      </c>
      <c r="E1503" s="12" t="s">
        <v>126</v>
      </c>
      <c r="F1503" s="12" t="s">
        <v>163</v>
      </c>
      <c r="G1503" s="12" t="s">
        <v>164</v>
      </c>
      <c r="H1503" s="12" t="s">
        <v>1025</v>
      </c>
      <c r="I1503" s="12" t="s">
        <v>1026</v>
      </c>
    </row>
    <row r="1504" spans="1:9">
      <c r="A1504" s="14">
        <v>18035</v>
      </c>
      <c r="B1504" s="14" t="s">
        <v>618</v>
      </c>
      <c r="C1504" s="12" t="s">
        <v>156</v>
      </c>
      <c r="D1504" s="15" t="str">
        <f t="shared" si="23"/>
        <v>OneTrust Fulfillment Services - CLR</v>
      </c>
      <c r="E1504" s="12" t="s">
        <v>126</v>
      </c>
      <c r="F1504" s="12" t="s">
        <v>163</v>
      </c>
      <c r="G1504" s="12" t="s">
        <v>164</v>
      </c>
      <c r="H1504" s="12" t="s">
        <v>1025</v>
      </c>
      <c r="I1504" s="12" t="s">
        <v>1026</v>
      </c>
    </row>
    <row r="1505" spans="1:9">
      <c r="A1505" s="14">
        <v>18035</v>
      </c>
      <c r="B1505" s="14" t="s">
        <v>618</v>
      </c>
      <c r="C1505" s="12" t="s">
        <v>145</v>
      </c>
      <c r="D1505" s="15" t="str">
        <f t="shared" si="23"/>
        <v>OneTrust Fulfillment Services - SUP</v>
      </c>
      <c r="E1505" s="12" t="s">
        <v>126</v>
      </c>
      <c r="F1505" s="12" t="s">
        <v>163</v>
      </c>
      <c r="G1505" s="12" t="s">
        <v>164</v>
      </c>
      <c r="H1505" s="12" t="s">
        <v>1025</v>
      </c>
      <c r="I1505" s="12" t="s">
        <v>1026</v>
      </c>
    </row>
    <row r="1506" spans="1:9">
      <c r="A1506" s="14">
        <v>18035</v>
      </c>
      <c r="B1506" s="14" t="s">
        <v>618</v>
      </c>
      <c r="C1506" s="12" t="s">
        <v>180</v>
      </c>
      <c r="D1506" s="15" t="str">
        <f t="shared" si="23"/>
        <v>OneTrust Fulfillment Services - TMG</v>
      </c>
      <c r="E1506" s="12" t="s">
        <v>126</v>
      </c>
      <c r="F1506" s="12" t="s">
        <v>163</v>
      </c>
      <c r="G1506" s="12" t="s">
        <v>164</v>
      </c>
      <c r="H1506" s="12" t="s">
        <v>1025</v>
      </c>
      <c r="I1506" s="12" t="s">
        <v>1026</v>
      </c>
    </row>
    <row r="1507" spans="1:9">
      <c r="A1507" s="14">
        <v>18035</v>
      </c>
      <c r="B1507" s="14" t="s">
        <v>618</v>
      </c>
      <c r="C1507" s="12" t="s">
        <v>185</v>
      </c>
      <c r="D1507" s="15" t="str">
        <f t="shared" si="23"/>
        <v>OneTrust Fulfillment Services - TPS</v>
      </c>
      <c r="E1507" s="12" t="s">
        <v>126</v>
      </c>
      <c r="F1507" s="12" t="s">
        <v>163</v>
      </c>
      <c r="G1507" s="12" t="s">
        <v>164</v>
      </c>
      <c r="H1507" s="12" t="s">
        <v>1025</v>
      </c>
      <c r="I1507" s="12" t="s">
        <v>1026</v>
      </c>
    </row>
    <row r="1508" spans="1:9">
      <c r="A1508" s="14">
        <v>10768</v>
      </c>
      <c r="B1508" s="14" t="s">
        <v>371</v>
      </c>
      <c r="C1508" s="12" t="s">
        <v>116</v>
      </c>
      <c r="D1508" s="15" t="str">
        <f t="shared" si="23"/>
        <v>Opportunity Fund_Tier 1 IT S - PRD</v>
      </c>
      <c r="E1508" s="12" t="s">
        <v>126</v>
      </c>
      <c r="F1508" s="12" t="s">
        <v>360</v>
      </c>
      <c r="G1508" s="12" t="s">
        <v>361</v>
      </c>
      <c r="H1508" s="12" t="s">
        <v>1025</v>
      </c>
      <c r="I1508" s="12" t="s">
        <v>1026</v>
      </c>
    </row>
    <row r="1509" spans="1:9">
      <c r="A1509" s="14">
        <v>10768</v>
      </c>
      <c r="B1509" s="14" t="s">
        <v>371</v>
      </c>
      <c r="C1509" s="12" t="s">
        <v>180</v>
      </c>
      <c r="D1509" s="15" t="str">
        <f t="shared" si="23"/>
        <v>Opportunity Fund_Tier 1 IT S - TMG</v>
      </c>
      <c r="E1509" s="12" t="s">
        <v>126</v>
      </c>
      <c r="F1509" s="12" t="s">
        <v>360</v>
      </c>
      <c r="G1509" s="12" t="s">
        <v>361</v>
      </c>
      <c r="H1509" s="12" t="s">
        <v>1025</v>
      </c>
      <c r="I1509" s="12" t="s">
        <v>1026</v>
      </c>
    </row>
    <row r="1510" spans="1:9">
      <c r="A1510" s="14">
        <v>97322</v>
      </c>
      <c r="B1510" s="14" t="s">
        <v>808</v>
      </c>
      <c r="C1510" s="12" t="s">
        <v>129</v>
      </c>
      <c r="D1510" s="15" t="str">
        <f t="shared" si="23"/>
        <v>Org Capability Development - MGT</v>
      </c>
      <c r="E1510" s="12" t="s">
        <v>104</v>
      </c>
      <c r="F1510" s="12" t="s">
        <v>370</v>
      </c>
      <c r="G1510" s="12" t="s">
        <v>205</v>
      </c>
      <c r="H1510" s="12" t="s">
        <v>1025</v>
      </c>
      <c r="I1510" s="12" t="s">
        <v>1026</v>
      </c>
    </row>
    <row r="1511" spans="1:9">
      <c r="A1511" s="14">
        <v>97322</v>
      </c>
      <c r="B1511" s="14" t="s">
        <v>808</v>
      </c>
      <c r="C1511" s="12" t="s">
        <v>145</v>
      </c>
      <c r="D1511" s="15" t="str">
        <f t="shared" si="23"/>
        <v>Org Capability Development - SUP</v>
      </c>
      <c r="E1511" s="12" t="s">
        <v>104</v>
      </c>
      <c r="F1511" s="12" t="s">
        <v>370</v>
      </c>
      <c r="G1511" s="12" t="s">
        <v>205</v>
      </c>
      <c r="H1511" s="12" t="s">
        <v>1025</v>
      </c>
      <c r="I1511" s="12" t="s">
        <v>1026</v>
      </c>
    </row>
    <row r="1512" spans="1:9">
      <c r="A1512" s="14">
        <v>51214</v>
      </c>
      <c r="B1512" s="14" t="s">
        <v>736</v>
      </c>
      <c r="C1512" s="12" t="s">
        <v>116</v>
      </c>
      <c r="D1512" s="15" t="str">
        <f t="shared" si="23"/>
        <v>Orix-2204-2503-Cloudtestr-QEC - PRD</v>
      </c>
      <c r="E1512" s="12" t="s">
        <v>117</v>
      </c>
      <c r="F1512" s="12" t="s">
        <v>117</v>
      </c>
      <c r="G1512" s="12" t="s">
        <v>117</v>
      </c>
      <c r="H1512" s="12" t="s">
        <v>1025</v>
      </c>
      <c r="I1512" s="12" t="s">
        <v>1026</v>
      </c>
    </row>
    <row r="1513" spans="1:9">
      <c r="A1513" s="14">
        <v>83001</v>
      </c>
      <c r="B1513" s="14" t="s">
        <v>878</v>
      </c>
      <c r="C1513" s="12" t="s">
        <v>145</v>
      </c>
      <c r="D1513" s="15" t="str">
        <f t="shared" si="23"/>
        <v>Other internal products - SUP</v>
      </c>
      <c r="E1513" s="12" t="s">
        <v>104</v>
      </c>
      <c r="F1513" s="12" t="s">
        <v>117</v>
      </c>
      <c r="G1513" s="12" t="s">
        <v>117</v>
      </c>
      <c r="H1513" s="12" t="s">
        <v>1025</v>
      </c>
      <c r="I1513" s="12" t="s">
        <v>1026</v>
      </c>
    </row>
    <row r="1514" spans="1:9">
      <c r="A1514" s="14">
        <v>12313</v>
      </c>
      <c r="B1514" s="14" t="s">
        <v>530</v>
      </c>
      <c r="C1514" s="12" t="s">
        <v>230</v>
      </c>
      <c r="D1514" s="15" t="str">
        <f t="shared" si="23"/>
        <v>Palomar - Coding - PRSP</v>
      </c>
      <c r="E1514" s="12" t="s">
        <v>126</v>
      </c>
      <c r="F1514" s="12" t="s">
        <v>237</v>
      </c>
      <c r="G1514" s="12" t="s">
        <v>238</v>
      </c>
      <c r="H1514" s="12" t="s">
        <v>1025</v>
      </c>
      <c r="I1514" s="12" t="s">
        <v>1026</v>
      </c>
    </row>
    <row r="1515" spans="1:9">
      <c r="A1515" s="14">
        <v>12313</v>
      </c>
      <c r="B1515" s="14" t="s">
        <v>530</v>
      </c>
      <c r="C1515" s="12" t="s">
        <v>145</v>
      </c>
      <c r="D1515" s="15" t="str">
        <f t="shared" si="23"/>
        <v>Palomar - Coding - SUP</v>
      </c>
      <c r="E1515" s="12" t="s">
        <v>126</v>
      </c>
      <c r="F1515" s="12" t="s">
        <v>237</v>
      </c>
      <c r="G1515" s="12" t="s">
        <v>238</v>
      </c>
      <c r="H1515" s="12" t="s">
        <v>1025</v>
      </c>
      <c r="I1515" s="12" t="s">
        <v>1026</v>
      </c>
    </row>
    <row r="1516" spans="1:9">
      <c r="A1516" s="14">
        <v>12313</v>
      </c>
      <c r="B1516" s="14" t="s">
        <v>530</v>
      </c>
      <c r="C1516" s="12" t="s">
        <v>180</v>
      </c>
      <c r="D1516" s="15" t="str">
        <f t="shared" si="23"/>
        <v>Palomar - Coding - TMG</v>
      </c>
      <c r="E1516" s="12" t="s">
        <v>126</v>
      </c>
      <c r="F1516" s="12" t="s">
        <v>237</v>
      </c>
      <c r="G1516" s="12" t="s">
        <v>238</v>
      </c>
      <c r="H1516" s="12" t="s">
        <v>1025</v>
      </c>
      <c r="I1516" s="12" t="s">
        <v>1026</v>
      </c>
    </row>
    <row r="1517" spans="1:9">
      <c r="A1517" s="14">
        <v>12313</v>
      </c>
      <c r="B1517" s="14" t="s">
        <v>530</v>
      </c>
      <c r="C1517" s="12" t="s">
        <v>185</v>
      </c>
      <c r="D1517" s="15" t="str">
        <f t="shared" si="23"/>
        <v>Palomar - Coding - TPS</v>
      </c>
      <c r="E1517" s="12" t="s">
        <v>126</v>
      </c>
      <c r="F1517" s="12" t="s">
        <v>237</v>
      </c>
      <c r="G1517" s="12" t="s">
        <v>238</v>
      </c>
      <c r="H1517" s="12" t="s">
        <v>1025</v>
      </c>
      <c r="I1517" s="12" t="s">
        <v>1026</v>
      </c>
    </row>
    <row r="1518" spans="1:9">
      <c r="A1518" s="14">
        <v>10692</v>
      </c>
      <c r="B1518" s="14" t="s">
        <v>311</v>
      </c>
      <c r="C1518" s="12" t="s">
        <v>431</v>
      </c>
      <c r="D1518" s="15" t="str">
        <f t="shared" si="23"/>
        <v>Paragon Insurance Holdings - AGA</v>
      </c>
      <c r="E1518" s="12" t="s">
        <v>126</v>
      </c>
      <c r="F1518" s="12" t="s">
        <v>163</v>
      </c>
      <c r="G1518" s="12" t="s">
        <v>164</v>
      </c>
      <c r="H1518" s="12" t="s">
        <v>1025</v>
      </c>
      <c r="I1518" s="12" t="s">
        <v>1026</v>
      </c>
    </row>
    <row r="1519" spans="1:9">
      <c r="A1519" s="14">
        <v>10692</v>
      </c>
      <c r="B1519" s="14" t="s">
        <v>311</v>
      </c>
      <c r="C1519" s="12" t="s">
        <v>719</v>
      </c>
      <c r="D1519" s="15" t="str">
        <f t="shared" si="23"/>
        <v>Paragon Insurance Holdings - AGB</v>
      </c>
      <c r="E1519" s="12" t="s">
        <v>126</v>
      </c>
      <c r="F1519" s="12" t="s">
        <v>163</v>
      </c>
      <c r="G1519" s="12" t="s">
        <v>164</v>
      </c>
      <c r="H1519" s="12" t="s">
        <v>1025</v>
      </c>
      <c r="I1519" s="12" t="s">
        <v>1026</v>
      </c>
    </row>
    <row r="1520" spans="1:9">
      <c r="A1520" s="14">
        <v>10692</v>
      </c>
      <c r="B1520" s="14" t="s">
        <v>311</v>
      </c>
      <c r="C1520" s="12" t="s">
        <v>721</v>
      </c>
      <c r="D1520" s="15" t="str">
        <f t="shared" si="23"/>
        <v>Paragon Insurance Holdings - AGC</v>
      </c>
      <c r="E1520" s="12" t="s">
        <v>126</v>
      </c>
      <c r="F1520" s="12" t="s">
        <v>163</v>
      </c>
      <c r="G1520" s="12" t="s">
        <v>164</v>
      </c>
      <c r="H1520" s="12" t="s">
        <v>1025</v>
      </c>
      <c r="I1520" s="12" t="s">
        <v>1026</v>
      </c>
    </row>
    <row r="1521" spans="1:9">
      <c r="A1521" s="14">
        <v>10692</v>
      </c>
      <c r="B1521" s="14" t="s">
        <v>311</v>
      </c>
      <c r="C1521" s="12" t="s">
        <v>492</v>
      </c>
      <c r="D1521" s="15" t="str">
        <f t="shared" si="23"/>
        <v>Paragon Insurance Holdings - AGD</v>
      </c>
      <c r="E1521" s="12" t="s">
        <v>126</v>
      </c>
      <c r="F1521" s="12" t="s">
        <v>163</v>
      </c>
      <c r="G1521" s="12" t="s">
        <v>164</v>
      </c>
      <c r="H1521" s="12" t="s">
        <v>1025</v>
      </c>
      <c r="I1521" s="12" t="s">
        <v>1026</v>
      </c>
    </row>
    <row r="1522" spans="1:9">
      <c r="A1522" s="14">
        <v>10692</v>
      </c>
      <c r="B1522" s="14" t="s">
        <v>311</v>
      </c>
      <c r="C1522" s="12" t="s">
        <v>150</v>
      </c>
      <c r="D1522" s="15" t="str">
        <f t="shared" si="23"/>
        <v>Paragon Insurance Holdings - CCS</v>
      </c>
      <c r="E1522" s="12" t="s">
        <v>126</v>
      </c>
      <c r="F1522" s="12" t="s">
        <v>163</v>
      </c>
      <c r="G1522" s="12" t="s">
        <v>164</v>
      </c>
      <c r="H1522" s="12" t="s">
        <v>1025</v>
      </c>
      <c r="I1522" s="12" t="s">
        <v>1026</v>
      </c>
    </row>
    <row r="1523" spans="1:9">
      <c r="A1523" s="14">
        <v>10692</v>
      </c>
      <c r="B1523" s="14" t="s">
        <v>311</v>
      </c>
      <c r="C1523" s="12" t="s">
        <v>116</v>
      </c>
      <c r="D1523" s="15" t="str">
        <f t="shared" si="23"/>
        <v>Paragon Insurance Holdings - PRD</v>
      </c>
      <c r="E1523" s="12" t="s">
        <v>126</v>
      </c>
      <c r="F1523" s="12" t="s">
        <v>163</v>
      </c>
      <c r="G1523" s="12" t="s">
        <v>164</v>
      </c>
      <c r="H1523" s="12" t="s">
        <v>1025</v>
      </c>
      <c r="I1523" s="12" t="s">
        <v>1026</v>
      </c>
    </row>
    <row r="1524" spans="1:9">
      <c r="A1524" s="14">
        <v>10692</v>
      </c>
      <c r="B1524" s="14" t="s">
        <v>311</v>
      </c>
      <c r="C1524" s="12" t="s">
        <v>180</v>
      </c>
      <c r="D1524" s="15" t="str">
        <f t="shared" si="23"/>
        <v>Paragon Insurance Holdings - TMG</v>
      </c>
      <c r="E1524" s="12" t="s">
        <v>126</v>
      </c>
      <c r="F1524" s="12" t="s">
        <v>163</v>
      </c>
      <c r="G1524" s="12" t="s">
        <v>164</v>
      </c>
      <c r="H1524" s="12" t="s">
        <v>1025</v>
      </c>
      <c r="I1524" s="12" t="s">
        <v>1026</v>
      </c>
    </row>
    <row r="1525" spans="1:9">
      <c r="A1525" s="14">
        <v>96118</v>
      </c>
      <c r="B1525" s="14" t="s">
        <v>554</v>
      </c>
      <c r="C1525" s="12" t="s">
        <v>121</v>
      </c>
      <c r="D1525" s="15" t="str">
        <f t="shared" si="23"/>
        <v>Payroll - F&amp;A</v>
      </c>
      <c r="E1525" s="12" t="s">
        <v>104</v>
      </c>
      <c r="F1525" s="12" t="s">
        <v>554</v>
      </c>
      <c r="G1525" s="12" t="s">
        <v>114</v>
      </c>
      <c r="H1525" s="12" t="s">
        <v>1025</v>
      </c>
      <c r="I1525" s="12" t="s">
        <v>1026</v>
      </c>
    </row>
    <row r="1526" spans="1:9">
      <c r="A1526" s="14">
        <v>96118</v>
      </c>
      <c r="B1526" s="14" t="s">
        <v>554</v>
      </c>
      <c r="C1526" s="12" t="s">
        <v>145</v>
      </c>
      <c r="D1526" s="15" t="str">
        <f t="shared" si="23"/>
        <v>Payroll - SUP</v>
      </c>
      <c r="E1526" s="12" t="s">
        <v>104</v>
      </c>
      <c r="F1526" s="12" t="s">
        <v>554</v>
      </c>
      <c r="G1526" s="12" t="s">
        <v>114</v>
      </c>
      <c r="H1526" s="12" t="s">
        <v>1025</v>
      </c>
      <c r="I1526" s="12" t="s">
        <v>1026</v>
      </c>
    </row>
    <row r="1527" spans="1:9">
      <c r="A1527" s="14">
        <v>95704</v>
      </c>
      <c r="B1527" s="14" t="s">
        <v>1003</v>
      </c>
      <c r="C1527" s="12" t="s">
        <v>145</v>
      </c>
      <c r="D1527" s="15" t="str">
        <f t="shared" si="23"/>
        <v>PCI I &amp; II Projects - SUP</v>
      </c>
      <c r="E1527" s="12" t="s">
        <v>104</v>
      </c>
      <c r="F1527" s="12" t="s">
        <v>263</v>
      </c>
      <c r="G1527" s="12" t="s">
        <v>264</v>
      </c>
      <c r="H1527" s="12" t="s">
        <v>1025</v>
      </c>
      <c r="I1527" s="12" t="s">
        <v>1026</v>
      </c>
    </row>
    <row r="1528" spans="1:9">
      <c r="A1528" s="14">
        <v>12421</v>
      </c>
      <c r="B1528" s="14" t="s">
        <v>545</v>
      </c>
      <c r="C1528" s="12" t="s">
        <v>116</v>
      </c>
      <c r="D1528" s="15" t="str">
        <f t="shared" si="23"/>
        <v>Philips - CT V&amp;V and Simulator - PRD</v>
      </c>
      <c r="E1528" s="12" t="s">
        <v>117</v>
      </c>
      <c r="F1528" s="12" t="s">
        <v>117</v>
      </c>
      <c r="G1528" s="12" t="s">
        <v>117</v>
      </c>
      <c r="H1528" s="12" t="s">
        <v>1025</v>
      </c>
      <c r="I1528" s="12" t="s">
        <v>1026</v>
      </c>
    </row>
    <row r="1529" spans="1:9">
      <c r="A1529" s="14">
        <v>12421</v>
      </c>
      <c r="B1529" s="14" t="s">
        <v>545</v>
      </c>
      <c r="C1529" s="12" t="s">
        <v>172</v>
      </c>
      <c r="D1529" s="15" t="str">
        <f t="shared" si="23"/>
        <v>Philips - CT V&amp;V and Simulator - SME</v>
      </c>
      <c r="E1529" s="12" t="s">
        <v>117</v>
      </c>
      <c r="F1529" s="12" t="s">
        <v>117</v>
      </c>
      <c r="G1529" s="12" t="s">
        <v>117</v>
      </c>
      <c r="H1529" s="12" t="s">
        <v>1025</v>
      </c>
      <c r="I1529" s="12" t="s">
        <v>1026</v>
      </c>
    </row>
    <row r="1530" spans="1:9">
      <c r="A1530" s="14">
        <v>12421</v>
      </c>
      <c r="B1530" s="14" t="s">
        <v>545</v>
      </c>
      <c r="C1530" s="12" t="s">
        <v>145</v>
      </c>
      <c r="D1530" s="15" t="str">
        <f t="shared" si="23"/>
        <v>Philips - CT V&amp;V and Simulator - SUP</v>
      </c>
      <c r="E1530" s="12" t="s">
        <v>117</v>
      </c>
      <c r="F1530" s="12" t="s">
        <v>117</v>
      </c>
      <c r="G1530" s="12" t="s">
        <v>117</v>
      </c>
      <c r="H1530" s="12" t="s">
        <v>1025</v>
      </c>
      <c r="I1530" s="12" t="s">
        <v>1026</v>
      </c>
    </row>
    <row r="1531" spans="1:9">
      <c r="A1531" s="14">
        <v>12421</v>
      </c>
      <c r="B1531" s="14" t="s">
        <v>545</v>
      </c>
      <c r="C1531" s="12" t="s">
        <v>180</v>
      </c>
      <c r="D1531" s="15" t="str">
        <f t="shared" si="23"/>
        <v>Philips - CT V&amp;V and Simulator - TMG</v>
      </c>
      <c r="E1531" s="12" t="s">
        <v>117</v>
      </c>
      <c r="F1531" s="12" t="s">
        <v>117</v>
      </c>
      <c r="G1531" s="12" t="s">
        <v>117</v>
      </c>
      <c r="H1531" s="12" t="s">
        <v>1025</v>
      </c>
      <c r="I1531" s="12" t="s">
        <v>1026</v>
      </c>
    </row>
    <row r="1532" spans="1:9">
      <c r="A1532" s="14">
        <v>12496</v>
      </c>
      <c r="B1532" s="14" t="s">
        <v>564</v>
      </c>
      <c r="C1532" s="12" t="s">
        <v>116</v>
      </c>
      <c r="D1532" s="15" t="str">
        <f t="shared" si="23"/>
        <v>Philips - IAP Consolidation - PRD</v>
      </c>
      <c r="E1532" s="12" t="s">
        <v>117</v>
      </c>
      <c r="F1532" s="12" t="s">
        <v>117</v>
      </c>
      <c r="G1532" s="12" t="s">
        <v>117</v>
      </c>
      <c r="H1532" s="12" t="s">
        <v>1025</v>
      </c>
      <c r="I1532" s="12" t="s">
        <v>1026</v>
      </c>
    </row>
    <row r="1533" spans="1:9">
      <c r="A1533" s="14">
        <v>12561</v>
      </c>
      <c r="B1533" s="14" t="s">
        <v>587</v>
      </c>
      <c r="C1533" s="12" t="s">
        <v>116</v>
      </c>
      <c r="D1533" s="15" t="str">
        <f t="shared" si="23"/>
        <v>Philips-FY23 Growth Opportunit - PRD</v>
      </c>
      <c r="E1533" s="12" t="s">
        <v>117</v>
      </c>
      <c r="F1533" s="12" t="s">
        <v>117</v>
      </c>
      <c r="G1533" s="12" t="s">
        <v>117</v>
      </c>
      <c r="H1533" s="12" t="s">
        <v>1025</v>
      </c>
      <c r="I1533" s="12" t="s">
        <v>1026</v>
      </c>
    </row>
    <row r="1534" spans="1:9">
      <c r="A1534" s="14">
        <v>12619</v>
      </c>
      <c r="B1534" s="14" t="s">
        <v>603</v>
      </c>
      <c r="C1534" s="12" t="s">
        <v>116</v>
      </c>
      <c r="D1534" s="15" t="str">
        <f t="shared" si="23"/>
        <v>Philips-FY24 G. Opportunities - PRD</v>
      </c>
      <c r="E1534" s="12" t="s">
        <v>117</v>
      </c>
      <c r="F1534" s="12" t="s">
        <v>117</v>
      </c>
      <c r="G1534" s="12" t="s">
        <v>117</v>
      </c>
      <c r="H1534" s="12" t="s">
        <v>1025</v>
      </c>
      <c r="I1534" s="12" t="s">
        <v>1026</v>
      </c>
    </row>
    <row r="1535" spans="1:9">
      <c r="A1535" s="14">
        <v>51404</v>
      </c>
      <c r="B1535" s="14" t="s">
        <v>780</v>
      </c>
      <c r="C1535" s="12" t="s">
        <v>116</v>
      </c>
      <c r="D1535" s="15" t="str">
        <f t="shared" si="23"/>
        <v>PikeEnterprise-Cloudtestr-HCM- - PRD</v>
      </c>
      <c r="E1535" s="12" t="s">
        <v>117</v>
      </c>
      <c r="F1535" s="12" t="s">
        <v>117</v>
      </c>
      <c r="G1535" s="12" t="s">
        <v>117</v>
      </c>
      <c r="H1535" s="12" t="s">
        <v>1025</v>
      </c>
      <c r="I1535" s="12" t="s">
        <v>1026</v>
      </c>
    </row>
    <row r="1536" spans="1:9">
      <c r="A1536" s="14">
        <v>93680</v>
      </c>
      <c r="B1536" s="14" t="s">
        <v>825</v>
      </c>
      <c r="C1536" s="12" t="s">
        <v>504</v>
      </c>
      <c r="D1536" s="15" t="str">
        <f t="shared" si="23"/>
        <v>Platform Application&amp;Automate - CH AGT</v>
      </c>
      <c r="E1536" s="12" t="s">
        <v>104</v>
      </c>
      <c r="F1536" s="12" t="s">
        <v>117</v>
      </c>
      <c r="G1536" s="12" t="s">
        <v>117</v>
      </c>
      <c r="H1536" s="12" t="s">
        <v>1025</v>
      </c>
      <c r="I1536" s="12" t="s">
        <v>1026</v>
      </c>
    </row>
    <row r="1537" spans="1:9">
      <c r="A1537" s="14">
        <v>93680</v>
      </c>
      <c r="B1537" s="14" t="s">
        <v>825</v>
      </c>
      <c r="C1537" s="12" t="s">
        <v>218</v>
      </c>
      <c r="D1537" s="15" t="str">
        <f t="shared" si="23"/>
        <v>Platform Application&amp;Automate - EMAIL</v>
      </c>
      <c r="E1537" s="12" t="s">
        <v>104</v>
      </c>
      <c r="F1537" s="12" t="s">
        <v>117</v>
      </c>
      <c r="G1537" s="12" t="s">
        <v>117</v>
      </c>
      <c r="H1537" s="12" t="s">
        <v>1025</v>
      </c>
      <c r="I1537" s="12" t="s">
        <v>1026</v>
      </c>
    </row>
    <row r="1538" spans="1:9">
      <c r="A1538" s="14">
        <v>93680</v>
      </c>
      <c r="B1538" s="14" t="s">
        <v>825</v>
      </c>
      <c r="C1538" s="12" t="s">
        <v>262</v>
      </c>
      <c r="D1538" s="15" t="str">
        <f t="shared" ref="D1538:D1601" si="24">B1538&amp;" - "&amp;C1538</f>
        <v>Platform Application&amp;Automate - GSI</v>
      </c>
      <c r="E1538" s="12" t="s">
        <v>104</v>
      </c>
      <c r="F1538" s="12" t="s">
        <v>117</v>
      </c>
      <c r="G1538" s="12" t="s">
        <v>117</v>
      </c>
      <c r="H1538" s="12" t="s">
        <v>1025</v>
      </c>
      <c r="I1538" s="12" t="s">
        <v>1026</v>
      </c>
    </row>
    <row r="1539" spans="1:9">
      <c r="A1539" s="14">
        <v>93680</v>
      </c>
      <c r="B1539" s="14" t="s">
        <v>825</v>
      </c>
      <c r="C1539" s="12" t="s">
        <v>129</v>
      </c>
      <c r="D1539" s="15" t="str">
        <f t="shared" si="24"/>
        <v>Platform Application&amp;Automate - MGT</v>
      </c>
      <c r="E1539" s="12" t="s">
        <v>104</v>
      </c>
      <c r="F1539" s="12" t="s">
        <v>117</v>
      </c>
      <c r="G1539" s="12" t="s">
        <v>117</v>
      </c>
      <c r="H1539" s="12" t="s">
        <v>1025</v>
      </c>
      <c r="I1539" s="12" t="s">
        <v>1026</v>
      </c>
    </row>
    <row r="1540" spans="1:9">
      <c r="A1540" s="14">
        <v>93680</v>
      </c>
      <c r="B1540" s="14" t="s">
        <v>825</v>
      </c>
      <c r="C1540" s="12" t="s">
        <v>172</v>
      </c>
      <c r="D1540" s="15" t="str">
        <f t="shared" si="24"/>
        <v>Platform Application&amp;Automate - SME</v>
      </c>
      <c r="E1540" s="12" t="s">
        <v>104</v>
      </c>
      <c r="F1540" s="12" t="s">
        <v>117</v>
      </c>
      <c r="G1540" s="12" t="s">
        <v>117</v>
      </c>
      <c r="H1540" s="12" t="s">
        <v>1025</v>
      </c>
      <c r="I1540" s="12" t="s">
        <v>1026</v>
      </c>
    </row>
    <row r="1541" spans="1:9">
      <c r="A1541" s="14">
        <v>93680</v>
      </c>
      <c r="B1541" s="14" t="s">
        <v>825</v>
      </c>
      <c r="C1541" s="12" t="s">
        <v>145</v>
      </c>
      <c r="D1541" s="15" t="str">
        <f t="shared" si="24"/>
        <v>Platform Application&amp;Automate - SUP</v>
      </c>
      <c r="E1541" s="12" t="s">
        <v>104</v>
      </c>
      <c r="F1541" s="12" t="s">
        <v>117</v>
      </c>
      <c r="G1541" s="12" t="s">
        <v>117</v>
      </c>
      <c r="H1541" s="12" t="s">
        <v>1025</v>
      </c>
      <c r="I1541" s="12" t="s">
        <v>1026</v>
      </c>
    </row>
    <row r="1542" spans="1:9">
      <c r="A1542" s="14">
        <v>93680</v>
      </c>
      <c r="B1542" s="14" t="s">
        <v>825</v>
      </c>
      <c r="C1542" s="12" t="s">
        <v>198</v>
      </c>
      <c r="D1542" s="15" t="str">
        <f t="shared" si="24"/>
        <v>Platform Application&amp;Automate - TEC</v>
      </c>
      <c r="E1542" s="12" t="s">
        <v>104</v>
      </c>
      <c r="F1542" s="12" t="s">
        <v>117</v>
      </c>
      <c r="G1542" s="12" t="s">
        <v>117</v>
      </c>
      <c r="H1542" s="12" t="s">
        <v>1025</v>
      </c>
      <c r="I1542" s="12" t="s">
        <v>1026</v>
      </c>
    </row>
    <row r="1543" spans="1:9">
      <c r="A1543" s="14">
        <v>93604</v>
      </c>
      <c r="B1543" s="14" t="s">
        <v>834</v>
      </c>
      <c r="C1543" s="12" t="s">
        <v>835</v>
      </c>
      <c r="D1543" s="15" t="str">
        <f t="shared" si="24"/>
        <v>Platform NextGen - BTG</v>
      </c>
      <c r="E1543" s="12" t="s">
        <v>104</v>
      </c>
      <c r="F1543" s="12" t="s">
        <v>117</v>
      </c>
      <c r="G1543" s="12" t="s">
        <v>117</v>
      </c>
      <c r="H1543" s="12" t="s">
        <v>1025</v>
      </c>
      <c r="I1543" s="12" t="s">
        <v>1026</v>
      </c>
    </row>
    <row r="1544" spans="1:9">
      <c r="A1544" s="14">
        <v>93604</v>
      </c>
      <c r="B1544" s="14" t="s">
        <v>834</v>
      </c>
      <c r="C1544" s="12" t="s">
        <v>262</v>
      </c>
      <c r="D1544" s="15" t="str">
        <f t="shared" si="24"/>
        <v>Platform NextGen - GSI</v>
      </c>
      <c r="E1544" s="12" t="s">
        <v>104</v>
      </c>
      <c r="F1544" s="12" t="s">
        <v>117</v>
      </c>
      <c r="G1544" s="12" t="s">
        <v>117</v>
      </c>
      <c r="H1544" s="12" t="s">
        <v>1025</v>
      </c>
      <c r="I1544" s="12" t="s">
        <v>1026</v>
      </c>
    </row>
    <row r="1545" spans="1:9">
      <c r="A1545" s="14">
        <v>93604</v>
      </c>
      <c r="B1545" s="14" t="s">
        <v>834</v>
      </c>
      <c r="C1545" s="12" t="s">
        <v>250</v>
      </c>
      <c r="D1545" s="15" t="str">
        <f t="shared" si="24"/>
        <v>Platform NextGen - LED</v>
      </c>
      <c r="E1545" s="12" t="s">
        <v>104</v>
      </c>
      <c r="F1545" s="12" t="s">
        <v>117</v>
      </c>
      <c r="G1545" s="12" t="s">
        <v>117</v>
      </c>
      <c r="H1545" s="12" t="s">
        <v>1025</v>
      </c>
      <c r="I1545" s="12" t="s">
        <v>1026</v>
      </c>
    </row>
    <row r="1546" spans="1:9">
      <c r="A1546" s="14">
        <v>93604</v>
      </c>
      <c r="B1546" s="14" t="s">
        <v>834</v>
      </c>
      <c r="C1546" s="12" t="s">
        <v>129</v>
      </c>
      <c r="D1546" s="15" t="str">
        <f t="shared" si="24"/>
        <v>Platform NextGen - MGT</v>
      </c>
      <c r="E1546" s="12" t="s">
        <v>104</v>
      </c>
      <c r="F1546" s="12" t="s">
        <v>117</v>
      </c>
      <c r="G1546" s="12" t="s">
        <v>117</v>
      </c>
      <c r="H1546" s="12" t="s">
        <v>1025</v>
      </c>
      <c r="I1546" s="12" t="s">
        <v>1026</v>
      </c>
    </row>
    <row r="1547" spans="1:9">
      <c r="A1547" s="14">
        <v>93604</v>
      </c>
      <c r="B1547" s="14" t="s">
        <v>834</v>
      </c>
      <c r="C1547" s="12" t="s">
        <v>139</v>
      </c>
      <c r="D1547" s="15" t="str">
        <f t="shared" si="24"/>
        <v>Platform NextGen - SMGT</v>
      </c>
      <c r="E1547" s="12" t="s">
        <v>104</v>
      </c>
      <c r="F1547" s="12" t="s">
        <v>117</v>
      </c>
      <c r="G1547" s="12" t="s">
        <v>117</v>
      </c>
      <c r="H1547" s="12" t="s">
        <v>1025</v>
      </c>
      <c r="I1547" s="12" t="s">
        <v>1026</v>
      </c>
    </row>
    <row r="1548" spans="1:9">
      <c r="A1548" s="14">
        <v>93604</v>
      </c>
      <c r="B1548" s="14" t="s">
        <v>834</v>
      </c>
      <c r="C1548" s="12" t="s">
        <v>145</v>
      </c>
      <c r="D1548" s="15" t="str">
        <f t="shared" si="24"/>
        <v>Platform NextGen - SUP</v>
      </c>
      <c r="E1548" s="12" t="s">
        <v>104</v>
      </c>
      <c r="F1548" s="12" t="s">
        <v>117</v>
      </c>
      <c r="G1548" s="12" t="s">
        <v>117</v>
      </c>
      <c r="H1548" s="12" t="s">
        <v>1025</v>
      </c>
      <c r="I1548" s="12" t="s">
        <v>1026</v>
      </c>
    </row>
    <row r="1549" spans="1:9">
      <c r="A1549" s="14">
        <v>93604</v>
      </c>
      <c r="B1549" s="14" t="s">
        <v>834</v>
      </c>
      <c r="C1549" s="12" t="s">
        <v>196</v>
      </c>
      <c r="D1549" s="15" t="str">
        <f t="shared" si="24"/>
        <v>Platform NextGen - SUT</v>
      </c>
      <c r="E1549" s="12" t="s">
        <v>104</v>
      </c>
      <c r="F1549" s="12" t="s">
        <v>117</v>
      </c>
      <c r="G1549" s="12" t="s">
        <v>117</v>
      </c>
      <c r="H1549" s="12" t="s">
        <v>1025</v>
      </c>
      <c r="I1549" s="12" t="s">
        <v>1026</v>
      </c>
    </row>
    <row r="1550" spans="1:9">
      <c r="A1550" s="14">
        <v>89012</v>
      </c>
      <c r="B1550" s="14" t="s">
        <v>843</v>
      </c>
      <c r="C1550" s="12" t="s">
        <v>116</v>
      </c>
      <c r="D1550" s="15" t="str">
        <f t="shared" si="24"/>
        <v>Platform Others - PRD</v>
      </c>
      <c r="E1550" s="12" t="s">
        <v>117</v>
      </c>
      <c r="F1550" s="12" t="s">
        <v>117</v>
      </c>
      <c r="G1550" s="12" t="s">
        <v>117</v>
      </c>
      <c r="H1550" s="12" t="s">
        <v>1025</v>
      </c>
      <c r="I1550" s="12" t="s">
        <v>1026</v>
      </c>
    </row>
    <row r="1551" spans="1:9">
      <c r="A1551" s="14">
        <v>93631</v>
      </c>
      <c r="B1551" s="14" t="s">
        <v>967</v>
      </c>
      <c r="C1551" s="12" t="s">
        <v>198</v>
      </c>
      <c r="D1551" s="15" t="str">
        <f t="shared" si="24"/>
        <v>Platform Product Managers - TEC</v>
      </c>
      <c r="E1551" s="12" t="s">
        <v>117</v>
      </c>
      <c r="F1551" s="12" t="s">
        <v>117</v>
      </c>
      <c r="G1551" s="12" t="s">
        <v>117</v>
      </c>
      <c r="H1551" s="12" t="s">
        <v>1025</v>
      </c>
      <c r="I1551" s="12" t="s">
        <v>1026</v>
      </c>
    </row>
    <row r="1552" spans="1:9">
      <c r="A1552" s="14">
        <v>10759</v>
      </c>
      <c r="B1552" s="14" t="s">
        <v>362</v>
      </c>
      <c r="C1552" s="12" t="s">
        <v>145</v>
      </c>
      <c r="D1552" s="15" t="str">
        <f t="shared" si="24"/>
        <v>Plixer- Network Testing - SUP</v>
      </c>
      <c r="E1552" s="12" t="s">
        <v>117</v>
      </c>
      <c r="F1552" s="12" t="s">
        <v>117</v>
      </c>
      <c r="G1552" s="12" t="s">
        <v>117</v>
      </c>
      <c r="H1552" s="12" t="s">
        <v>1025</v>
      </c>
      <c r="I1552" s="12" t="s">
        <v>1026</v>
      </c>
    </row>
    <row r="1553" spans="1:9">
      <c r="A1553" s="14">
        <v>10759</v>
      </c>
      <c r="B1553" s="14" t="s">
        <v>362</v>
      </c>
      <c r="C1553" s="12" t="s">
        <v>336</v>
      </c>
      <c r="D1553" s="15" t="str">
        <f t="shared" si="24"/>
        <v>Plixer- Network Testing - TSL</v>
      </c>
      <c r="E1553" s="12" t="s">
        <v>117</v>
      </c>
      <c r="F1553" s="12" t="s">
        <v>117</v>
      </c>
      <c r="G1553" s="12" t="s">
        <v>117</v>
      </c>
      <c r="H1553" s="12" t="s">
        <v>1025</v>
      </c>
      <c r="I1553" s="12" t="s">
        <v>1026</v>
      </c>
    </row>
    <row r="1554" spans="1:9">
      <c r="A1554" s="14">
        <v>10759</v>
      </c>
      <c r="B1554" s="14" t="s">
        <v>362</v>
      </c>
      <c r="C1554" s="12" t="s">
        <v>902</v>
      </c>
      <c r="D1554" s="15" t="str">
        <f t="shared" si="24"/>
        <v>Plixer- Network Testing - TSM</v>
      </c>
      <c r="E1554" s="12" t="s">
        <v>117</v>
      </c>
      <c r="F1554" s="12" t="s">
        <v>117</v>
      </c>
      <c r="G1554" s="12" t="s">
        <v>117</v>
      </c>
      <c r="H1554" s="12" t="s">
        <v>1025</v>
      </c>
      <c r="I1554" s="12" t="s">
        <v>1026</v>
      </c>
    </row>
    <row r="1555" spans="1:9">
      <c r="A1555" s="14">
        <v>95502</v>
      </c>
      <c r="B1555" s="14" t="s">
        <v>846</v>
      </c>
      <c r="C1555" s="12" t="s">
        <v>415</v>
      </c>
      <c r="D1555" s="15" t="str">
        <f t="shared" si="24"/>
        <v>PMO - GTI</v>
      </c>
      <c r="E1555" s="12" t="s">
        <v>104</v>
      </c>
      <c r="F1555" s="12" t="s">
        <v>263</v>
      </c>
      <c r="G1555" s="12" t="s">
        <v>264</v>
      </c>
      <c r="H1555" s="12" t="s">
        <v>1025</v>
      </c>
      <c r="I1555" s="12" t="s">
        <v>1026</v>
      </c>
    </row>
    <row r="1556" spans="1:9">
      <c r="A1556" s="14">
        <v>95502</v>
      </c>
      <c r="B1556" s="14" t="s">
        <v>846</v>
      </c>
      <c r="C1556" s="12" t="s">
        <v>129</v>
      </c>
      <c r="D1556" s="15" t="str">
        <f t="shared" si="24"/>
        <v>PMO - MGT</v>
      </c>
      <c r="E1556" s="12" t="s">
        <v>104</v>
      </c>
      <c r="F1556" s="12" t="s">
        <v>263</v>
      </c>
      <c r="G1556" s="12" t="s">
        <v>264</v>
      </c>
      <c r="H1556" s="12" t="s">
        <v>1025</v>
      </c>
      <c r="I1556" s="12" t="s">
        <v>1026</v>
      </c>
    </row>
    <row r="1557" spans="1:9">
      <c r="A1557" s="14">
        <v>95502</v>
      </c>
      <c r="B1557" s="14" t="s">
        <v>846</v>
      </c>
      <c r="C1557" s="12" t="s">
        <v>139</v>
      </c>
      <c r="D1557" s="15" t="str">
        <f t="shared" si="24"/>
        <v>PMO - SMGT</v>
      </c>
      <c r="E1557" s="12" t="s">
        <v>104</v>
      </c>
      <c r="F1557" s="12" t="s">
        <v>263</v>
      </c>
      <c r="G1557" s="12" t="s">
        <v>264</v>
      </c>
      <c r="H1557" s="12" t="s">
        <v>1025</v>
      </c>
      <c r="I1557" s="12" t="s">
        <v>1026</v>
      </c>
    </row>
    <row r="1558" spans="1:9">
      <c r="A1558" s="14">
        <v>95502</v>
      </c>
      <c r="B1558" s="14" t="s">
        <v>846</v>
      </c>
      <c r="C1558" s="12" t="s">
        <v>145</v>
      </c>
      <c r="D1558" s="15" t="str">
        <f t="shared" si="24"/>
        <v>PMO - SUP</v>
      </c>
      <c r="E1558" s="12" t="s">
        <v>104</v>
      </c>
      <c r="F1558" s="12" t="s">
        <v>263</v>
      </c>
      <c r="G1558" s="12" t="s">
        <v>264</v>
      </c>
      <c r="H1558" s="12" t="s">
        <v>1025</v>
      </c>
      <c r="I1558" s="12" t="s">
        <v>1026</v>
      </c>
    </row>
    <row r="1559" spans="1:9">
      <c r="A1559" s="14">
        <v>10793</v>
      </c>
      <c r="B1559" s="14" t="s">
        <v>386</v>
      </c>
      <c r="C1559" s="12" t="s">
        <v>185</v>
      </c>
      <c r="D1559" s="15" t="str">
        <f t="shared" si="24"/>
        <v>Porter Airlines 1 - TPS</v>
      </c>
      <c r="E1559" s="12" t="s">
        <v>126</v>
      </c>
      <c r="F1559" s="12" t="s">
        <v>163</v>
      </c>
      <c r="G1559" s="12" t="s">
        <v>164</v>
      </c>
      <c r="H1559" s="12" t="s">
        <v>1025</v>
      </c>
      <c r="I1559" s="12" t="s">
        <v>1026</v>
      </c>
    </row>
    <row r="1560" spans="1:9">
      <c r="A1560" s="14">
        <v>88131</v>
      </c>
      <c r="B1560" s="14" t="s">
        <v>851</v>
      </c>
      <c r="C1560" s="12" t="s">
        <v>129</v>
      </c>
      <c r="D1560" s="15" t="str">
        <f t="shared" si="24"/>
        <v>PP - Operational Mgmt (Coding) - MGT</v>
      </c>
      <c r="E1560" s="12" t="s">
        <v>126</v>
      </c>
      <c r="F1560" s="12" t="s">
        <v>237</v>
      </c>
      <c r="G1560" s="12" t="s">
        <v>238</v>
      </c>
      <c r="H1560" s="12" t="s">
        <v>1025</v>
      </c>
      <c r="I1560" s="12" t="s">
        <v>1026</v>
      </c>
    </row>
    <row r="1561" spans="1:9">
      <c r="A1561" s="14">
        <v>88131</v>
      </c>
      <c r="B1561" s="14" t="s">
        <v>851</v>
      </c>
      <c r="C1561" s="12" t="s">
        <v>139</v>
      </c>
      <c r="D1561" s="15" t="str">
        <f t="shared" si="24"/>
        <v>PP - Operational Mgmt (Coding) - SMGT</v>
      </c>
      <c r="E1561" s="12" t="s">
        <v>126</v>
      </c>
      <c r="F1561" s="12" t="s">
        <v>237</v>
      </c>
      <c r="G1561" s="12" t="s">
        <v>238</v>
      </c>
      <c r="H1561" s="12" t="s">
        <v>1025</v>
      </c>
      <c r="I1561" s="12" t="s">
        <v>1026</v>
      </c>
    </row>
    <row r="1562" spans="1:9">
      <c r="A1562" s="14">
        <v>88131</v>
      </c>
      <c r="B1562" s="14" t="s">
        <v>851</v>
      </c>
      <c r="C1562" s="12" t="s">
        <v>145</v>
      </c>
      <c r="D1562" s="15" t="str">
        <f t="shared" si="24"/>
        <v>PP - Operational Mgmt (Coding) - SUP</v>
      </c>
      <c r="E1562" s="12" t="s">
        <v>126</v>
      </c>
      <c r="F1562" s="12" t="s">
        <v>237</v>
      </c>
      <c r="G1562" s="12" t="s">
        <v>238</v>
      </c>
      <c r="H1562" s="12" t="s">
        <v>1025</v>
      </c>
      <c r="I1562" s="12" t="s">
        <v>1026</v>
      </c>
    </row>
    <row r="1563" spans="1:9">
      <c r="A1563" s="14">
        <v>88130</v>
      </c>
      <c r="B1563" s="14" t="s">
        <v>855</v>
      </c>
      <c r="C1563" s="12" t="s">
        <v>145</v>
      </c>
      <c r="D1563" s="15" t="str">
        <f t="shared" si="24"/>
        <v>PP - Operational Mgmt (RCMS) - SUP</v>
      </c>
      <c r="E1563" s="12" t="s">
        <v>126</v>
      </c>
      <c r="F1563" s="12" t="s">
        <v>163</v>
      </c>
      <c r="G1563" s="12" t="s">
        <v>164</v>
      </c>
      <c r="H1563" s="12" t="s">
        <v>1025</v>
      </c>
      <c r="I1563" s="12" t="s">
        <v>1026</v>
      </c>
    </row>
    <row r="1564" spans="1:9">
      <c r="A1564" s="14">
        <v>97312</v>
      </c>
      <c r="B1564" s="14" t="s">
        <v>857</v>
      </c>
      <c r="C1564" s="12" t="s">
        <v>858</v>
      </c>
      <c r="D1564" s="15" t="str">
        <f t="shared" si="24"/>
        <v>PP- Support Training RCMS - CLS</v>
      </c>
      <c r="E1564" s="12" t="s">
        <v>104</v>
      </c>
      <c r="F1564" s="12" t="s">
        <v>204</v>
      </c>
      <c r="G1564" s="12" t="s">
        <v>205</v>
      </c>
      <c r="H1564" s="12" t="s">
        <v>1025</v>
      </c>
      <c r="I1564" s="12" t="s">
        <v>1026</v>
      </c>
    </row>
    <row r="1565" spans="1:9">
      <c r="A1565" s="14">
        <v>97312</v>
      </c>
      <c r="B1565" s="14" t="s">
        <v>857</v>
      </c>
      <c r="C1565" s="12" t="s">
        <v>172</v>
      </c>
      <c r="D1565" s="15" t="str">
        <f t="shared" si="24"/>
        <v>PP- Support Training RCMS - SME</v>
      </c>
      <c r="E1565" s="12" t="s">
        <v>104</v>
      </c>
      <c r="F1565" s="12" t="s">
        <v>204</v>
      </c>
      <c r="G1565" s="12" t="s">
        <v>205</v>
      </c>
      <c r="H1565" s="12" t="s">
        <v>1025</v>
      </c>
      <c r="I1565" s="12" t="s">
        <v>1026</v>
      </c>
    </row>
    <row r="1566" spans="1:9">
      <c r="A1566" s="14">
        <v>97312</v>
      </c>
      <c r="B1566" s="14" t="s">
        <v>857</v>
      </c>
      <c r="C1566" s="12" t="s">
        <v>145</v>
      </c>
      <c r="D1566" s="15" t="str">
        <f t="shared" si="24"/>
        <v>PP- Support Training RCMS - SUP</v>
      </c>
      <c r="E1566" s="12" t="s">
        <v>104</v>
      </c>
      <c r="F1566" s="12" t="s">
        <v>204</v>
      </c>
      <c r="G1566" s="12" t="s">
        <v>205</v>
      </c>
      <c r="H1566" s="12" t="s">
        <v>1025</v>
      </c>
      <c r="I1566" s="12" t="s">
        <v>1026</v>
      </c>
    </row>
    <row r="1567" spans="1:9">
      <c r="A1567" s="14">
        <v>97312</v>
      </c>
      <c r="B1567" s="14" t="s">
        <v>857</v>
      </c>
      <c r="C1567" s="12" t="s">
        <v>185</v>
      </c>
      <c r="D1567" s="15" t="str">
        <f t="shared" si="24"/>
        <v>PP- Support Training RCMS - TPS</v>
      </c>
      <c r="E1567" s="12" t="s">
        <v>104</v>
      </c>
      <c r="F1567" s="12" t="s">
        <v>204</v>
      </c>
      <c r="G1567" s="12" t="s">
        <v>205</v>
      </c>
      <c r="H1567" s="12" t="s">
        <v>1025</v>
      </c>
      <c r="I1567" s="12" t="s">
        <v>1026</v>
      </c>
    </row>
    <row r="1568" spans="1:9">
      <c r="A1568" s="14">
        <v>97312</v>
      </c>
      <c r="B1568" s="14" t="s">
        <v>857</v>
      </c>
      <c r="C1568" s="12" t="s">
        <v>863</v>
      </c>
      <c r="D1568" s="15" t="str">
        <f t="shared" si="24"/>
        <v>PP- Support Training RCMS - TRA</v>
      </c>
      <c r="E1568" s="12" t="s">
        <v>104</v>
      </c>
      <c r="F1568" s="12" t="s">
        <v>204</v>
      </c>
      <c r="G1568" s="12" t="s">
        <v>205</v>
      </c>
      <c r="H1568" s="12" t="s">
        <v>1025</v>
      </c>
      <c r="I1568" s="12" t="s">
        <v>1026</v>
      </c>
    </row>
    <row r="1569" spans="1:9">
      <c r="A1569" s="14">
        <v>97312</v>
      </c>
      <c r="B1569" s="14" t="s">
        <v>857</v>
      </c>
      <c r="C1569" s="12" t="s">
        <v>203</v>
      </c>
      <c r="D1569" s="15" t="str">
        <f t="shared" si="24"/>
        <v>PP- Support Training RCMS - TRG</v>
      </c>
      <c r="E1569" s="12" t="s">
        <v>104</v>
      </c>
      <c r="F1569" s="12" t="s">
        <v>204</v>
      </c>
      <c r="G1569" s="12" t="s">
        <v>205</v>
      </c>
      <c r="H1569" s="12" t="s">
        <v>1025</v>
      </c>
      <c r="I1569" s="12" t="s">
        <v>1026</v>
      </c>
    </row>
    <row r="1570" spans="1:9">
      <c r="A1570" s="14">
        <v>97312</v>
      </c>
      <c r="B1570" s="14" t="s">
        <v>857</v>
      </c>
      <c r="C1570" s="12" t="s">
        <v>208</v>
      </c>
      <c r="D1570" s="15" t="str">
        <f t="shared" si="24"/>
        <v>PP- Support Training RCMS - TTR</v>
      </c>
      <c r="E1570" s="12" t="s">
        <v>104</v>
      </c>
      <c r="F1570" s="12" t="s">
        <v>204</v>
      </c>
      <c r="G1570" s="12" t="s">
        <v>205</v>
      </c>
      <c r="H1570" s="12" t="s">
        <v>1025</v>
      </c>
      <c r="I1570" s="12" t="s">
        <v>1026</v>
      </c>
    </row>
    <row r="1571" spans="1:9">
      <c r="A1571" s="14">
        <v>88117</v>
      </c>
      <c r="B1571" s="14" t="s">
        <v>868</v>
      </c>
      <c r="C1571" s="12" t="s">
        <v>230</v>
      </c>
      <c r="D1571" s="15" t="str">
        <f t="shared" si="24"/>
        <v>PP-Coding_Bench - PRSP</v>
      </c>
      <c r="E1571" s="12" t="s">
        <v>126</v>
      </c>
      <c r="F1571" s="12" t="s">
        <v>237</v>
      </c>
      <c r="G1571" s="12" t="s">
        <v>238</v>
      </c>
      <c r="H1571" s="12" t="s">
        <v>1025</v>
      </c>
      <c r="I1571" s="12" t="s">
        <v>1026</v>
      </c>
    </row>
    <row r="1572" spans="1:9">
      <c r="A1572" s="14">
        <v>88117</v>
      </c>
      <c r="B1572" s="14" t="s">
        <v>868</v>
      </c>
      <c r="C1572" s="12" t="s">
        <v>180</v>
      </c>
      <c r="D1572" s="15" t="str">
        <f t="shared" si="24"/>
        <v>PP-Coding_Bench - TMG</v>
      </c>
      <c r="E1572" s="12" t="s">
        <v>126</v>
      </c>
      <c r="F1572" s="12" t="s">
        <v>237</v>
      </c>
      <c r="G1572" s="12" t="s">
        <v>238</v>
      </c>
      <c r="H1572" s="12" t="s">
        <v>1025</v>
      </c>
      <c r="I1572" s="12" t="s">
        <v>1026</v>
      </c>
    </row>
    <row r="1573" spans="1:9">
      <c r="A1573" s="14">
        <v>88117</v>
      </c>
      <c r="B1573" s="14" t="s">
        <v>868</v>
      </c>
      <c r="C1573" s="12" t="s">
        <v>185</v>
      </c>
      <c r="D1573" s="15" t="str">
        <f t="shared" si="24"/>
        <v>PP-Coding_Bench - TPS</v>
      </c>
      <c r="E1573" s="12" t="s">
        <v>126</v>
      </c>
      <c r="F1573" s="12" t="s">
        <v>237</v>
      </c>
      <c r="G1573" s="12" t="s">
        <v>238</v>
      </c>
      <c r="H1573" s="12" t="s">
        <v>1025</v>
      </c>
      <c r="I1573" s="12" t="s">
        <v>1026</v>
      </c>
    </row>
    <row r="1574" spans="1:9">
      <c r="A1574" s="14">
        <v>88129</v>
      </c>
      <c r="B1574" s="14" t="s">
        <v>874</v>
      </c>
      <c r="C1574" s="12" t="s">
        <v>116</v>
      </c>
      <c r="D1574" s="15" t="str">
        <f t="shared" si="24"/>
        <v>PP-RCMS_Bench - NFB/Logo - PRD</v>
      </c>
      <c r="E1574" s="12" t="s">
        <v>126</v>
      </c>
      <c r="F1574" s="12" t="s">
        <v>163</v>
      </c>
      <c r="G1574" s="12" t="s">
        <v>164</v>
      </c>
      <c r="H1574" s="12" t="s">
        <v>1025</v>
      </c>
      <c r="I1574" s="12" t="s">
        <v>1026</v>
      </c>
    </row>
    <row r="1575" spans="1:9">
      <c r="A1575" s="14">
        <v>97311</v>
      </c>
      <c r="B1575" s="14" t="s">
        <v>879</v>
      </c>
      <c r="C1575" s="12" t="s">
        <v>145</v>
      </c>
      <c r="D1575" s="15" t="str">
        <f t="shared" si="24"/>
        <v>PP-Support Training Coding - SUP</v>
      </c>
      <c r="E1575" s="12" t="s">
        <v>104</v>
      </c>
      <c r="F1575" s="12" t="s">
        <v>237</v>
      </c>
      <c r="G1575" s="12" t="s">
        <v>238</v>
      </c>
      <c r="H1575" s="12" t="s">
        <v>1025</v>
      </c>
      <c r="I1575" s="12" t="s">
        <v>1026</v>
      </c>
    </row>
    <row r="1576" spans="1:9">
      <c r="A1576" s="14">
        <v>97121</v>
      </c>
      <c r="B1576" s="14" t="s">
        <v>883</v>
      </c>
      <c r="C1576" s="12" t="s">
        <v>121</v>
      </c>
      <c r="D1576" s="15" t="str">
        <f t="shared" si="24"/>
        <v>Project 80 - F&amp;A</v>
      </c>
      <c r="E1576" s="12" t="s">
        <v>126</v>
      </c>
      <c r="F1576" s="12" t="s">
        <v>122</v>
      </c>
      <c r="G1576" s="12" t="s">
        <v>114</v>
      </c>
      <c r="H1576" s="12" t="s">
        <v>1025</v>
      </c>
      <c r="I1576" s="12" t="s">
        <v>1026</v>
      </c>
    </row>
    <row r="1577" spans="1:9">
      <c r="A1577" s="14">
        <v>97121</v>
      </c>
      <c r="B1577" s="14" t="s">
        <v>883</v>
      </c>
      <c r="C1577" s="12" t="s">
        <v>556</v>
      </c>
      <c r="D1577" s="15" t="str">
        <f t="shared" si="24"/>
        <v>Project 80 - HRD</v>
      </c>
      <c r="E1577" s="12" t="s">
        <v>126</v>
      </c>
      <c r="F1577" s="12" t="s">
        <v>410</v>
      </c>
      <c r="G1577" s="12" t="s">
        <v>114</v>
      </c>
      <c r="H1577" s="12" t="s">
        <v>1025</v>
      </c>
      <c r="I1577" s="12" t="s">
        <v>1026</v>
      </c>
    </row>
    <row r="1578" spans="1:9">
      <c r="A1578" s="14">
        <v>97121</v>
      </c>
      <c r="B1578" s="14" t="s">
        <v>883</v>
      </c>
      <c r="C1578" s="12" t="s">
        <v>145</v>
      </c>
      <c r="D1578" s="15" t="str">
        <f t="shared" si="24"/>
        <v>Project 80 - SUP</v>
      </c>
      <c r="E1578" s="12" t="s">
        <v>126</v>
      </c>
      <c r="F1578" s="12" t="s">
        <v>410</v>
      </c>
      <c r="G1578" s="12" t="s">
        <v>114</v>
      </c>
      <c r="H1578" s="12" t="s">
        <v>1025</v>
      </c>
      <c r="I1578" s="12" t="s">
        <v>1026</v>
      </c>
    </row>
    <row r="1579" spans="1:9">
      <c r="A1579" s="14">
        <v>20718</v>
      </c>
      <c r="B1579" s="14" t="s">
        <v>644</v>
      </c>
      <c r="C1579" s="12" t="s">
        <v>185</v>
      </c>
      <c r="D1579" s="15" t="str">
        <f t="shared" si="24"/>
        <v>Protective CXAT Expansion - TPS</v>
      </c>
      <c r="E1579" s="12" t="s">
        <v>126</v>
      </c>
      <c r="F1579" s="12" t="s">
        <v>163</v>
      </c>
      <c r="G1579" s="12" t="s">
        <v>164</v>
      </c>
      <c r="H1579" s="12" t="s">
        <v>1025</v>
      </c>
      <c r="I1579" s="12" t="s">
        <v>1026</v>
      </c>
    </row>
    <row r="1580" spans="1:9">
      <c r="A1580" s="14">
        <v>10775</v>
      </c>
      <c r="B1580" s="14" t="s">
        <v>375</v>
      </c>
      <c r="C1580" s="12" t="s">
        <v>133</v>
      </c>
      <c r="D1580" s="15" t="str">
        <f t="shared" si="24"/>
        <v>Protective Life - AMG</v>
      </c>
      <c r="E1580" s="12" t="s">
        <v>126</v>
      </c>
      <c r="F1580" s="12" t="s">
        <v>163</v>
      </c>
      <c r="G1580" s="12" t="s">
        <v>164</v>
      </c>
      <c r="H1580" s="12" t="s">
        <v>1025</v>
      </c>
      <c r="I1580" s="12" t="s">
        <v>1026</v>
      </c>
    </row>
    <row r="1581" spans="1:9">
      <c r="A1581" s="14">
        <v>10775</v>
      </c>
      <c r="B1581" s="14" t="s">
        <v>375</v>
      </c>
      <c r="C1581" s="12" t="s">
        <v>433</v>
      </c>
      <c r="D1581" s="15" t="str">
        <f t="shared" si="24"/>
        <v>Protective Life - ANA</v>
      </c>
      <c r="E1581" s="12" t="s">
        <v>126</v>
      </c>
      <c r="F1581" s="12" t="s">
        <v>163</v>
      </c>
      <c r="G1581" s="12" t="s">
        <v>164</v>
      </c>
      <c r="H1581" s="12" t="s">
        <v>1025</v>
      </c>
      <c r="I1581" s="12" t="s">
        <v>1026</v>
      </c>
    </row>
    <row r="1582" spans="1:9">
      <c r="A1582" s="14">
        <v>10775</v>
      </c>
      <c r="B1582" s="14" t="s">
        <v>375</v>
      </c>
      <c r="C1582" s="12" t="s">
        <v>111</v>
      </c>
      <c r="D1582" s="15" t="str">
        <f t="shared" si="24"/>
        <v>Protective Life - QLY</v>
      </c>
      <c r="E1582" s="12" t="s">
        <v>112</v>
      </c>
      <c r="F1582" s="12" t="s">
        <v>113</v>
      </c>
      <c r="G1582" s="12" t="s">
        <v>114</v>
      </c>
      <c r="H1582" s="12" t="s">
        <v>1025</v>
      </c>
      <c r="I1582" s="12" t="s">
        <v>1026</v>
      </c>
    </row>
    <row r="1583" spans="1:9">
      <c r="A1583" s="14">
        <v>10775</v>
      </c>
      <c r="B1583" s="14" t="s">
        <v>375</v>
      </c>
      <c r="C1583" s="12" t="s">
        <v>119</v>
      </c>
      <c r="D1583" s="15" t="str">
        <f t="shared" si="24"/>
        <v>Protective Life - SQM</v>
      </c>
      <c r="E1583" s="12" t="s">
        <v>112</v>
      </c>
      <c r="F1583" s="12" t="s">
        <v>113</v>
      </c>
      <c r="G1583" s="12" t="s">
        <v>114</v>
      </c>
      <c r="H1583" s="12" t="s">
        <v>1025</v>
      </c>
      <c r="I1583" s="12" t="s">
        <v>1026</v>
      </c>
    </row>
    <row r="1584" spans="1:9">
      <c r="A1584" s="14">
        <v>10775</v>
      </c>
      <c r="B1584" s="14" t="s">
        <v>375</v>
      </c>
      <c r="C1584" s="12" t="s">
        <v>145</v>
      </c>
      <c r="D1584" s="15" t="str">
        <f t="shared" si="24"/>
        <v>Protective Life - SUP</v>
      </c>
      <c r="E1584" s="12" t="s">
        <v>126</v>
      </c>
      <c r="F1584" s="12" t="s">
        <v>163</v>
      </c>
      <c r="G1584" s="12" t="s">
        <v>164</v>
      </c>
      <c r="H1584" s="12" t="s">
        <v>1025</v>
      </c>
      <c r="I1584" s="12" t="s">
        <v>1026</v>
      </c>
    </row>
    <row r="1585" spans="1:9">
      <c r="A1585" s="14">
        <v>10775</v>
      </c>
      <c r="B1585" s="14" t="s">
        <v>375</v>
      </c>
      <c r="C1585" s="12" t="s">
        <v>196</v>
      </c>
      <c r="D1585" s="15" t="str">
        <f t="shared" si="24"/>
        <v>Protective Life - SUT</v>
      </c>
      <c r="E1585" s="12" t="s">
        <v>126</v>
      </c>
      <c r="F1585" s="12" t="s">
        <v>163</v>
      </c>
      <c r="G1585" s="12" t="s">
        <v>164</v>
      </c>
      <c r="H1585" s="12" t="s">
        <v>1025</v>
      </c>
      <c r="I1585" s="12" t="s">
        <v>1026</v>
      </c>
    </row>
    <row r="1586" spans="1:9">
      <c r="A1586" s="14">
        <v>10775</v>
      </c>
      <c r="B1586" s="14" t="s">
        <v>375</v>
      </c>
      <c r="C1586" s="12" t="s">
        <v>180</v>
      </c>
      <c r="D1586" s="15" t="str">
        <f t="shared" si="24"/>
        <v>Protective Life - TMG</v>
      </c>
      <c r="E1586" s="12" t="s">
        <v>126</v>
      </c>
      <c r="F1586" s="12" t="s">
        <v>163</v>
      </c>
      <c r="G1586" s="12" t="s">
        <v>164</v>
      </c>
      <c r="H1586" s="12" t="s">
        <v>1025</v>
      </c>
      <c r="I1586" s="12" t="s">
        <v>1026</v>
      </c>
    </row>
    <row r="1587" spans="1:9">
      <c r="A1587" s="14">
        <v>10775</v>
      </c>
      <c r="B1587" s="14" t="s">
        <v>375</v>
      </c>
      <c r="C1587" s="12" t="s">
        <v>185</v>
      </c>
      <c r="D1587" s="15" t="str">
        <f t="shared" si="24"/>
        <v>Protective Life - TPS</v>
      </c>
      <c r="E1587" s="12" t="s">
        <v>126</v>
      </c>
      <c r="F1587" s="12" t="s">
        <v>163</v>
      </c>
      <c r="G1587" s="12" t="s">
        <v>164</v>
      </c>
      <c r="H1587" s="12" t="s">
        <v>1025</v>
      </c>
      <c r="I1587" s="12" t="s">
        <v>1026</v>
      </c>
    </row>
    <row r="1588" spans="1:9">
      <c r="A1588" s="14">
        <v>10775</v>
      </c>
      <c r="B1588" s="14" t="s">
        <v>375</v>
      </c>
      <c r="C1588" s="12" t="s">
        <v>208</v>
      </c>
      <c r="D1588" s="15" t="str">
        <f t="shared" si="24"/>
        <v>Protective Life - TTR</v>
      </c>
      <c r="E1588" s="12" t="s">
        <v>112</v>
      </c>
      <c r="F1588" s="12" t="s">
        <v>204</v>
      </c>
      <c r="G1588" s="12" t="s">
        <v>205</v>
      </c>
      <c r="H1588" s="12" t="s">
        <v>1025</v>
      </c>
      <c r="I1588" s="12" t="s">
        <v>1026</v>
      </c>
    </row>
    <row r="1589" spans="1:9">
      <c r="A1589" s="14">
        <v>88136</v>
      </c>
      <c r="B1589" s="14" t="s">
        <v>887</v>
      </c>
      <c r="C1589" s="12" t="s">
        <v>116</v>
      </c>
      <c r="D1589" s="15" t="str">
        <f t="shared" si="24"/>
        <v>PY - Operational Mgmt (Payer) - PRD</v>
      </c>
      <c r="E1589" s="12" t="s">
        <v>126</v>
      </c>
      <c r="F1589" s="12" t="s">
        <v>163</v>
      </c>
      <c r="G1589" s="12" t="s">
        <v>164</v>
      </c>
      <c r="H1589" s="12" t="s">
        <v>1025</v>
      </c>
      <c r="I1589" s="12" t="s">
        <v>1026</v>
      </c>
    </row>
    <row r="1590" spans="1:9">
      <c r="A1590" s="14">
        <v>88136</v>
      </c>
      <c r="B1590" s="14" t="s">
        <v>887</v>
      </c>
      <c r="C1590" s="12" t="s">
        <v>230</v>
      </c>
      <c r="D1590" s="15" t="str">
        <f t="shared" si="24"/>
        <v>PY - Operational Mgmt (Payer) - PRSP</v>
      </c>
      <c r="E1590" s="12" t="s">
        <v>126</v>
      </c>
      <c r="F1590" s="12" t="s">
        <v>163</v>
      </c>
      <c r="G1590" s="12" t="s">
        <v>164</v>
      </c>
      <c r="H1590" s="12" t="s">
        <v>1025</v>
      </c>
      <c r="I1590" s="12" t="s">
        <v>1026</v>
      </c>
    </row>
    <row r="1591" spans="1:9">
      <c r="A1591" s="14">
        <v>88136</v>
      </c>
      <c r="B1591" s="14" t="s">
        <v>887</v>
      </c>
      <c r="C1591" s="12" t="s">
        <v>145</v>
      </c>
      <c r="D1591" s="15" t="str">
        <f t="shared" si="24"/>
        <v>PY - Operational Mgmt (Payer) - SUP</v>
      </c>
      <c r="E1591" s="12" t="s">
        <v>126</v>
      </c>
      <c r="F1591" s="12" t="s">
        <v>163</v>
      </c>
      <c r="G1591" s="12" t="s">
        <v>164</v>
      </c>
      <c r="H1591" s="12" t="s">
        <v>1025</v>
      </c>
      <c r="I1591" s="12" t="s">
        <v>1026</v>
      </c>
    </row>
    <row r="1592" spans="1:9">
      <c r="A1592" s="14">
        <v>88136</v>
      </c>
      <c r="B1592" s="14" t="s">
        <v>887</v>
      </c>
      <c r="C1592" s="12" t="s">
        <v>180</v>
      </c>
      <c r="D1592" s="15" t="str">
        <f t="shared" si="24"/>
        <v>PY - Operational Mgmt (Payer) - TMG</v>
      </c>
      <c r="E1592" s="12" t="s">
        <v>126</v>
      </c>
      <c r="F1592" s="12" t="s">
        <v>163</v>
      </c>
      <c r="G1592" s="12" t="s">
        <v>164</v>
      </c>
      <c r="H1592" s="12" t="s">
        <v>1025</v>
      </c>
      <c r="I1592" s="12" t="s">
        <v>1026</v>
      </c>
    </row>
    <row r="1593" spans="1:9">
      <c r="A1593" s="14">
        <v>88136</v>
      </c>
      <c r="B1593" s="14" t="s">
        <v>887</v>
      </c>
      <c r="C1593" s="12" t="s">
        <v>185</v>
      </c>
      <c r="D1593" s="15" t="str">
        <f t="shared" si="24"/>
        <v>PY - Operational Mgmt (Payer) - TPS</v>
      </c>
      <c r="E1593" s="12" t="s">
        <v>126</v>
      </c>
      <c r="F1593" s="12" t="s">
        <v>163</v>
      </c>
      <c r="G1593" s="12" t="s">
        <v>164</v>
      </c>
      <c r="H1593" s="12" t="s">
        <v>1025</v>
      </c>
      <c r="I1593" s="12" t="s">
        <v>1026</v>
      </c>
    </row>
    <row r="1594" spans="1:9">
      <c r="A1594" s="14">
        <v>88122</v>
      </c>
      <c r="B1594" s="14" t="s">
        <v>893</v>
      </c>
      <c r="C1594" s="12" t="s">
        <v>185</v>
      </c>
      <c r="D1594" s="15" t="str">
        <f t="shared" si="24"/>
        <v>PY-Others Support _Bench - TPS</v>
      </c>
      <c r="E1594" s="12" t="s">
        <v>126</v>
      </c>
      <c r="F1594" s="12" t="s">
        <v>163</v>
      </c>
      <c r="G1594" s="12" t="s">
        <v>164</v>
      </c>
      <c r="H1594" s="12" t="s">
        <v>1025</v>
      </c>
      <c r="I1594" s="12" t="s">
        <v>1026</v>
      </c>
    </row>
    <row r="1595" spans="1:9">
      <c r="A1595" s="14">
        <v>97313</v>
      </c>
      <c r="B1595" s="14" t="s">
        <v>896</v>
      </c>
      <c r="C1595" s="12" t="s">
        <v>129</v>
      </c>
      <c r="D1595" s="15" t="str">
        <f t="shared" si="24"/>
        <v>PY-Support Training - MGT</v>
      </c>
      <c r="E1595" s="12" t="s">
        <v>104</v>
      </c>
      <c r="F1595" s="12" t="s">
        <v>204</v>
      </c>
      <c r="G1595" s="12" t="s">
        <v>205</v>
      </c>
      <c r="H1595" s="12" t="s">
        <v>1025</v>
      </c>
      <c r="I1595" s="12" t="s">
        <v>1026</v>
      </c>
    </row>
    <row r="1596" spans="1:9">
      <c r="A1596" s="14">
        <v>97313</v>
      </c>
      <c r="B1596" s="14" t="s">
        <v>896</v>
      </c>
      <c r="C1596" s="12" t="s">
        <v>116</v>
      </c>
      <c r="D1596" s="15" t="str">
        <f t="shared" si="24"/>
        <v>PY-Support Training - PRD</v>
      </c>
      <c r="E1596" s="12" t="s">
        <v>104</v>
      </c>
      <c r="F1596" s="12" t="s">
        <v>204</v>
      </c>
      <c r="G1596" s="12" t="s">
        <v>205</v>
      </c>
      <c r="H1596" s="12" t="s">
        <v>1025</v>
      </c>
      <c r="I1596" s="12" t="s">
        <v>1026</v>
      </c>
    </row>
    <row r="1597" spans="1:9">
      <c r="A1597" s="14">
        <v>97313</v>
      </c>
      <c r="B1597" s="14" t="s">
        <v>896</v>
      </c>
      <c r="C1597" s="12" t="s">
        <v>145</v>
      </c>
      <c r="D1597" s="15" t="str">
        <f t="shared" si="24"/>
        <v>PY-Support Training - SUP</v>
      </c>
      <c r="E1597" s="12" t="s">
        <v>104</v>
      </c>
      <c r="F1597" s="12" t="s">
        <v>204</v>
      </c>
      <c r="G1597" s="12" t="s">
        <v>205</v>
      </c>
      <c r="H1597" s="12" t="s">
        <v>1025</v>
      </c>
      <c r="I1597" s="12" t="s">
        <v>1026</v>
      </c>
    </row>
    <row r="1598" spans="1:9">
      <c r="A1598" s="14">
        <v>97313</v>
      </c>
      <c r="B1598" s="14" t="s">
        <v>896</v>
      </c>
      <c r="C1598" s="12" t="s">
        <v>208</v>
      </c>
      <c r="D1598" s="15" t="str">
        <f t="shared" si="24"/>
        <v>PY-Support Training - TTR</v>
      </c>
      <c r="E1598" s="12" t="s">
        <v>104</v>
      </c>
      <c r="F1598" s="12" t="s">
        <v>204</v>
      </c>
      <c r="G1598" s="12" t="s">
        <v>205</v>
      </c>
      <c r="H1598" s="12" t="s">
        <v>1025</v>
      </c>
      <c r="I1598" s="12" t="s">
        <v>1026</v>
      </c>
    </row>
    <row r="1599" spans="1:9">
      <c r="A1599" s="14">
        <v>10821</v>
      </c>
      <c r="B1599" s="14" t="s">
        <v>403</v>
      </c>
      <c r="C1599" s="12" t="s">
        <v>150</v>
      </c>
      <c r="D1599" s="15" t="str">
        <f t="shared" si="24"/>
        <v>Q2 Holdings Inc - CCS</v>
      </c>
      <c r="E1599" s="12" t="s">
        <v>126</v>
      </c>
      <c r="F1599" s="12" t="s">
        <v>360</v>
      </c>
      <c r="G1599" s="12" t="s">
        <v>361</v>
      </c>
      <c r="H1599" s="12" t="s">
        <v>1025</v>
      </c>
      <c r="I1599" s="12" t="s">
        <v>1026</v>
      </c>
    </row>
    <row r="1600" spans="1:9">
      <c r="A1600" s="14">
        <v>10821</v>
      </c>
      <c r="B1600" s="14" t="s">
        <v>403</v>
      </c>
      <c r="C1600" s="12" t="s">
        <v>145</v>
      </c>
      <c r="D1600" s="15" t="str">
        <f t="shared" si="24"/>
        <v>Q2 Holdings Inc - SUP</v>
      </c>
      <c r="E1600" s="12" t="s">
        <v>126</v>
      </c>
      <c r="F1600" s="12" t="s">
        <v>360</v>
      </c>
      <c r="G1600" s="12" t="s">
        <v>361</v>
      </c>
      <c r="H1600" s="12" t="s">
        <v>1025</v>
      </c>
      <c r="I1600" s="12" t="s">
        <v>1026</v>
      </c>
    </row>
    <row r="1601" spans="1:9">
      <c r="A1601" s="14">
        <v>83002</v>
      </c>
      <c r="B1601" s="14" t="s">
        <v>880</v>
      </c>
      <c r="C1601" s="12" t="s">
        <v>145</v>
      </c>
      <c r="D1601" s="15" t="str">
        <f t="shared" si="24"/>
        <v>QA and testing - SUP</v>
      </c>
      <c r="E1601" s="12" t="s">
        <v>104</v>
      </c>
      <c r="F1601" s="12" t="s">
        <v>117</v>
      </c>
      <c r="G1601" s="12" t="s">
        <v>117</v>
      </c>
      <c r="H1601" s="12" t="s">
        <v>1025</v>
      </c>
      <c r="I1601" s="12" t="s">
        <v>1026</v>
      </c>
    </row>
    <row r="1602" spans="1:9">
      <c r="A1602" s="14">
        <v>40063</v>
      </c>
      <c r="B1602" s="14" t="s">
        <v>666</v>
      </c>
      <c r="C1602" s="12" t="s">
        <v>133</v>
      </c>
      <c r="D1602" s="15" t="str">
        <f t="shared" ref="D1602:D1665" si="25">B1602&amp;" - "&amp;C1602</f>
        <v>Qatar CRA - AMG</v>
      </c>
      <c r="E1602" s="12" t="s">
        <v>126</v>
      </c>
      <c r="F1602" s="12" t="s">
        <v>163</v>
      </c>
      <c r="G1602" s="12" t="s">
        <v>164</v>
      </c>
      <c r="H1602" s="12" t="s">
        <v>1025</v>
      </c>
      <c r="I1602" s="12" t="s">
        <v>1026</v>
      </c>
    </row>
    <row r="1603" spans="1:9">
      <c r="A1603" s="14">
        <v>40063</v>
      </c>
      <c r="B1603" s="14" t="s">
        <v>666</v>
      </c>
      <c r="C1603" s="12" t="s">
        <v>116</v>
      </c>
      <c r="D1603" s="15" t="str">
        <f t="shared" si="25"/>
        <v>Qatar CRA - PRD</v>
      </c>
      <c r="E1603" s="12" t="s">
        <v>126</v>
      </c>
      <c r="F1603" s="12" t="s">
        <v>163</v>
      </c>
      <c r="G1603" s="12" t="s">
        <v>164</v>
      </c>
      <c r="H1603" s="12" t="s">
        <v>1025</v>
      </c>
      <c r="I1603" s="12" t="s">
        <v>1026</v>
      </c>
    </row>
    <row r="1604" spans="1:9">
      <c r="A1604" s="14">
        <v>40063</v>
      </c>
      <c r="B1604" s="14" t="s">
        <v>666</v>
      </c>
      <c r="C1604" s="12" t="s">
        <v>230</v>
      </c>
      <c r="D1604" s="15" t="str">
        <f t="shared" si="25"/>
        <v>Qatar CRA - PRSP</v>
      </c>
      <c r="E1604" s="12" t="s">
        <v>126</v>
      </c>
      <c r="F1604" s="12" t="s">
        <v>163</v>
      </c>
      <c r="G1604" s="12" t="s">
        <v>164</v>
      </c>
      <c r="H1604" s="12" t="s">
        <v>1025</v>
      </c>
      <c r="I1604" s="12" t="s">
        <v>1026</v>
      </c>
    </row>
    <row r="1605" spans="1:9">
      <c r="A1605" s="14">
        <v>40063</v>
      </c>
      <c r="B1605" s="14" t="s">
        <v>666</v>
      </c>
      <c r="C1605" s="12" t="s">
        <v>145</v>
      </c>
      <c r="D1605" s="15" t="str">
        <f t="shared" si="25"/>
        <v>Qatar CRA - SUP</v>
      </c>
      <c r="E1605" s="12" t="s">
        <v>126</v>
      </c>
      <c r="F1605" s="12" t="s">
        <v>163</v>
      </c>
      <c r="G1605" s="12" t="s">
        <v>164</v>
      </c>
      <c r="H1605" s="12" t="s">
        <v>1025</v>
      </c>
      <c r="I1605" s="12" t="s">
        <v>1026</v>
      </c>
    </row>
    <row r="1606" spans="1:9">
      <c r="A1606" s="14">
        <v>40063</v>
      </c>
      <c r="B1606" s="14" t="s">
        <v>666</v>
      </c>
      <c r="C1606" s="12" t="s">
        <v>180</v>
      </c>
      <c r="D1606" s="15" t="str">
        <f t="shared" si="25"/>
        <v>Qatar CRA - TMG</v>
      </c>
      <c r="E1606" s="12" t="s">
        <v>126</v>
      </c>
      <c r="F1606" s="12" t="s">
        <v>163</v>
      </c>
      <c r="G1606" s="12" t="s">
        <v>164</v>
      </c>
      <c r="H1606" s="12" t="s">
        <v>1025</v>
      </c>
      <c r="I1606" s="12" t="s">
        <v>1026</v>
      </c>
    </row>
    <row r="1607" spans="1:9">
      <c r="A1607" s="14">
        <v>40063</v>
      </c>
      <c r="B1607" s="14" t="s">
        <v>666</v>
      </c>
      <c r="C1607" s="12" t="s">
        <v>185</v>
      </c>
      <c r="D1607" s="15" t="str">
        <f t="shared" si="25"/>
        <v>Qatar CRA - TPS</v>
      </c>
      <c r="E1607" s="12" t="s">
        <v>126</v>
      </c>
      <c r="F1607" s="12" t="s">
        <v>163</v>
      </c>
      <c r="G1607" s="12" t="s">
        <v>164</v>
      </c>
      <c r="H1607" s="12" t="s">
        <v>1025</v>
      </c>
      <c r="I1607" s="12" t="s">
        <v>1026</v>
      </c>
    </row>
    <row r="1608" spans="1:9">
      <c r="A1608" s="14">
        <v>10822</v>
      </c>
      <c r="B1608" s="14" t="s">
        <v>406</v>
      </c>
      <c r="C1608" s="12" t="s">
        <v>185</v>
      </c>
      <c r="D1608" s="15" t="str">
        <f t="shared" si="25"/>
        <v>Qatar I2P - TPS</v>
      </c>
      <c r="E1608" s="12" t="s">
        <v>126</v>
      </c>
      <c r="F1608" s="12" t="s">
        <v>163</v>
      </c>
      <c r="G1608" s="12" t="s">
        <v>164</v>
      </c>
      <c r="H1608" s="12" t="s">
        <v>1025</v>
      </c>
      <c r="I1608" s="12" t="s">
        <v>1026</v>
      </c>
    </row>
    <row r="1609" spans="1:9">
      <c r="A1609" s="14">
        <v>40065</v>
      </c>
      <c r="B1609" s="14" t="s">
        <v>667</v>
      </c>
      <c r="C1609" s="12" t="s">
        <v>150</v>
      </c>
      <c r="D1609" s="15" t="str">
        <f t="shared" si="25"/>
        <v>Qatar Pax Audit - CCS</v>
      </c>
      <c r="E1609" s="12" t="s">
        <v>126</v>
      </c>
      <c r="F1609" s="12" t="s">
        <v>163</v>
      </c>
      <c r="G1609" s="12" t="s">
        <v>164</v>
      </c>
      <c r="H1609" s="12" t="s">
        <v>1025</v>
      </c>
      <c r="I1609" s="12" t="s">
        <v>1026</v>
      </c>
    </row>
    <row r="1610" spans="1:9">
      <c r="A1610" s="14">
        <v>40065</v>
      </c>
      <c r="B1610" s="14" t="s">
        <v>667</v>
      </c>
      <c r="C1610" s="12" t="s">
        <v>306</v>
      </c>
      <c r="D1610" s="15" t="str">
        <f t="shared" si="25"/>
        <v>Qatar Pax Audit - FAO</v>
      </c>
      <c r="E1610" s="12" t="s">
        <v>126</v>
      </c>
      <c r="F1610" s="12" t="s">
        <v>163</v>
      </c>
      <c r="G1610" s="12" t="s">
        <v>164</v>
      </c>
      <c r="H1610" s="12" t="s">
        <v>1025</v>
      </c>
      <c r="I1610" s="12" t="s">
        <v>1026</v>
      </c>
    </row>
    <row r="1611" spans="1:9">
      <c r="A1611" s="14">
        <v>40065</v>
      </c>
      <c r="B1611" s="14" t="s">
        <v>667</v>
      </c>
      <c r="C1611" s="12" t="s">
        <v>116</v>
      </c>
      <c r="D1611" s="15" t="str">
        <f t="shared" si="25"/>
        <v>Qatar Pax Audit - PRD</v>
      </c>
      <c r="E1611" s="12" t="s">
        <v>126</v>
      </c>
      <c r="F1611" s="12" t="s">
        <v>163</v>
      </c>
      <c r="G1611" s="12" t="s">
        <v>164</v>
      </c>
      <c r="H1611" s="12" t="s">
        <v>1025</v>
      </c>
      <c r="I1611" s="12" t="s">
        <v>1026</v>
      </c>
    </row>
    <row r="1612" spans="1:9">
      <c r="A1612" s="14">
        <v>40065</v>
      </c>
      <c r="B1612" s="14" t="s">
        <v>667</v>
      </c>
      <c r="C1612" s="12" t="s">
        <v>230</v>
      </c>
      <c r="D1612" s="15" t="str">
        <f t="shared" si="25"/>
        <v>Qatar Pax Audit - PRSP</v>
      </c>
      <c r="E1612" s="12" t="s">
        <v>126</v>
      </c>
      <c r="F1612" s="12" t="s">
        <v>163</v>
      </c>
      <c r="G1612" s="12" t="s">
        <v>164</v>
      </c>
      <c r="H1612" s="12" t="s">
        <v>1025</v>
      </c>
      <c r="I1612" s="12" t="s">
        <v>1026</v>
      </c>
    </row>
    <row r="1613" spans="1:9">
      <c r="A1613" s="14">
        <v>40065</v>
      </c>
      <c r="B1613" s="14" t="s">
        <v>667</v>
      </c>
      <c r="C1613" s="12" t="s">
        <v>145</v>
      </c>
      <c r="D1613" s="15" t="str">
        <f t="shared" si="25"/>
        <v>Qatar Pax Audit - SUP</v>
      </c>
      <c r="E1613" s="12" t="s">
        <v>126</v>
      </c>
      <c r="F1613" s="12" t="s">
        <v>163</v>
      </c>
      <c r="G1613" s="12" t="s">
        <v>164</v>
      </c>
      <c r="H1613" s="12" t="s">
        <v>1025</v>
      </c>
      <c r="I1613" s="12" t="s">
        <v>1026</v>
      </c>
    </row>
    <row r="1614" spans="1:9">
      <c r="A1614" s="14">
        <v>40065</v>
      </c>
      <c r="B1614" s="14" t="s">
        <v>667</v>
      </c>
      <c r="C1614" s="12" t="s">
        <v>180</v>
      </c>
      <c r="D1614" s="15" t="str">
        <f t="shared" si="25"/>
        <v>Qatar Pax Audit - TMG</v>
      </c>
      <c r="E1614" s="12" t="s">
        <v>126</v>
      </c>
      <c r="F1614" s="12" t="s">
        <v>163</v>
      </c>
      <c r="G1614" s="12" t="s">
        <v>164</v>
      </c>
      <c r="H1614" s="12" t="s">
        <v>1025</v>
      </c>
      <c r="I1614" s="12" t="s">
        <v>1026</v>
      </c>
    </row>
    <row r="1615" spans="1:9">
      <c r="A1615" s="14">
        <v>40065</v>
      </c>
      <c r="B1615" s="14" t="s">
        <v>667</v>
      </c>
      <c r="C1615" s="12" t="s">
        <v>185</v>
      </c>
      <c r="D1615" s="15" t="str">
        <f t="shared" si="25"/>
        <v>Qatar Pax Audit - TPS</v>
      </c>
      <c r="E1615" s="12" t="s">
        <v>126</v>
      </c>
      <c r="F1615" s="12" t="s">
        <v>163</v>
      </c>
      <c r="G1615" s="12" t="s">
        <v>164</v>
      </c>
      <c r="H1615" s="12" t="s">
        <v>1025</v>
      </c>
      <c r="I1615" s="12" t="s">
        <v>1026</v>
      </c>
    </row>
    <row r="1616" spans="1:9">
      <c r="A1616" s="14">
        <v>10841</v>
      </c>
      <c r="B1616" s="14" t="s">
        <v>425</v>
      </c>
      <c r="C1616" s="12" t="s">
        <v>185</v>
      </c>
      <c r="D1616" s="15" t="str">
        <f t="shared" si="25"/>
        <v>QR GST Support - TPS</v>
      </c>
      <c r="E1616" s="12" t="s">
        <v>126</v>
      </c>
      <c r="F1616" s="12" t="s">
        <v>163</v>
      </c>
      <c r="G1616" s="12" t="s">
        <v>164</v>
      </c>
      <c r="H1616" s="12" t="s">
        <v>1025</v>
      </c>
      <c r="I1616" s="12" t="s">
        <v>1026</v>
      </c>
    </row>
    <row r="1617" spans="1:9">
      <c r="A1617" s="14">
        <v>10777</v>
      </c>
      <c r="B1617" s="14" t="s">
        <v>376</v>
      </c>
      <c r="C1617" s="12" t="s">
        <v>185</v>
      </c>
      <c r="D1617" s="15" t="str">
        <f t="shared" si="25"/>
        <v>QR_PRA_altraPRA - TPS</v>
      </c>
      <c r="E1617" s="12" t="s">
        <v>104</v>
      </c>
      <c r="F1617" s="12" t="s">
        <v>117</v>
      </c>
      <c r="G1617" s="12" t="s">
        <v>117</v>
      </c>
      <c r="H1617" s="12" t="s">
        <v>1025</v>
      </c>
      <c r="I1617" s="12" t="s">
        <v>1026</v>
      </c>
    </row>
    <row r="1618" spans="1:9">
      <c r="A1618" s="14">
        <v>51220</v>
      </c>
      <c r="B1618" s="14" t="s">
        <v>738</v>
      </c>
      <c r="C1618" s="12" t="s">
        <v>116</v>
      </c>
      <c r="D1618" s="15" t="str">
        <f t="shared" si="25"/>
        <v>QUDNT-2206-2506-Cloudtestr-QEC - PRD</v>
      </c>
      <c r="E1618" s="12" t="s">
        <v>117</v>
      </c>
      <c r="F1618" s="12" t="s">
        <v>117</v>
      </c>
      <c r="G1618" s="12" t="s">
        <v>117</v>
      </c>
      <c r="H1618" s="12" t="s">
        <v>1025</v>
      </c>
      <c r="I1618" s="12" t="s">
        <v>1026</v>
      </c>
    </row>
    <row r="1619" spans="1:9">
      <c r="A1619" s="14">
        <v>12320</v>
      </c>
      <c r="B1619" s="14" t="s">
        <v>531</v>
      </c>
      <c r="C1619" s="12" t="s">
        <v>116</v>
      </c>
      <c r="D1619" s="15" t="str">
        <f t="shared" si="25"/>
        <v>Recondo - Maintenance - PRD</v>
      </c>
      <c r="E1619" s="12" t="s">
        <v>117</v>
      </c>
      <c r="F1619" s="12" t="s">
        <v>117</v>
      </c>
      <c r="G1619" s="12" t="s">
        <v>117</v>
      </c>
      <c r="H1619" s="12" t="s">
        <v>1025</v>
      </c>
      <c r="I1619" s="12" t="s">
        <v>1026</v>
      </c>
    </row>
    <row r="1620" spans="1:9">
      <c r="A1620" s="14">
        <v>97204</v>
      </c>
      <c r="B1620" s="14" t="s">
        <v>898</v>
      </c>
      <c r="C1620" s="12" t="s">
        <v>129</v>
      </c>
      <c r="D1620" s="15" t="str">
        <f t="shared" si="25"/>
        <v>Recruiting - Sourcing Team - MGT</v>
      </c>
      <c r="E1620" s="12" t="s">
        <v>104</v>
      </c>
      <c r="F1620" s="12" t="s">
        <v>512</v>
      </c>
      <c r="G1620" s="12" t="s">
        <v>114</v>
      </c>
      <c r="H1620" s="12" t="s">
        <v>1025</v>
      </c>
      <c r="I1620" s="12" t="s">
        <v>1026</v>
      </c>
    </row>
    <row r="1621" spans="1:9">
      <c r="A1621" s="14">
        <v>97204</v>
      </c>
      <c r="B1621" s="14" t="s">
        <v>898</v>
      </c>
      <c r="C1621" s="12" t="s">
        <v>514</v>
      </c>
      <c r="D1621" s="15" t="str">
        <f t="shared" si="25"/>
        <v>Recruiting - Sourcing Team - REC</v>
      </c>
      <c r="E1621" s="12" t="s">
        <v>104</v>
      </c>
      <c r="F1621" s="12" t="s">
        <v>512</v>
      </c>
      <c r="G1621" s="12" t="s">
        <v>114</v>
      </c>
      <c r="H1621" s="12" t="s">
        <v>1025</v>
      </c>
      <c r="I1621" s="12" t="s">
        <v>1026</v>
      </c>
    </row>
    <row r="1622" spans="1:9">
      <c r="A1622" s="14">
        <v>97204</v>
      </c>
      <c r="B1622" s="14" t="s">
        <v>898</v>
      </c>
      <c r="C1622" s="12" t="s">
        <v>145</v>
      </c>
      <c r="D1622" s="15" t="str">
        <f t="shared" si="25"/>
        <v>Recruiting - Sourcing Team - SUP</v>
      </c>
      <c r="E1622" s="12" t="s">
        <v>104</v>
      </c>
      <c r="F1622" s="12" t="s">
        <v>512</v>
      </c>
      <c r="G1622" s="12" t="s">
        <v>114</v>
      </c>
      <c r="H1622" s="12" t="s">
        <v>1025</v>
      </c>
      <c r="I1622" s="12" t="s">
        <v>1026</v>
      </c>
    </row>
    <row r="1623" spans="1:9">
      <c r="A1623" s="14">
        <v>97223</v>
      </c>
      <c r="B1623" s="14" t="s">
        <v>900</v>
      </c>
      <c r="C1623" s="12" t="s">
        <v>133</v>
      </c>
      <c r="D1623" s="15" t="str">
        <f t="shared" si="25"/>
        <v>Recruitment - CLM - AMG</v>
      </c>
      <c r="E1623" s="12" t="s">
        <v>104</v>
      </c>
      <c r="F1623" s="12" t="s">
        <v>512</v>
      </c>
      <c r="G1623" s="12" t="s">
        <v>114</v>
      </c>
      <c r="H1623" s="12" t="s">
        <v>1025</v>
      </c>
      <c r="I1623" s="12" t="s">
        <v>1026</v>
      </c>
    </row>
    <row r="1624" spans="1:9">
      <c r="A1624" s="14">
        <v>97223</v>
      </c>
      <c r="B1624" s="14" t="s">
        <v>900</v>
      </c>
      <c r="C1624" s="12" t="s">
        <v>556</v>
      </c>
      <c r="D1624" s="15" t="str">
        <f t="shared" si="25"/>
        <v>Recruitment - CLM - HRD</v>
      </c>
      <c r="E1624" s="12" t="s">
        <v>104</v>
      </c>
      <c r="F1624" s="12" t="s">
        <v>512</v>
      </c>
      <c r="G1624" s="12" t="s">
        <v>114</v>
      </c>
      <c r="H1624" s="12" t="s">
        <v>1025</v>
      </c>
      <c r="I1624" s="12" t="s">
        <v>1026</v>
      </c>
    </row>
    <row r="1625" spans="1:9">
      <c r="A1625" s="14">
        <v>97223</v>
      </c>
      <c r="B1625" s="14" t="s">
        <v>900</v>
      </c>
      <c r="C1625" s="12" t="s">
        <v>129</v>
      </c>
      <c r="D1625" s="15" t="str">
        <f t="shared" si="25"/>
        <v>Recruitment - CLM - MGT</v>
      </c>
      <c r="E1625" s="12" t="s">
        <v>104</v>
      </c>
      <c r="F1625" s="12" t="s">
        <v>512</v>
      </c>
      <c r="G1625" s="12" t="s">
        <v>114</v>
      </c>
      <c r="H1625" s="12" t="s">
        <v>1025</v>
      </c>
      <c r="I1625" s="12" t="s">
        <v>1026</v>
      </c>
    </row>
    <row r="1626" spans="1:9">
      <c r="A1626" s="14">
        <v>97223</v>
      </c>
      <c r="B1626" s="14" t="s">
        <v>900</v>
      </c>
      <c r="C1626" s="12" t="s">
        <v>514</v>
      </c>
      <c r="D1626" s="15" t="str">
        <f t="shared" si="25"/>
        <v>Recruitment - CLM - REC</v>
      </c>
      <c r="E1626" s="12" t="s">
        <v>104</v>
      </c>
      <c r="F1626" s="12" t="s">
        <v>512</v>
      </c>
      <c r="G1626" s="12" t="s">
        <v>114</v>
      </c>
      <c r="H1626" s="12" t="s">
        <v>1025</v>
      </c>
      <c r="I1626" s="12" t="s">
        <v>1026</v>
      </c>
    </row>
    <row r="1627" spans="1:9">
      <c r="A1627" s="14">
        <v>97223</v>
      </c>
      <c r="B1627" s="14" t="s">
        <v>900</v>
      </c>
      <c r="C1627" s="12" t="s">
        <v>172</v>
      </c>
      <c r="D1627" s="15" t="str">
        <f t="shared" si="25"/>
        <v>Recruitment - CLM - SME</v>
      </c>
      <c r="E1627" s="12" t="s">
        <v>104</v>
      </c>
      <c r="F1627" s="12" t="s">
        <v>512</v>
      </c>
      <c r="G1627" s="12" t="s">
        <v>114</v>
      </c>
      <c r="H1627" s="12" t="s">
        <v>1025</v>
      </c>
      <c r="I1627" s="12" t="s">
        <v>1026</v>
      </c>
    </row>
    <row r="1628" spans="1:9">
      <c r="A1628" s="14">
        <v>97223</v>
      </c>
      <c r="B1628" s="14" t="s">
        <v>900</v>
      </c>
      <c r="C1628" s="12" t="s">
        <v>139</v>
      </c>
      <c r="D1628" s="15" t="str">
        <f t="shared" si="25"/>
        <v>Recruitment - CLM - SMGT</v>
      </c>
      <c r="E1628" s="12" t="s">
        <v>104</v>
      </c>
      <c r="F1628" s="12" t="s">
        <v>512</v>
      </c>
      <c r="G1628" s="12" t="s">
        <v>114</v>
      </c>
      <c r="H1628" s="12" t="s">
        <v>1025</v>
      </c>
      <c r="I1628" s="12" t="s">
        <v>1026</v>
      </c>
    </row>
    <row r="1629" spans="1:9">
      <c r="A1629" s="14">
        <v>97223</v>
      </c>
      <c r="B1629" s="14" t="s">
        <v>900</v>
      </c>
      <c r="C1629" s="12" t="s">
        <v>145</v>
      </c>
      <c r="D1629" s="15" t="str">
        <f t="shared" si="25"/>
        <v>Recruitment - CLM - SUP</v>
      </c>
      <c r="E1629" s="12" t="s">
        <v>104</v>
      </c>
      <c r="F1629" s="12" t="s">
        <v>512</v>
      </c>
      <c r="G1629" s="12" t="s">
        <v>114</v>
      </c>
      <c r="H1629" s="12" t="s">
        <v>1025</v>
      </c>
      <c r="I1629" s="12" t="s">
        <v>1026</v>
      </c>
    </row>
    <row r="1630" spans="1:9">
      <c r="A1630" s="14">
        <v>97223</v>
      </c>
      <c r="B1630" s="14" t="s">
        <v>900</v>
      </c>
      <c r="C1630" s="12" t="s">
        <v>180</v>
      </c>
      <c r="D1630" s="15" t="str">
        <f t="shared" si="25"/>
        <v>Recruitment - CLM - TMG</v>
      </c>
      <c r="E1630" s="12" t="s">
        <v>104</v>
      </c>
      <c r="F1630" s="12" t="s">
        <v>512</v>
      </c>
      <c r="G1630" s="12" t="s">
        <v>114</v>
      </c>
      <c r="H1630" s="12" t="s">
        <v>1025</v>
      </c>
      <c r="I1630" s="12" t="s">
        <v>1026</v>
      </c>
    </row>
    <row r="1631" spans="1:9">
      <c r="A1631" s="14">
        <v>97229</v>
      </c>
      <c r="B1631" s="14" t="s">
        <v>909</v>
      </c>
      <c r="C1631" s="12" t="s">
        <v>145</v>
      </c>
      <c r="D1631" s="15" t="str">
        <f t="shared" si="25"/>
        <v>Recruitment - GLA - SUP</v>
      </c>
      <c r="E1631" s="12" t="s">
        <v>104</v>
      </c>
      <c r="F1631" s="12" t="s">
        <v>512</v>
      </c>
      <c r="G1631" s="12" t="s">
        <v>114</v>
      </c>
      <c r="H1631" s="12" t="s">
        <v>1025</v>
      </c>
      <c r="I1631" s="12" t="s">
        <v>1026</v>
      </c>
    </row>
    <row r="1632" spans="1:9">
      <c r="A1632" s="14">
        <v>97229</v>
      </c>
      <c r="B1632" s="14" t="s">
        <v>909</v>
      </c>
      <c r="C1632" s="12" t="s">
        <v>203</v>
      </c>
      <c r="D1632" s="15" t="str">
        <f t="shared" si="25"/>
        <v>Recruitment - GLA - TRG</v>
      </c>
      <c r="E1632" s="12" t="s">
        <v>104</v>
      </c>
      <c r="F1632" s="12" t="s">
        <v>512</v>
      </c>
      <c r="G1632" s="12" t="s">
        <v>114</v>
      </c>
      <c r="H1632" s="12" t="s">
        <v>1025</v>
      </c>
      <c r="I1632" s="12" t="s">
        <v>1026</v>
      </c>
    </row>
    <row r="1633" spans="1:9">
      <c r="A1633" s="14">
        <v>97217</v>
      </c>
      <c r="B1633" s="14" t="s">
        <v>912</v>
      </c>
      <c r="C1633" s="12" t="s">
        <v>133</v>
      </c>
      <c r="D1633" s="15" t="str">
        <f t="shared" si="25"/>
        <v>Recruitment – Leadership - AMG</v>
      </c>
      <c r="E1633" s="12" t="s">
        <v>104</v>
      </c>
      <c r="F1633" s="12" t="s">
        <v>512</v>
      </c>
      <c r="G1633" s="12" t="s">
        <v>114</v>
      </c>
      <c r="H1633" s="12" t="s">
        <v>1025</v>
      </c>
      <c r="I1633" s="12" t="s">
        <v>1026</v>
      </c>
    </row>
    <row r="1634" spans="1:9">
      <c r="A1634" s="14">
        <v>97217</v>
      </c>
      <c r="B1634" s="14" t="s">
        <v>912</v>
      </c>
      <c r="C1634" s="12" t="s">
        <v>556</v>
      </c>
      <c r="D1634" s="15" t="str">
        <f t="shared" si="25"/>
        <v>Recruitment – Leadership - HRD</v>
      </c>
      <c r="E1634" s="12" t="s">
        <v>104</v>
      </c>
      <c r="F1634" s="12" t="s">
        <v>512</v>
      </c>
      <c r="G1634" s="12" t="s">
        <v>114</v>
      </c>
      <c r="H1634" s="12" t="s">
        <v>1025</v>
      </c>
      <c r="I1634" s="12" t="s">
        <v>1026</v>
      </c>
    </row>
    <row r="1635" spans="1:9">
      <c r="A1635" s="14">
        <v>97217</v>
      </c>
      <c r="B1635" s="14" t="s">
        <v>912</v>
      </c>
      <c r="C1635" s="12" t="s">
        <v>514</v>
      </c>
      <c r="D1635" s="15" t="str">
        <f t="shared" si="25"/>
        <v>Recruitment – Leadership - REC</v>
      </c>
      <c r="E1635" s="12" t="s">
        <v>104</v>
      </c>
      <c r="F1635" s="12" t="s">
        <v>512</v>
      </c>
      <c r="G1635" s="12" t="s">
        <v>114</v>
      </c>
      <c r="H1635" s="12" t="s">
        <v>1025</v>
      </c>
      <c r="I1635" s="12" t="s">
        <v>1026</v>
      </c>
    </row>
    <row r="1636" spans="1:9">
      <c r="A1636" s="14">
        <v>97217</v>
      </c>
      <c r="B1636" s="14" t="s">
        <v>912</v>
      </c>
      <c r="C1636" s="12" t="s">
        <v>172</v>
      </c>
      <c r="D1636" s="15" t="str">
        <f t="shared" si="25"/>
        <v>Recruitment – Leadership - SME</v>
      </c>
      <c r="E1636" s="12" t="s">
        <v>104</v>
      </c>
      <c r="F1636" s="12" t="s">
        <v>512</v>
      </c>
      <c r="G1636" s="12" t="s">
        <v>114</v>
      </c>
      <c r="H1636" s="12" t="s">
        <v>1025</v>
      </c>
      <c r="I1636" s="12" t="s">
        <v>1026</v>
      </c>
    </row>
    <row r="1637" spans="1:9">
      <c r="A1637" s="14">
        <v>97217</v>
      </c>
      <c r="B1637" s="14" t="s">
        <v>912</v>
      </c>
      <c r="C1637" s="12" t="s">
        <v>145</v>
      </c>
      <c r="D1637" s="15" t="str">
        <f t="shared" si="25"/>
        <v>Recruitment – Leadership - SUP</v>
      </c>
      <c r="E1637" s="12" t="s">
        <v>104</v>
      </c>
      <c r="F1637" s="12" t="s">
        <v>512</v>
      </c>
      <c r="G1637" s="12" t="s">
        <v>114</v>
      </c>
      <c r="H1637" s="12" t="s">
        <v>1025</v>
      </c>
      <c r="I1637" s="12" t="s">
        <v>1026</v>
      </c>
    </row>
    <row r="1638" spans="1:9">
      <c r="A1638" s="14">
        <v>97230</v>
      </c>
      <c r="B1638" s="14" t="s">
        <v>913</v>
      </c>
      <c r="C1638" s="12" t="s">
        <v>129</v>
      </c>
      <c r="D1638" s="15" t="str">
        <f t="shared" si="25"/>
        <v>Recruitment - Program SS - MGT</v>
      </c>
      <c r="E1638" s="12" t="s">
        <v>104</v>
      </c>
      <c r="F1638" s="12" t="s">
        <v>512</v>
      </c>
      <c r="G1638" s="12" t="s">
        <v>114</v>
      </c>
      <c r="H1638" s="12" t="s">
        <v>1025</v>
      </c>
      <c r="I1638" s="12" t="s">
        <v>1026</v>
      </c>
    </row>
    <row r="1639" spans="1:9">
      <c r="A1639" s="14">
        <v>97230</v>
      </c>
      <c r="B1639" s="14" t="s">
        <v>913</v>
      </c>
      <c r="C1639" s="12" t="s">
        <v>514</v>
      </c>
      <c r="D1639" s="15" t="str">
        <f t="shared" si="25"/>
        <v>Recruitment - Program SS - REC</v>
      </c>
      <c r="E1639" s="12" t="s">
        <v>104</v>
      </c>
      <c r="F1639" s="12" t="s">
        <v>512</v>
      </c>
      <c r="G1639" s="12" t="s">
        <v>114</v>
      </c>
      <c r="H1639" s="12" t="s">
        <v>1025</v>
      </c>
      <c r="I1639" s="12" t="s">
        <v>1026</v>
      </c>
    </row>
    <row r="1640" spans="1:9">
      <c r="A1640" s="14">
        <v>97230</v>
      </c>
      <c r="B1640" s="14" t="s">
        <v>913</v>
      </c>
      <c r="C1640" s="12" t="s">
        <v>145</v>
      </c>
      <c r="D1640" s="15" t="str">
        <f t="shared" si="25"/>
        <v>Recruitment - Program SS - SUP</v>
      </c>
      <c r="E1640" s="12" t="s">
        <v>104</v>
      </c>
      <c r="F1640" s="12" t="s">
        <v>512</v>
      </c>
      <c r="G1640" s="12" t="s">
        <v>114</v>
      </c>
      <c r="H1640" s="12" t="s">
        <v>1025</v>
      </c>
      <c r="I1640" s="12" t="s">
        <v>1026</v>
      </c>
    </row>
    <row r="1641" spans="1:9">
      <c r="A1641" s="14">
        <v>10657</v>
      </c>
      <c r="B1641" s="14" t="s">
        <v>291</v>
      </c>
      <c r="C1641" s="12" t="s">
        <v>133</v>
      </c>
      <c r="D1641" s="15" t="str">
        <f t="shared" si="25"/>
        <v>Remitly CET IS IND - AMG</v>
      </c>
      <c r="E1641" s="12" t="s">
        <v>126</v>
      </c>
      <c r="F1641" s="12" t="s">
        <v>178</v>
      </c>
      <c r="G1641" s="12" t="s">
        <v>128</v>
      </c>
      <c r="H1641" s="12" t="s">
        <v>1025</v>
      </c>
      <c r="I1641" s="12" t="s">
        <v>1026</v>
      </c>
    </row>
    <row r="1642" spans="1:9">
      <c r="A1642" s="14">
        <v>10657</v>
      </c>
      <c r="B1642" s="14" t="s">
        <v>291</v>
      </c>
      <c r="C1642" s="12" t="s">
        <v>150</v>
      </c>
      <c r="D1642" s="15" t="str">
        <f t="shared" si="25"/>
        <v>Remitly CET IS IND - CCS</v>
      </c>
      <c r="E1642" s="12" t="s">
        <v>126</v>
      </c>
      <c r="F1642" s="12" t="s">
        <v>178</v>
      </c>
      <c r="G1642" s="12" t="s">
        <v>128</v>
      </c>
      <c r="H1642" s="12" t="s">
        <v>1025</v>
      </c>
      <c r="I1642" s="12" t="s">
        <v>1026</v>
      </c>
    </row>
    <row r="1643" spans="1:9">
      <c r="A1643" s="14">
        <v>10657</v>
      </c>
      <c r="B1643" s="14" t="s">
        <v>291</v>
      </c>
      <c r="C1643" s="12" t="s">
        <v>177</v>
      </c>
      <c r="D1643" s="15" t="str">
        <f t="shared" si="25"/>
        <v>Remitly CET IS IND - OPS</v>
      </c>
      <c r="E1643" s="12" t="s">
        <v>126</v>
      </c>
      <c r="F1643" s="12" t="s">
        <v>178</v>
      </c>
      <c r="G1643" s="12" t="s">
        <v>128</v>
      </c>
      <c r="H1643" s="12" t="s">
        <v>1025</v>
      </c>
      <c r="I1643" s="12" t="s">
        <v>1026</v>
      </c>
    </row>
    <row r="1644" spans="1:9">
      <c r="A1644" s="14">
        <v>10657</v>
      </c>
      <c r="B1644" s="14" t="s">
        <v>291</v>
      </c>
      <c r="C1644" s="12" t="s">
        <v>116</v>
      </c>
      <c r="D1644" s="15" t="str">
        <f t="shared" si="25"/>
        <v>Remitly CET IS IND - PRD</v>
      </c>
      <c r="E1644" s="12" t="s">
        <v>126</v>
      </c>
      <c r="F1644" s="12" t="s">
        <v>178</v>
      </c>
      <c r="G1644" s="12" t="s">
        <v>128</v>
      </c>
      <c r="H1644" s="12" t="s">
        <v>1025</v>
      </c>
      <c r="I1644" s="12" t="s">
        <v>1026</v>
      </c>
    </row>
    <row r="1645" spans="1:9">
      <c r="A1645" s="14">
        <v>10657</v>
      </c>
      <c r="B1645" s="14" t="s">
        <v>291</v>
      </c>
      <c r="C1645" s="12" t="s">
        <v>172</v>
      </c>
      <c r="D1645" s="15" t="str">
        <f t="shared" si="25"/>
        <v>Remitly CET IS IND - SME</v>
      </c>
      <c r="E1645" s="12" t="s">
        <v>126</v>
      </c>
      <c r="F1645" s="12" t="s">
        <v>178</v>
      </c>
      <c r="G1645" s="12" t="s">
        <v>128</v>
      </c>
      <c r="H1645" s="12" t="s">
        <v>1025</v>
      </c>
      <c r="I1645" s="12" t="s">
        <v>1026</v>
      </c>
    </row>
    <row r="1646" spans="1:9">
      <c r="A1646" s="14">
        <v>10657</v>
      </c>
      <c r="B1646" s="14" t="s">
        <v>291</v>
      </c>
      <c r="C1646" s="12" t="s">
        <v>119</v>
      </c>
      <c r="D1646" s="15" t="str">
        <f t="shared" si="25"/>
        <v>Remitly CET IS IND - SQM</v>
      </c>
      <c r="E1646" s="12" t="s">
        <v>112</v>
      </c>
      <c r="F1646" s="12" t="s">
        <v>113</v>
      </c>
      <c r="G1646" s="12" t="s">
        <v>114</v>
      </c>
      <c r="H1646" s="12" t="s">
        <v>1025</v>
      </c>
      <c r="I1646" s="12" t="s">
        <v>1026</v>
      </c>
    </row>
    <row r="1647" spans="1:9">
      <c r="A1647" s="14">
        <v>10657</v>
      </c>
      <c r="B1647" s="14" t="s">
        <v>291</v>
      </c>
      <c r="C1647" s="12" t="s">
        <v>145</v>
      </c>
      <c r="D1647" s="15" t="str">
        <f t="shared" si="25"/>
        <v>Remitly CET IS IND - SUP</v>
      </c>
      <c r="E1647" s="12" t="s">
        <v>126</v>
      </c>
      <c r="F1647" s="12" t="s">
        <v>178</v>
      </c>
      <c r="G1647" s="12" t="s">
        <v>128</v>
      </c>
      <c r="H1647" s="12" t="s">
        <v>1025</v>
      </c>
      <c r="I1647" s="12" t="s">
        <v>1026</v>
      </c>
    </row>
    <row r="1648" spans="1:9">
      <c r="A1648" s="14">
        <v>10657</v>
      </c>
      <c r="B1648" s="14" t="s">
        <v>291</v>
      </c>
      <c r="C1648" s="12" t="s">
        <v>198</v>
      </c>
      <c r="D1648" s="15" t="str">
        <f t="shared" si="25"/>
        <v>Remitly CET IS IND - TEC</v>
      </c>
      <c r="E1648" s="12" t="s">
        <v>126</v>
      </c>
      <c r="F1648" s="12" t="s">
        <v>178</v>
      </c>
      <c r="G1648" s="12" t="s">
        <v>128</v>
      </c>
      <c r="H1648" s="12" t="s">
        <v>1025</v>
      </c>
      <c r="I1648" s="12" t="s">
        <v>1026</v>
      </c>
    </row>
    <row r="1649" spans="1:9">
      <c r="A1649" s="14">
        <v>10657</v>
      </c>
      <c r="B1649" s="14" t="s">
        <v>291</v>
      </c>
      <c r="C1649" s="12" t="s">
        <v>180</v>
      </c>
      <c r="D1649" s="15" t="str">
        <f t="shared" si="25"/>
        <v>Remitly CET IS IND - TMG</v>
      </c>
      <c r="E1649" s="12" t="s">
        <v>126</v>
      </c>
      <c r="F1649" s="12" t="s">
        <v>178</v>
      </c>
      <c r="G1649" s="12" t="s">
        <v>128</v>
      </c>
      <c r="H1649" s="12" t="s">
        <v>1025</v>
      </c>
      <c r="I1649" s="12" t="s">
        <v>1026</v>
      </c>
    </row>
    <row r="1650" spans="1:9">
      <c r="A1650" s="14">
        <v>10657</v>
      </c>
      <c r="B1650" s="14" t="s">
        <v>291</v>
      </c>
      <c r="C1650" s="12" t="s">
        <v>185</v>
      </c>
      <c r="D1650" s="15" t="str">
        <f t="shared" si="25"/>
        <v>Remitly CET IS IND - TPS</v>
      </c>
      <c r="E1650" s="12" t="s">
        <v>126</v>
      </c>
      <c r="F1650" s="12" t="s">
        <v>178</v>
      </c>
      <c r="G1650" s="12" t="s">
        <v>128</v>
      </c>
      <c r="H1650" s="12" t="s">
        <v>1025</v>
      </c>
      <c r="I1650" s="12" t="s">
        <v>1026</v>
      </c>
    </row>
    <row r="1651" spans="1:9">
      <c r="A1651" s="14">
        <v>10657</v>
      </c>
      <c r="B1651" s="14" t="s">
        <v>291</v>
      </c>
      <c r="C1651" s="12" t="s">
        <v>203</v>
      </c>
      <c r="D1651" s="15" t="str">
        <f t="shared" si="25"/>
        <v>Remitly CET IS IND - TRG</v>
      </c>
      <c r="E1651" s="12" t="s">
        <v>112</v>
      </c>
      <c r="F1651" s="12" t="s">
        <v>204</v>
      </c>
      <c r="G1651" s="12" t="s">
        <v>205</v>
      </c>
      <c r="H1651" s="12" t="s">
        <v>1025</v>
      </c>
      <c r="I1651" s="12" t="s">
        <v>1026</v>
      </c>
    </row>
    <row r="1652" spans="1:9">
      <c r="A1652" s="14">
        <v>10657</v>
      </c>
      <c r="B1652" s="14" t="s">
        <v>291</v>
      </c>
      <c r="C1652" s="12" t="s">
        <v>546</v>
      </c>
      <c r="D1652" s="15" t="str">
        <f t="shared" si="25"/>
        <v>Remitly CET IS IND - TRN</v>
      </c>
      <c r="E1652" s="12" t="s">
        <v>112</v>
      </c>
      <c r="F1652" s="12" t="s">
        <v>204</v>
      </c>
      <c r="G1652" s="12" t="s">
        <v>205</v>
      </c>
      <c r="H1652" s="12" t="s">
        <v>1025</v>
      </c>
      <c r="I1652" s="12" t="s">
        <v>1026</v>
      </c>
    </row>
    <row r="1653" spans="1:9">
      <c r="A1653" s="14">
        <v>95260</v>
      </c>
      <c r="B1653" s="14" t="s">
        <v>914</v>
      </c>
      <c r="C1653" s="12" t="s">
        <v>262</v>
      </c>
      <c r="D1653" s="15" t="str">
        <f t="shared" si="25"/>
        <v>Reporting - GSI - GSI</v>
      </c>
      <c r="E1653" s="12" t="s">
        <v>104</v>
      </c>
      <c r="F1653" s="12" t="s">
        <v>263</v>
      </c>
      <c r="G1653" s="12" t="s">
        <v>264</v>
      </c>
      <c r="H1653" s="12" t="s">
        <v>1025</v>
      </c>
      <c r="I1653" s="12" t="s">
        <v>1026</v>
      </c>
    </row>
    <row r="1654" spans="1:9">
      <c r="A1654" s="14">
        <v>95260</v>
      </c>
      <c r="B1654" s="14" t="s">
        <v>914</v>
      </c>
      <c r="C1654" s="12" t="s">
        <v>415</v>
      </c>
      <c r="D1654" s="15" t="str">
        <f t="shared" si="25"/>
        <v>Reporting - GSI - GTI</v>
      </c>
      <c r="E1654" s="12" t="s">
        <v>104</v>
      </c>
      <c r="F1654" s="12" t="s">
        <v>263</v>
      </c>
      <c r="G1654" s="12" t="s">
        <v>264</v>
      </c>
      <c r="H1654" s="12" t="s">
        <v>1025</v>
      </c>
      <c r="I1654" s="12" t="s">
        <v>1026</v>
      </c>
    </row>
    <row r="1655" spans="1:9">
      <c r="A1655" s="14">
        <v>95260</v>
      </c>
      <c r="B1655" s="14" t="s">
        <v>914</v>
      </c>
      <c r="C1655" s="12" t="s">
        <v>139</v>
      </c>
      <c r="D1655" s="15" t="str">
        <f t="shared" si="25"/>
        <v>Reporting - GSI - SMGT</v>
      </c>
      <c r="E1655" s="12" t="s">
        <v>104</v>
      </c>
      <c r="F1655" s="12" t="s">
        <v>263</v>
      </c>
      <c r="G1655" s="12" t="s">
        <v>264</v>
      </c>
      <c r="H1655" s="12" t="s">
        <v>1025</v>
      </c>
      <c r="I1655" s="12" t="s">
        <v>1026</v>
      </c>
    </row>
    <row r="1656" spans="1:9">
      <c r="A1656" s="14">
        <v>95260</v>
      </c>
      <c r="B1656" s="14" t="s">
        <v>914</v>
      </c>
      <c r="C1656" s="12" t="s">
        <v>145</v>
      </c>
      <c r="D1656" s="15" t="str">
        <f t="shared" si="25"/>
        <v>Reporting - GSI - SUP</v>
      </c>
      <c r="E1656" s="12" t="s">
        <v>104</v>
      </c>
      <c r="F1656" s="12" t="s">
        <v>263</v>
      </c>
      <c r="G1656" s="12" t="s">
        <v>264</v>
      </c>
      <c r="H1656" s="12" t="s">
        <v>1025</v>
      </c>
      <c r="I1656" s="12" t="s">
        <v>1026</v>
      </c>
    </row>
    <row r="1657" spans="1:9">
      <c r="A1657" s="14">
        <v>90419</v>
      </c>
      <c r="B1657" s="14" t="s">
        <v>928</v>
      </c>
      <c r="C1657" s="12" t="s">
        <v>129</v>
      </c>
      <c r="D1657" s="15" t="str">
        <f t="shared" si="25"/>
        <v>Reporting - MGT</v>
      </c>
      <c r="E1657" s="12" t="s">
        <v>126</v>
      </c>
      <c r="F1657" s="12" t="s">
        <v>890</v>
      </c>
      <c r="G1657" s="12" t="s">
        <v>890</v>
      </c>
      <c r="H1657" s="12" t="s">
        <v>1025</v>
      </c>
      <c r="I1657" s="12" t="s">
        <v>1026</v>
      </c>
    </row>
    <row r="1658" spans="1:9">
      <c r="A1658" s="14">
        <v>90419</v>
      </c>
      <c r="B1658" s="14" t="s">
        <v>928</v>
      </c>
      <c r="C1658" s="12" t="s">
        <v>449</v>
      </c>
      <c r="D1658" s="15" t="str">
        <f t="shared" si="25"/>
        <v>Reporting - RPA</v>
      </c>
      <c r="E1658" s="12" t="s">
        <v>126</v>
      </c>
      <c r="F1658" s="12" t="s">
        <v>890</v>
      </c>
      <c r="G1658" s="12" t="s">
        <v>890</v>
      </c>
      <c r="H1658" s="12" t="s">
        <v>1025</v>
      </c>
      <c r="I1658" s="12" t="s">
        <v>1026</v>
      </c>
    </row>
    <row r="1659" spans="1:9">
      <c r="A1659" s="14">
        <v>90419</v>
      </c>
      <c r="B1659" s="14" t="s">
        <v>928</v>
      </c>
      <c r="C1659" s="12" t="s">
        <v>145</v>
      </c>
      <c r="D1659" s="15" t="str">
        <f t="shared" si="25"/>
        <v>Reporting - SUP</v>
      </c>
      <c r="E1659" s="12" t="s">
        <v>126</v>
      </c>
      <c r="F1659" s="12" t="s">
        <v>890</v>
      </c>
      <c r="G1659" s="12" t="s">
        <v>890</v>
      </c>
      <c r="H1659" s="12" t="s">
        <v>1025</v>
      </c>
      <c r="I1659" s="12" t="s">
        <v>1026</v>
      </c>
    </row>
    <row r="1660" spans="1:9">
      <c r="A1660" s="14">
        <v>90419</v>
      </c>
      <c r="B1660" s="14" t="s">
        <v>928</v>
      </c>
      <c r="C1660" s="12" t="s">
        <v>180</v>
      </c>
      <c r="D1660" s="15" t="str">
        <f t="shared" si="25"/>
        <v>Reporting - TMG</v>
      </c>
      <c r="E1660" s="12" t="s">
        <v>126</v>
      </c>
      <c r="F1660" s="12" t="s">
        <v>890</v>
      </c>
      <c r="G1660" s="12" t="s">
        <v>890</v>
      </c>
      <c r="H1660" s="12" t="s">
        <v>1025</v>
      </c>
      <c r="I1660" s="12" t="s">
        <v>1026</v>
      </c>
    </row>
    <row r="1661" spans="1:9">
      <c r="A1661" s="14">
        <v>91419</v>
      </c>
      <c r="B1661" s="14" t="s">
        <v>944</v>
      </c>
      <c r="C1661" s="12" t="s">
        <v>145</v>
      </c>
      <c r="D1661" s="15" t="str">
        <f t="shared" si="25"/>
        <v>Reporting SD - SUP</v>
      </c>
      <c r="E1661" s="12" t="s">
        <v>126</v>
      </c>
      <c r="F1661" s="12" t="s">
        <v>890</v>
      </c>
      <c r="G1661" s="12" t="s">
        <v>890</v>
      </c>
      <c r="H1661" s="12" t="s">
        <v>1025</v>
      </c>
      <c r="I1661" s="12" t="s">
        <v>1026</v>
      </c>
    </row>
    <row r="1662" spans="1:9">
      <c r="A1662" s="14">
        <v>96210</v>
      </c>
      <c r="B1662" s="14" t="s">
        <v>1007</v>
      </c>
      <c r="C1662" s="12" t="s">
        <v>129</v>
      </c>
      <c r="D1662" s="15" t="str">
        <f t="shared" si="25"/>
        <v>Reporting Shared Services - MGT</v>
      </c>
      <c r="E1662" s="12" t="s">
        <v>104</v>
      </c>
      <c r="F1662" s="12" t="s">
        <v>867</v>
      </c>
      <c r="G1662" s="12" t="s">
        <v>114</v>
      </c>
      <c r="H1662" s="12" t="s">
        <v>1025</v>
      </c>
      <c r="I1662" s="12" t="s">
        <v>1026</v>
      </c>
    </row>
    <row r="1663" spans="1:9">
      <c r="A1663" s="14">
        <v>96210</v>
      </c>
      <c r="B1663" s="14" t="s">
        <v>1007</v>
      </c>
      <c r="C1663" s="12" t="s">
        <v>177</v>
      </c>
      <c r="D1663" s="15" t="str">
        <f t="shared" si="25"/>
        <v>Reporting Shared Services - OPS</v>
      </c>
      <c r="E1663" s="12" t="s">
        <v>104</v>
      </c>
      <c r="F1663" s="12" t="s">
        <v>867</v>
      </c>
      <c r="G1663" s="12" t="s">
        <v>114</v>
      </c>
      <c r="H1663" s="12" t="s">
        <v>1025</v>
      </c>
      <c r="I1663" s="12" t="s">
        <v>1026</v>
      </c>
    </row>
    <row r="1664" spans="1:9">
      <c r="A1664" s="14">
        <v>96210</v>
      </c>
      <c r="B1664" s="14" t="s">
        <v>1007</v>
      </c>
      <c r="C1664" s="12" t="s">
        <v>145</v>
      </c>
      <c r="D1664" s="15" t="str">
        <f t="shared" si="25"/>
        <v>Reporting Shared Services - SUP</v>
      </c>
      <c r="E1664" s="12" t="s">
        <v>104</v>
      </c>
      <c r="F1664" s="12" t="s">
        <v>867</v>
      </c>
      <c r="G1664" s="12" t="s">
        <v>114</v>
      </c>
      <c r="H1664" s="12" t="s">
        <v>1025</v>
      </c>
      <c r="I1664" s="12" t="s">
        <v>1026</v>
      </c>
    </row>
    <row r="1665" spans="1:9">
      <c r="A1665" s="14">
        <v>95220</v>
      </c>
      <c r="B1665" s="14" t="s">
        <v>915</v>
      </c>
      <c r="C1665" s="12" t="s">
        <v>262</v>
      </c>
      <c r="D1665" s="15" t="str">
        <f t="shared" si="25"/>
        <v>Requirements Team - GSI</v>
      </c>
      <c r="E1665" s="12" t="s">
        <v>104</v>
      </c>
      <c r="F1665" s="12" t="s">
        <v>263</v>
      </c>
      <c r="G1665" s="12" t="s">
        <v>264</v>
      </c>
      <c r="H1665" s="12" t="s">
        <v>1025</v>
      </c>
      <c r="I1665" s="12" t="s">
        <v>1026</v>
      </c>
    </row>
    <row r="1666" spans="1:9">
      <c r="A1666" s="14">
        <v>95220</v>
      </c>
      <c r="B1666" s="14" t="s">
        <v>915</v>
      </c>
      <c r="C1666" s="12" t="s">
        <v>129</v>
      </c>
      <c r="D1666" s="15" t="str">
        <f t="shared" ref="D1666:D1729" si="26">B1666&amp;" - "&amp;C1666</f>
        <v>Requirements Team - MGT</v>
      </c>
      <c r="E1666" s="12" t="s">
        <v>104</v>
      </c>
      <c r="F1666" s="12" t="s">
        <v>263</v>
      </c>
      <c r="G1666" s="12" t="s">
        <v>264</v>
      </c>
      <c r="H1666" s="12" t="s">
        <v>1025</v>
      </c>
      <c r="I1666" s="12" t="s">
        <v>1026</v>
      </c>
    </row>
    <row r="1667" spans="1:9">
      <c r="A1667" s="14">
        <v>95220</v>
      </c>
      <c r="B1667" s="14" t="s">
        <v>915</v>
      </c>
      <c r="C1667" s="12" t="s">
        <v>139</v>
      </c>
      <c r="D1667" s="15" t="str">
        <f t="shared" si="26"/>
        <v>Requirements Team - SMGT</v>
      </c>
      <c r="E1667" s="12" t="s">
        <v>104</v>
      </c>
      <c r="F1667" s="12" t="s">
        <v>263</v>
      </c>
      <c r="G1667" s="12" t="s">
        <v>264</v>
      </c>
      <c r="H1667" s="12" t="s">
        <v>1025</v>
      </c>
      <c r="I1667" s="12" t="s">
        <v>1026</v>
      </c>
    </row>
    <row r="1668" spans="1:9">
      <c r="A1668" s="14">
        <v>95220</v>
      </c>
      <c r="B1668" s="14" t="s">
        <v>915</v>
      </c>
      <c r="C1668" s="12" t="s">
        <v>145</v>
      </c>
      <c r="D1668" s="15" t="str">
        <f t="shared" si="26"/>
        <v>Requirements Team - SUP</v>
      </c>
      <c r="E1668" s="12" t="s">
        <v>104</v>
      </c>
      <c r="F1668" s="12" t="s">
        <v>263</v>
      </c>
      <c r="G1668" s="12" t="s">
        <v>264</v>
      </c>
      <c r="H1668" s="12" t="s">
        <v>1025</v>
      </c>
      <c r="I1668" s="12" t="s">
        <v>1026</v>
      </c>
    </row>
    <row r="1669" spans="1:9">
      <c r="A1669" s="14">
        <v>88025</v>
      </c>
      <c r="B1669" s="14" t="s">
        <v>907</v>
      </c>
      <c r="C1669" s="12" t="s">
        <v>133</v>
      </c>
      <c r="D1669" s="15" t="str">
        <f t="shared" si="26"/>
        <v>Research Support - AMG</v>
      </c>
      <c r="E1669" s="12" t="s">
        <v>126</v>
      </c>
      <c r="F1669" s="12" t="s">
        <v>184</v>
      </c>
      <c r="G1669" s="12" t="s">
        <v>184</v>
      </c>
      <c r="H1669" s="12" t="s">
        <v>1025</v>
      </c>
      <c r="I1669" s="12" t="s">
        <v>1026</v>
      </c>
    </row>
    <row r="1670" spans="1:9">
      <c r="A1670" s="14">
        <v>88025</v>
      </c>
      <c r="B1670" s="14" t="s">
        <v>907</v>
      </c>
      <c r="C1670" s="12" t="s">
        <v>1020</v>
      </c>
      <c r="D1670" s="15" t="str">
        <f t="shared" si="26"/>
        <v>Research Support - CNS</v>
      </c>
      <c r="E1670" s="12" t="s">
        <v>126</v>
      </c>
      <c r="F1670" s="12" t="s">
        <v>184</v>
      </c>
      <c r="G1670" s="12" t="s">
        <v>184</v>
      </c>
      <c r="H1670" s="12" t="s">
        <v>1025</v>
      </c>
      <c r="I1670" s="12" t="s">
        <v>1026</v>
      </c>
    </row>
    <row r="1671" spans="1:9">
      <c r="A1671" s="14">
        <v>88025</v>
      </c>
      <c r="B1671" s="14" t="s">
        <v>907</v>
      </c>
      <c r="C1671" s="12" t="s">
        <v>116</v>
      </c>
      <c r="D1671" s="15" t="str">
        <f t="shared" si="26"/>
        <v>Research Support - PRD</v>
      </c>
      <c r="E1671" s="12" t="s">
        <v>126</v>
      </c>
      <c r="F1671" s="12" t="s">
        <v>184</v>
      </c>
      <c r="G1671" s="12" t="s">
        <v>184</v>
      </c>
      <c r="H1671" s="12" t="s">
        <v>1025</v>
      </c>
      <c r="I1671" s="12" t="s">
        <v>1026</v>
      </c>
    </row>
    <row r="1672" spans="1:9">
      <c r="A1672" s="14">
        <v>88025</v>
      </c>
      <c r="B1672" s="14" t="s">
        <v>907</v>
      </c>
      <c r="C1672" s="12" t="s">
        <v>510</v>
      </c>
      <c r="D1672" s="15" t="str">
        <f t="shared" si="26"/>
        <v>Research Support - RST</v>
      </c>
      <c r="E1672" s="12" t="s">
        <v>126</v>
      </c>
      <c r="F1672" s="12" t="s">
        <v>184</v>
      </c>
      <c r="G1672" s="12" t="s">
        <v>184</v>
      </c>
      <c r="H1672" s="12" t="s">
        <v>1025</v>
      </c>
      <c r="I1672" s="12" t="s">
        <v>1026</v>
      </c>
    </row>
    <row r="1673" spans="1:9">
      <c r="A1673" s="14">
        <v>88025</v>
      </c>
      <c r="B1673" s="14" t="s">
        <v>907</v>
      </c>
      <c r="C1673" s="12" t="s">
        <v>139</v>
      </c>
      <c r="D1673" s="15" t="str">
        <f t="shared" si="26"/>
        <v>Research Support - SMGT</v>
      </c>
      <c r="E1673" s="12" t="s">
        <v>126</v>
      </c>
      <c r="F1673" s="12" t="s">
        <v>184</v>
      </c>
      <c r="G1673" s="12" t="s">
        <v>184</v>
      </c>
      <c r="H1673" s="12" t="s">
        <v>1025</v>
      </c>
      <c r="I1673" s="12" t="s">
        <v>1026</v>
      </c>
    </row>
    <row r="1674" spans="1:9">
      <c r="A1674" s="14">
        <v>88025</v>
      </c>
      <c r="B1674" s="14" t="s">
        <v>907</v>
      </c>
      <c r="C1674" s="12" t="s">
        <v>145</v>
      </c>
      <c r="D1674" s="15" t="str">
        <f t="shared" si="26"/>
        <v>Research Support - SUP</v>
      </c>
      <c r="E1674" s="12" t="s">
        <v>126</v>
      </c>
      <c r="F1674" s="12" t="s">
        <v>184</v>
      </c>
      <c r="G1674" s="12" t="s">
        <v>184</v>
      </c>
      <c r="H1674" s="12" t="s">
        <v>1025</v>
      </c>
      <c r="I1674" s="12" t="s">
        <v>1026</v>
      </c>
    </row>
    <row r="1675" spans="1:9">
      <c r="A1675" s="14">
        <v>93005</v>
      </c>
      <c r="B1675" s="14" t="s">
        <v>953</v>
      </c>
      <c r="C1675" s="12" t="s">
        <v>116</v>
      </c>
      <c r="D1675" s="15" t="str">
        <f t="shared" si="26"/>
        <v>Research_Investment - PRD</v>
      </c>
      <c r="E1675" s="12" t="s">
        <v>126</v>
      </c>
      <c r="F1675" s="12" t="s">
        <v>184</v>
      </c>
      <c r="G1675" s="12" t="s">
        <v>184</v>
      </c>
      <c r="H1675" s="12" t="s">
        <v>1025</v>
      </c>
      <c r="I1675" s="12" t="s">
        <v>1026</v>
      </c>
    </row>
    <row r="1676" spans="1:9">
      <c r="A1676" s="14">
        <v>93005</v>
      </c>
      <c r="B1676" s="14" t="s">
        <v>953</v>
      </c>
      <c r="C1676" s="12" t="s">
        <v>145</v>
      </c>
      <c r="D1676" s="15" t="str">
        <f t="shared" si="26"/>
        <v>Research_Investment - SUP</v>
      </c>
      <c r="E1676" s="12" t="s">
        <v>126</v>
      </c>
      <c r="F1676" s="12" t="s">
        <v>184</v>
      </c>
      <c r="G1676" s="12" t="s">
        <v>184</v>
      </c>
      <c r="H1676" s="12" t="s">
        <v>1025</v>
      </c>
      <c r="I1676" s="12" t="s">
        <v>1026</v>
      </c>
    </row>
    <row r="1677" spans="1:9">
      <c r="A1677" s="14">
        <v>40097</v>
      </c>
      <c r="B1677" s="14" t="s">
        <v>670</v>
      </c>
      <c r="C1677" s="12" t="s">
        <v>597</v>
      </c>
      <c r="D1677" s="15" t="str">
        <f t="shared" si="26"/>
        <v>Research_Projects - BAS</v>
      </c>
      <c r="E1677" s="12" t="s">
        <v>126</v>
      </c>
      <c r="F1677" s="12" t="s">
        <v>184</v>
      </c>
      <c r="G1677" s="12" t="s">
        <v>184</v>
      </c>
      <c r="H1677" s="12" t="s">
        <v>1025</v>
      </c>
      <c r="I1677" s="12" t="s">
        <v>1026</v>
      </c>
    </row>
    <row r="1678" spans="1:9">
      <c r="A1678" s="14">
        <v>40097</v>
      </c>
      <c r="B1678" s="14" t="s">
        <v>670</v>
      </c>
      <c r="C1678" s="12" t="s">
        <v>1020</v>
      </c>
      <c r="D1678" s="15" t="str">
        <f t="shared" si="26"/>
        <v>Research_Projects - CNS</v>
      </c>
      <c r="E1678" s="12" t="s">
        <v>126</v>
      </c>
      <c r="F1678" s="12" t="s">
        <v>184</v>
      </c>
      <c r="G1678" s="12" t="s">
        <v>184</v>
      </c>
      <c r="H1678" s="12" t="s">
        <v>1025</v>
      </c>
      <c r="I1678" s="12" t="s">
        <v>1026</v>
      </c>
    </row>
    <row r="1679" spans="1:9">
      <c r="A1679" s="14">
        <v>40097</v>
      </c>
      <c r="B1679" s="14" t="s">
        <v>670</v>
      </c>
      <c r="C1679" s="12" t="s">
        <v>168</v>
      </c>
      <c r="D1679" s="15" t="str">
        <f t="shared" si="26"/>
        <v>Research_Projects - ESC</v>
      </c>
      <c r="E1679" s="12" t="s">
        <v>126</v>
      </c>
      <c r="F1679" s="12" t="s">
        <v>184</v>
      </c>
      <c r="G1679" s="12" t="s">
        <v>184</v>
      </c>
      <c r="H1679" s="12" t="s">
        <v>1025</v>
      </c>
      <c r="I1679" s="12" t="s">
        <v>1026</v>
      </c>
    </row>
    <row r="1680" spans="1:9">
      <c r="A1680" s="14">
        <v>40097</v>
      </c>
      <c r="B1680" s="14" t="s">
        <v>670</v>
      </c>
      <c r="C1680" s="12" t="s">
        <v>129</v>
      </c>
      <c r="D1680" s="15" t="str">
        <f t="shared" si="26"/>
        <v>Research_Projects - MGT</v>
      </c>
      <c r="E1680" s="12" t="s">
        <v>126</v>
      </c>
      <c r="F1680" s="12" t="s">
        <v>184</v>
      </c>
      <c r="G1680" s="12" t="s">
        <v>184</v>
      </c>
      <c r="H1680" s="12" t="s">
        <v>1025</v>
      </c>
      <c r="I1680" s="12" t="s">
        <v>1026</v>
      </c>
    </row>
    <row r="1681" spans="1:9">
      <c r="A1681" s="14">
        <v>40097</v>
      </c>
      <c r="B1681" s="14" t="s">
        <v>670</v>
      </c>
      <c r="C1681" s="12" t="s">
        <v>116</v>
      </c>
      <c r="D1681" s="15" t="str">
        <f t="shared" si="26"/>
        <v>Research_Projects - PRD</v>
      </c>
      <c r="E1681" s="12" t="s">
        <v>126</v>
      </c>
      <c r="F1681" s="12" t="s">
        <v>184</v>
      </c>
      <c r="G1681" s="12" t="s">
        <v>184</v>
      </c>
      <c r="H1681" s="12" t="s">
        <v>1025</v>
      </c>
      <c r="I1681" s="12" t="s">
        <v>1026</v>
      </c>
    </row>
    <row r="1682" spans="1:9">
      <c r="A1682" s="14">
        <v>40097</v>
      </c>
      <c r="B1682" s="14" t="s">
        <v>670</v>
      </c>
      <c r="C1682" s="12" t="s">
        <v>510</v>
      </c>
      <c r="D1682" s="15" t="str">
        <f t="shared" si="26"/>
        <v>Research_Projects - RST</v>
      </c>
      <c r="E1682" s="12" t="s">
        <v>126</v>
      </c>
      <c r="F1682" s="12" t="s">
        <v>184</v>
      </c>
      <c r="G1682" s="12" t="s">
        <v>184</v>
      </c>
      <c r="H1682" s="12" t="s">
        <v>1025</v>
      </c>
      <c r="I1682" s="12" t="s">
        <v>1026</v>
      </c>
    </row>
    <row r="1683" spans="1:9">
      <c r="A1683" s="14">
        <v>40097</v>
      </c>
      <c r="B1683" s="14" t="s">
        <v>670</v>
      </c>
      <c r="C1683" s="12" t="s">
        <v>145</v>
      </c>
      <c r="D1683" s="15" t="str">
        <f t="shared" si="26"/>
        <v>Research_Projects - SUP</v>
      </c>
      <c r="E1683" s="12" t="s">
        <v>126</v>
      </c>
      <c r="F1683" s="12" t="s">
        <v>184</v>
      </c>
      <c r="G1683" s="12" t="s">
        <v>184</v>
      </c>
      <c r="H1683" s="12" t="s">
        <v>1025</v>
      </c>
      <c r="I1683" s="12" t="s">
        <v>1026</v>
      </c>
    </row>
    <row r="1684" spans="1:9">
      <c r="A1684" s="14">
        <v>93221</v>
      </c>
      <c r="B1684" s="14" t="s">
        <v>958</v>
      </c>
      <c r="C1684" s="12" t="s">
        <v>129</v>
      </c>
      <c r="D1684" s="15" t="str">
        <f t="shared" si="26"/>
        <v>Retail - MGT</v>
      </c>
      <c r="E1684" s="12" t="s">
        <v>104</v>
      </c>
      <c r="F1684" s="12" t="s">
        <v>373</v>
      </c>
      <c r="G1684" s="12" t="s">
        <v>114</v>
      </c>
      <c r="H1684" s="12" t="s">
        <v>1025</v>
      </c>
      <c r="I1684" s="12" t="s">
        <v>1026</v>
      </c>
    </row>
    <row r="1685" spans="1:9">
      <c r="A1685" s="14">
        <v>95506</v>
      </c>
      <c r="B1685" s="14" t="s">
        <v>997</v>
      </c>
      <c r="C1685" s="12" t="s">
        <v>129</v>
      </c>
      <c r="D1685" s="15" t="str">
        <f t="shared" si="26"/>
        <v>Risk and Compliance(SGS) - MGT</v>
      </c>
      <c r="E1685" s="12" t="s">
        <v>117</v>
      </c>
      <c r="F1685" s="12" t="s">
        <v>117</v>
      </c>
      <c r="G1685" s="12" t="s">
        <v>117</v>
      </c>
      <c r="H1685" s="12" t="s">
        <v>1025</v>
      </c>
      <c r="I1685" s="12" t="s">
        <v>1026</v>
      </c>
    </row>
    <row r="1686" spans="1:9">
      <c r="A1686" s="14">
        <v>95506</v>
      </c>
      <c r="B1686" s="14" t="s">
        <v>997</v>
      </c>
      <c r="C1686" s="12" t="s">
        <v>134</v>
      </c>
      <c r="D1686" s="15" t="str">
        <f t="shared" si="26"/>
        <v>Risk and Compliance(SGS) - SEC</v>
      </c>
      <c r="E1686" s="12" t="s">
        <v>117</v>
      </c>
      <c r="F1686" s="12" t="s">
        <v>117</v>
      </c>
      <c r="G1686" s="12" t="s">
        <v>117</v>
      </c>
      <c r="H1686" s="12" t="s">
        <v>1025</v>
      </c>
      <c r="I1686" s="12" t="s">
        <v>1026</v>
      </c>
    </row>
    <row r="1687" spans="1:9">
      <c r="A1687" s="14">
        <v>95506</v>
      </c>
      <c r="B1687" s="14" t="s">
        <v>997</v>
      </c>
      <c r="C1687" s="12" t="s">
        <v>145</v>
      </c>
      <c r="D1687" s="15" t="str">
        <f t="shared" si="26"/>
        <v>Risk and Compliance(SGS) - SUP</v>
      </c>
      <c r="E1687" s="12" t="s">
        <v>117</v>
      </c>
      <c r="F1687" s="12" t="s">
        <v>117</v>
      </c>
      <c r="G1687" s="12" t="s">
        <v>117</v>
      </c>
      <c r="H1687" s="12" t="s">
        <v>1025</v>
      </c>
      <c r="I1687" s="12" t="s">
        <v>1026</v>
      </c>
    </row>
    <row r="1688" spans="1:9">
      <c r="A1688" s="14">
        <v>95509</v>
      </c>
      <c r="B1688" s="14" t="s">
        <v>1001</v>
      </c>
      <c r="C1688" s="12" t="s">
        <v>177</v>
      </c>
      <c r="D1688" s="15" t="str">
        <f t="shared" si="26"/>
        <v>Risk and Compliance(SHS) - OPS</v>
      </c>
      <c r="E1688" s="12" t="s">
        <v>104</v>
      </c>
      <c r="F1688" s="12" t="s">
        <v>263</v>
      </c>
      <c r="G1688" s="12" t="s">
        <v>264</v>
      </c>
      <c r="H1688" s="12" t="s">
        <v>1025</v>
      </c>
      <c r="I1688" s="12" t="s">
        <v>1026</v>
      </c>
    </row>
    <row r="1689" spans="1:9">
      <c r="A1689" s="14">
        <v>10708</v>
      </c>
      <c r="B1689" s="14" t="s">
        <v>327</v>
      </c>
      <c r="C1689" s="12" t="s">
        <v>262</v>
      </c>
      <c r="D1689" s="15" t="str">
        <f t="shared" si="26"/>
        <v>Robotics -Genesis - GSI</v>
      </c>
      <c r="E1689" s="12" t="s">
        <v>104</v>
      </c>
      <c r="F1689" s="12" t="s">
        <v>117</v>
      </c>
      <c r="G1689" s="12" t="s">
        <v>117</v>
      </c>
      <c r="H1689" s="12" t="s">
        <v>1025</v>
      </c>
      <c r="I1689" s="12" t="s">
        <v>1026</v>
      </c>
    </row>
    <row r="1690" spans="1:9">
      <c r="A1690" s="14">
        <v>10708</v>
      </c>
      <c r="B1690" s="14" t="s">
        <v>327</v>
      </c>
      <c r="C1690" s="12" t="s">
        <v>145</v>
      </c>
      <c r="D1690" s="15" t="str">
        <f t="shared" si="26"/>
        <v>Robotics -Genesis - SUP</v>
      </c>
      <c r="E1690" s="12" t="s">
        <v>104</v>
      </c>
      <c r="F1690" s="12" t="s">
        <v>117</v>
      </c>
      <c r="G1690" s="12" t="s">
        <v>117</v>
      </c>
      <c r="H1690" s="12" t="s">
        <v>1025</v>
      </c>
      <c r="I1690" s="12" t="s">
        <v>1026</v>
      </c>
    </row>
    <row r="1691" spans="1:9">
      <c r="A1691" s="14">
        <v>10820</v>
      </c>
      <c r="B1691" s="14" t="s">
        <v>402</v>
      </c>
      <c r="C1691" s="12" t="s">
        <v>116</v>
      </c>
      <c r="D1691" s="15" t="str">
        <f t="shared" si="26"/>
        <v>Royal Brunei Cargo Audit - PRD</v>
      </c>
      <c r="E1691" s="12" t="s">
        <v>126</v>
      </c>
      <c r="F1691" s="12" t="s">
        <v>163</v>
      </c>
      <c r="G1691" s="12" t="s">
        <v>164</v>
      </c>
      <c r="H1691" s="12" t="s">
        <v>1025</v>
      </c>
      <c r="I1691" s="12" t="s">
        <v>1026</v>
      </c>
    </row>
    <row r="1692" spans="1:9">
      <c r="A1692" s="14">
        <v>10820</v>
      </c>
      <c r="B1692" s="14" t="s">
        <v>402</v>
      </c>
      <c r="C1692" s="12" t="s">
        <v>185</v>
      </c>
      <c r="D1692" s="15" t="str">
        <f t="shared" si="26"/>
        <v>Royal Brunei Cargo Audit - TPS</v>
      </c>
      <c r="E1692" s="12" t="s">
        <v>126</v>
      </c>
      <c r="F1692" s="12" t="s">
        <v>163</v>
      </c>
      <c r="G1692" s="12" t="s">
        <v>164</v>
      </c>
      <c r="H1692" s="12" t="s">
        <v>1025</v>
      </c>
      <c r="I1692" s="12" t="s">
        <v>1026</v>
      </c>
    </row>
    <row r="1693" spans="1:9">
      <c r="A1693" s="14">
        <v>18070</v>
      </c>
      <c r="B1693" s="14" t="s">
        <v>631</v>
      </c>
      <c r="C1693" s="12" t="s">
        <v>185</v>
      </c>
      <c r="D1693" s="15" t="str">
        <f t="shared" si="26"/>
        <v>Sage residential -SAIF -India - TPS</v>
      </c>
      <c r="E1693" s="12" t="s">
        <v>126</v>
      </c>
      <c r="F1693" s="12" t="s">
        <v>163</v>
      </c>
      <c r="G1693" s="12" t="s">
        <v>164</v>
      </c>
      <c r="H1693" s="12" t="s">
        <v>1025</v>
      </c>
      <c r="I1693" s="12" t="s">
        <v>1026</v>
      </c>
    </row>
    <row r="1694" spans="1:9">
      <c r="A1694" s="14">
        <v>10871</v>
      </c>
      <c r="B1694" s="14" t="s">
        <v>432</v>
      </c>
      <c r="C1694" s="12" t="s">
        <v>150</v>
      </c>
      <c r="D1694" s="15" t="str">
        <f t="shared" si="26"/>
        <v>Saks Contact center Ind - CCS</v>
      </c>
      <c r="E1694" s="12" t="s">
        <v>126</v>
      </c>
      <c r="F1694" s="12" t="s">
        <v>127</v>
      </c>
      <c r="G1694" s="12" t="s">
        <v>128</v>
      </c>
      <c r="H1694" s="12" t="s">
        <v>1025</v>
      </c>
      <c r="I1694" s="12" t="s">
        <v>1026</v>
      </c>
    </row>
    <row r="1695" spans="1:9">
      <c r="A1695" s="14">
        <v>10910</v>
      </c>
      <c r="B1695" s="14" t="s">
        <v>453</v>
      </c>
      <c r="C1695" s="12" t="s">
        <v>193</v>
      </c>
      <c r="D1695" s="15" t="str">
        <f t="shared" si="26"/>
        <v>Saks Data and Appn Dvlpmt JC - DEV</v>
      </c>
      <c r="E1695" s="12" t="s">
        <v>117</v>
      </c>
      <c r="F1695" s="12" t="s">
        <v>117</v>
      </c>
      <c r="G1695" s="12" t="s">
        <v>117</v>
      </c>
      <c r="H1695" s="12" t="s">
        <v>1025</v>
      </c>
      <c r="I1695" s="12" t="s">
        <v>1026</v>
      </c>
    </row>
    <row r="1696" spans="1:9">
      <c r="A1696" s="14">
        <v>10824</v>
      </c>
      <c r="B1696" s="14" t="s">
        <v>411</v>
      </c>
      <c r="C1696" s="12" t="s">
        <v>193</v>
      </c>
      <c r="D1696" s="15" t="str">
        <f t="shared" si="26"/>
        <v>Saks-data engineering POD-Ind - DEV</v>
      </c>
      <c r="E1696" s="12" t="s">
        <v>117</v>
      </c>
      <c r="F1696" s="12" t="s">
        <v>117</v>
      </c>
      <c r="G1696" s="12" t="s">
        <v>117</v>
      </c>
      <c r="H1696" s="12" t="s">
        <v>1025</v>
      </c>
      <c r="I1696" s="12" t="s">
        <v>1026</v>
      </c>
    </row>
    <row r="1697" spans="1:9">
      <c r="A1697" s="14">
        <v>10824</v>
      </c>
      <c r="B1697" s="14" t="s">
        <v>411</v>
      </c>
      <c r="C1697" s="12" t="s">
        <v>129</v>
      </c>
      <c r="D1697" s="15" t="str">
        <f t="shared" si="26"/>
        <v>Saks-data engineering POD-Ind - MGT</v>
      </c>
      <c r="E1697" s="12" t="s">
        <v>117</v>
      </c>
      <c r="F1697" s="12" t="s">
        <v>117</v>
      </c>
      <c r="G1697" s="12" t="s">
        <v>117</v>
      </c>
      <c r="H1697" s="12" t="s">
        <v>1025</v>
      </c>
      <c r="I1697" s="12" t="s">
        <v>1026</v>
      </c>
    </row>
    <row r="1698" spans="1:9">
      <c r="A1698" s="14">
        <v>10824</v>
      </c>
      <c r="B1698" s="14" t="s">
        <v>411</v>
      </c>
      <c r="C1698" s="12" t="s">
        <v>145</v>
      </c>
      <c r="D1698" s="15" t="str">
        <f t="shared" si="26"/>
        <v>Saks-data engineering POD-Ind - SUP</v>
      </c>
      <c r="E1698" s="12" t="s">
        <v>117</v>
      </c>
      <c r="F1698" s="12" t="s">
        <v>117</v>
      </c>
      <c r="G1698" s="12" t="s">
        <v>117</v>
      </c>
      <c r="H1698" s="12" t="s">
        <v>1025</v>
      </c>
      <c r="I1698" s="12" t="s">
        <v>1026</v>
      </c>
    </row>
    <row r="1699" spans="1:9">
      <c r="A1699" s="14">
        <v>93686</v>
      </c>
      <c r="B1699" s="14" t="s">
        <v>968</v>
      </c>
      <c r="C1699" s="12" t="s">
        <v>145</v>
      </c>
      <c r="D1699" s="15" t="str">
        <f t="shared" si="26"/>
        <v>Sales Enablement - SUP</v>
      </c>
      <c r="E1699" s="12" t="s">
        <v>104</v>
      </c>
      <c r="F1699" s="12" t="s">
        <v>303</v>
      </c>
      <c r="G1699" s="12" t="s">
        <v>114</v>
      </c>
      <c r="H1699" s="12" t="s">
        <v>1025</v>
      </c>
      <c r="I1699" s="12" t="s">
        <v>1026</v>
      </c>
    </row>
    <row r="1700" spans="1:9">
      <c r="A1700" s="14">
        <v>10082</v>
      </c>
      <c r="B1700" s="14" t="s">
        <v>197</v>
      </c>
      <c r="C1700" s="12" t="s">
        <v>185</v>
      </c>
      <c r="D1700" s="15" t="str">
        <f t="shared" si="26"/>
        <v>SAP - Concur Invoice Pilot - TPS</v>
      </c>
      <c r="E1700" s="12" t="s">
        <v>126</v>
      </c>
      <c r="F1700" s="12" t="s">
        <v>163</v>
      </c>
      <c r="G1700" s="12" t="s">
        <v>164</v>
      </c>
      <c r="H1700" s="12" t="s">
        <v>1025</v>
      </c>
      <c r="I1700" s="12" t="s">
        <v>1026</v>
      </c>
    </row>
    <row r="1701" spans="1:9">
      <c r="A1701" s="14">
        <v>10999</v>
      </c>
      <c r="B1701" s="14" t="s">
        <v>503</v>
      </c>
      <c r="C1701" s="12" t="s">
        <v>150</v>
      </c>
      <c r="D1701" s="15" t="str">
        <f t="shared" si="26"/>
        <v>SAS - Customer Service - CCS</v>
      </c>
      <c r="E1701" s="12" t="s">
        <v>126</v>
      </c>
      <c r="F1701" s="12" t="s">
        <v>163</v>
      </c>
      <c r="G1701" s="12" t="s">
        <v>164</v>
      </c>
      <c r="H1701" s="12" t="s">
        <v>1025</v>
      </c>
      <c r="I1701" s="12" t="s">
        <v>1026</v>
      </c>
    </row>
    <row r="1702" spans="1:9">
      <c r="A1702" s="14">
        <v>10999</v>
      </c>
      <c r="B1702" s="14" t="s">
        <v>503</v>
      </c>
      <c r="C1702" s="12" t="s">
        <v>161</v>
      </c>
      <c r="D1702" s="15" t="str">
        <f t="shared" si="26"/>
        <v>SAS - Customer Service - ECC</v>
      </c>
      <c r="E1702" s="12" t="s">
        <v>126</v>
      </c>
      <c r="F1702" s="12" t="s">
        <v>163</v>
      </c>
      <c r="G1702" s="12" t="s">
        <v>164</v>
      </c>
      <c r="H1702" s="12" t="s">
        <v>1025</v>
      </c>
      <c r="I1702" s="12" t="s">
        <v>1026</v>
      </c>
    </row>
    <row r="1703" spans="1:9">
      <c r="A1703" s="14">
        <v>10999</v>
      </c>
      <c r="B1703" s="14" t="s">
        <v>503</v>
      </c>
      <c r="C1703" s="12" t="s">
        <v>177</v>
      </c>
      <c r="D1703" s="15" t="str">
        <f t="shared" si="26"/>
        <v>SAS - Customer Service - OPS</v>
      </c>
      <c r="E1703" s="12" t="s">
        <v>126</v>
      </c>
      <c r="F1703" s="12" t="s">
        <v>163</v>
      </c>
      <c r="G1703" s="12" t="s">
        <v>164</v>
      </c>
      <c r="H1703" s="12" t="s">
        <v>1025</v>
      </c>
      <c r="I1703" s="12" t="s">
        <v>1026</v>
      </c>
    </row>
    <row r="1704" spans="1:9">
      <c r="A1704" s="14">
        <v>10999</v>
      </c>
      <c r="B1704" s="14" t="s">
        <v>503</v>
      </c>
      <c r="C1704" s="12" t="s">
        <v>111</v>
      </c>
      <c r="D1704" s="15" t="str">
        <f t="shared" si="26"/>
        <v>SAS - Customer Service - QLY</v>
      </c>
      <c r="E1704" s="12" t="s">
        <v>112</v>
      </c>
      <c r="F1704" s="12" t="s">
        <v>113</v>
      </c>
      <c r="G1704" s="12" t="s">
        <v>114</v>
      </c>
      <c r="H1704" s="12" t="s">
        <v>1025</v>
      </c>
      <c r="I1704" s="12" t="s">
        <v>1026</v>
      </c>
    </row>
    <row r="1705" spans="1:9">
      <c r="A1705" s="14">
        <v>10999</v>
      </c>
      <c r="B1705" s="14" t="s">
        <v>503</v>
      </c>
      <c r="C1705" s="12" t="s">
        <v>180</v>
      </c>
      <c r="D1705" s="15" t="str">
        <f t="shared" si="26"/>
        <v>SAS - Customer Service - TMG</v>
      </c>
      <c r="E1705" s="12" t="s">
        <v>126</v>
      </c>
      <c r="F1705" s="12" t="s">
        <v>163</v>
      </c>
      <c r="G1705" s="12" t="s">
        <v>164</v>
      </c>
      <c r="H1705" s="12" t="s">
        <v>1025</v>
      </c>
      <c r="I1705" s="12" t="s">
        <v>1026</v>
      </c>
    </row>
    <row r="1706" spans="1:9">
      <c r="A1706" s="14">
        <v>10999</v>
      </c>
      <c r="B1706" s="14" t="s">
        <v>503</v>
      </c>
      <c r="C1706" s="12" t="s">
        <v>185</v>
      </c>
      <c r="D1706" s="15" t="str">
        <f t="shared" si="26"/>
        <v>SAS - Customer Service - TPS</v>
      </c>
      <c r="E1706" s="12" t="s">
        <v>126</v>
      </c>
      <c r="F1706" s="12" t="s">
        <v>163</v>
      </c>
      <c r="G1706" s="12" t="s">
        <v>164</v>
      </c>
      <c r="H1706" s="12" t="s">
        <v>1025</v>
      </c>
      <c r="I1706" s="12" t="s">
        <v>1026</v>
      </c>
    </row>
    <row r="1707" spans="1:9">
      <c r="A1707" s="14">
        <v>40073</v>
      </c>
      <c r="B1707" s="14" t="s">
        <v>668</v>
      </c>
      <c r="C1707" s="12" t="s">
        <v>116</v>
      </c>
      <c r="D1707" s="15" t="str">
        <f t="shared" si="26"/>
        <v>SAS FDS - PRD</v>
      </c>
      <c r="E1707" s="12" t="s">
        <v>126</v>
      </c>
      <c r="F1707" s="12" t="s">
        <v>163</v>
      </c>
      <c r="G1707" s="12" t="s">
        <v>164</v>
      </c>
      <c r="H1707" s="12" t="s">
        <v>1025</v>
      </c>
      <c r="I1707" s="12" t="s">
        <v>1026</v>
      </c>
    </row>
    <row r="1708" spans="1:9">
      <c r="A1708" s="14">
        <v>40073</v>
      </c>
      <c r="B1708" s="14" t="s">
        <v>668</v>
      </c>
      <c r="C1708" s="12" t="s">
        <v>230</v>
      </c>
      <c r="D1708" s="15" t="str">
        <f t="shared" si="26"/>
        <v>SAS FDS - PRSP</v>
      </c>
      <c r="E1708" s="12" t="s">
        <v>126</v>
      </c>
      <c r="F1708" s="12" t="s">
        <v>163</v>
      </c>
      <c r="G1708" s="12" t="s">
        <v>164</v>
      </c>
      <c r="H1708" s="12" t="s">
        <v>1025</v>
      </c>
      <c r="I1708" s="12" t="s">
        <v>1026</v>
      </c>
    </row>
    <row r="1709" spans="1:9">
      <c r="A1709" s="14">
        <v>40073</v>
      </c>
      <c r="B1709" s="14" t="s">
        <v>668</v>
      </c>
      <c r="C1709" s="12" t="s">
        <v>180</v>
      </c>
      <c r="D1709" s="15" t="str">
        <f t="shared" si="26"/>
        <v>SAS FDS - TMG</v>
      </c>
      <c r="E1709" s="12" t="s">
        <v>126</v>
      </c>
      <c r="F1709" s="12" t="s">
        <v>163</v>
      </c>
      <c r="G1709" s="12" t="s">
        <v>164</v>
      </c>
      <c r="H1709" s="12" t="s">
        <v>1025</v>
      </c>
      <c r="I1709" s="12" t="s">
        <v>1026</v>
      </c>
    </row>
    <row r="1710" spans="1:9">
      <c r="A1710" s="14">
        <v>40073</v>
      </c>
      <c r="B1710" s="14" t="s">
        <v>668</v>
      </c>
      <c r="C1710" s="12" t="s">
        <v>185</v>
      </c>
      <c r="D1710" s="15" t="str">
        <f t="shared" si="26"/>
        <v>SAS FDS - TPS</v>
      </c>
      <c r="E1710" s="12" t="s">
        <v>126</v>
      </c>
      <c r="F1710" s="12" t="s">
        <v>163</v>
      </c>
      <c r="G1710" s="12" t="s">
        <v>164</v>
      </c>
      <c r="H1710" s="12" t="s">
        <v>1025</v>
      </c>
      <c r="I1710" s="12" t="s">
        <v>1026</v>
      </c>
    </row>
    <row r="1711" spans="1:9">
      <c r="A1711" s="14">
        <v>10032</v>
      </c>
      <c r="B1711" s="14" t="s">
        <v>175</v>
      </c>
      <c r="C1711" s="12" t="s">
        <v>116</v>
      </c>
      <c r="D1711" s="15" t="str">
        <f t="shared" si="26"/>
        <v>Saxco - F and A - PRD</v>
      </c>
      <c r="E1711" s="12" t="s">
        <v>126</v>
      </c>
      <c r="F1711" s="12" t="s">
        <v>163</v>
      </c>
      <c r="G1711" s="12" t="s">
        <v>164</v>
      </c>
      <c r="H1711" s="12" t="s">
        <v>1025</v>
      </c>
      <c r="I1711" s="12" t="s">
        <v>1026</v>
      </c>
    </row>
    <row r="1712" spans="1:9">
      <c r="A1712" s="14">
        <v>40145</v>
      </c>
      <c r="B1712" s="14" t="s">
        <v>676</v>
      </c>
      <c r="C1712" s="12" t="s">
        <v>433</v>
      </c>
      <c r="D1712" s="15" t="str">
        <f t="shared" si="26"/>
        <v>Schlumberger_JMS - ANA</v>
      </c>
      <c r="E1712" s="12" t="s">
        <v>126</v>
      </c>
      <c r="F1712" s="12" t="s">
        <v>127</v>
      </c>
      <c r="G1712" s="12" t="s">
        <v>128</v>
      </c>
      <c r="H1712" s="12" t="s">
        <v>1025</v>
      </c>
      <c r="I1712" s="12" t="s">
        <v>1026</v>
      </c>
    </row>
    <row r="1713" spans="1:9">
      <c r="A1713" s="14">
        <v>40145</v>
      </c>
      <c r="B1713" s="14" t="s">
        <v>676</v>
      </c>
      <c r="C1713" s="12" t="s">
        <v>398</v>
      </c>
      <c r="D1713" s="15" t="str">
        <f t="shared" si="26"/>
        <v>Schlumberger_JMS - CBK</v>
      </c>
      <c r="E1713" s="12" t="s">
        <v>126</v>
      </c>
      <c r="F1713" s="12" t="s">
        <v>127</v>
      </c>
      <c r="G1713" s="12" t="s">
        <v>128</v>
      </c>
      <c r="H1713" s="12" t="s">
        <v>1025</v>
      </c>
      <c r="I1713" s="12" t="s">
        <v>1026</v>
      </c>
    </row>
    <row r="1714" spans="1:9">
      <c r="A1714" s="14">
        <v>40145</v>
      </c>
      <c r="B1714" s="14" t="s">
        <v>676</v>
      </c>
      <c r="C1714" s="12" t="s">
        <v>150</v>
      </c>
      <c r="D1714" s="15" t="str">
        <f t="shared" si="26"/>
        <v>Schlumberger_JMS - CCS</v>
      </c>
      <c r="E1714" s="12" t="s">
        <v>126</v>
      </c>
      <c r="F1714" s="12" t="s">
        <v>127</v>
      </c>
      <c r="G1714" s="12" t="s">
        <v>128</v>
      </c>
      <c r="H1714" s="12" t="s">
        <v>1025</v>
      </c>
      <c r="I1714" s="12" t="s">
        <v>1026</v>
      </c>
    </row>
    <row r="1715" spans="1:9">
      <c r="A1715" s="14">
        <v>40145</v>
      </c>
      <c r="B1715" s="14" t="s">
        <v>676</v>
      </c>
      <c r="C1715" s="12" t="s">
        <v>161</v>
      </c>
      <c r="D1715" s="15" t="str">
        <f t="shared" si="26"/>
        <v>Schlumberger_JMS - ECC</v>
      </c>
      <c r="E1715" s="12" t="s">
        <v>126</v>
      </c>
      <c r="F1715" s="12" t="s">
        <v>127</v>
      </c>
      <c r="G1715" s="12" t="s">
        <v>128</v>
      </c>
      <c r="H1715" s="12" t="s">
        <v>1025</v>
      </c>
      <c r="I1715" s="12" t="s">
        <v>1026</v>
      </c>
    </row>
    <row r="1716" spans="1:9">
      <c r="A1716" s="14">
        <v>40145</v>
      </c>
      <c r="B1716" s="14" t="s">
        <v>676</v>
      </c>
      <c r="C1716" s="12" t="s">
        <v>129</v>
      </c>
      <c r="D1716" s="15" t="str">
        <f t="shared" si="26"/>
        <v>Schlumberger_JMS - MGT</v>
      </c>
      <c r="E1716" s="12" t="s">
        <v>126</v>
      </c>
      <c r="F1716" s="12" t="s">
        <v>127</v>
      </c>
      <c r="G1716" s="12" t="s">
        <v>128</v>
      </c>
      <c r="H1716" s="12" t="s">
        <v>1025</v>
      </c>
      <c r="I1716" s="12" t="s">
        <v>1026</v>
      </c>
    </row>
    <row r="1717" spans="1:9">
      <c r="A1717" s="14">
        <v>40145</v>
      </c>
      <c r="B1717" s="14" t="s">
        <v>676</v>
      </c>
      <c r="C1717" s="12" t="s">
        <v>177</v>
      </c>
      <c r="D1717" s="15" t="str">
        <f t="shared" si="26"/>
        <v>Schlumberger_JMS - OPS</v>
      </c>
      <c r="E1717" s="12" t="s">
        <v>126</v>
      </c>
      <c r="F1717" s="12" t="s">
        <v>127</v>
      </c>
      <c r="G1717" s="12" t="s">
        <v>128</v>
      </c>
      <c r="H1717" s="12" t="s">
        <v>1025</v>
      </c>
      <c r="I1717" s="12" t="s">
        <v>1026</v>
      </c>
    </row>
    <row r="1718" spans="1:9">
      <c r="A1718" s="14">
        <v>40145</v>
      </c>
      <c r="B1718" s="14" t="s">
        <v>676</v>
      </c>
      <c r="C1718" s="12" t="s">
        <v>547</v>
      </c>
      <c r="D1718" s="15" t="str">
        <f t="shared" si="26"/>
        <v>Schlumberger_JMS - PHR</v>
      </c>
      <c r="E1718" s="12" t="s">
        <v>126</v>
      </c>
      <c r="F1718" s="12" t="s">
        <v>127</v>
      </c>
      <c r="G1718" s="12" t="s">
        <v>128</v>
      </c>
      <c r="H1718" s="12" t="s">
        <v>1025</v>
      </c>
      <c r="I1718" s="12" t="s">
        <v>1026</v>
      </c>
    </row>
    <row r="1719" spans="1:9">
      <c r="A1719" s="14">
        <v>40145</v>
      </c>
      <c r="B1719" s="14" t="s">
        <v>676</v>
      </c>
      <c r="C1719" s="12" t="s">
        <v>116</v>
      </c>
      <c r="D1719" s="15" t="str">
        <f t="shared" si="26"/>
        <v>Schlumberger_JMS - PRD</v>
      </c>
      <c r="E1719" s="12" t="s">
        <v>126</v>
      </c>
      <c r="F1719" s="12" t="s">
        <v>127</v>
      </c>
      <c r="G1719" s="12" t="s">
        <v>128</v>
      </c>
      <c r="H1719" s="12" t="s">
        <v>1025</v>
      </c>
      <c r="I1719" s="12" t="s">
        <v>1026</v>
      </c>
    </row>
    <row r="1720" spans="1:9">
      <c r="A1720" s="14">
        <v>40145</v>
      </c>
      <c r="B1720" s="14" t="s">
        <v>676</v>
      </c>
      <c r="C1720" s="12" t="s">
        <v>230</v>
      </c>
      <c r="D1720" s="15" t="str">
        <f t="shared" si="26"/>
        <v>Schlumberger_JMS - PRSP</v>
      </c>
      <c r="E1720" s="12" t="s">
        <v>126</v>
      </c>
      <c r="F1720" s="12" t="s">
        <v>127</v>
      </c>
      <c r="G1720" s="12" t="s">
        <v>128</v>
      </c>
      <c r="H1720" s="12" t="s">
        <v>1025</v>
      </c>
      <c r="I1720" s="12" t="s">
        <v>1026</v>
      </c>
    </row>
    <row r="1721" spans="1:9">
      <c r="A1721" s="14">
        <v>40145</v>
      </c>
      <c r="B1721" s="14" t="s">
        <v>676</v>
      </c>
      <c r="C1721" s="12" t="s">
        <v>418</v>
      </c>
      <c r="D1721" s="15" t="str">
        <f t="shared" si="26"/>
        <v>Schlumberger_JMS - QLC</v>
      </c>
      <c r="E1721" s="12" t="s">
        <v>112</v>
      </c>
      <c r="F1721" s="12" t="s">
        <v>113</v>
      </c>
      <c r="G1721" s="12" t="s">
        <v>114</v>
      </c>
      <c r="H1721" s="12" t="s">
        <v>1025</v>
      </c>
      <c r="I1721" s="12" t="s">
        <v>1026</v>
      </c>
    </row>
    <row r="1722" spans="1:9">
      <c r="A1722" s="14">
        <v>40145</v>
      </c>
      <c r="B1722" s="14" t="s">
        <v>676</v>
      </c>
      <c r="C1722" s="12" t="s">
        <v>111</v>
      </c>
      <c r="D1722" s="15" t="str">
        <f t="shared" si="26"/>
        <v>Schlumberger_JMS - QLY</v>
      </c>
      <c r="E1722" s="12" t="s">
        <v>112</v>
      </c>
      <c r="F1722" s="12" t="s">
        <v>113</v>
      </c>
      <c r="G1722" s="12" t="s">
        <v>114</v>
      </c>
      <c r="H1722" s="12" t="s">
        <v>1025</v>
      </c>
      <c r="I1722" s="12" t="s">
        <v>1026</v>
      </c>
    </row>
    <row r="1723" spans="1:9">
      <c r="A1723" s="14">
        <v>40145</v>
      </c>
      <c r="B1723" s="14" t="s">
        <v>676</v>
      </c>
      <c r="C1723" s="12" t="s">
        <v>119</v>
      </c>
      <c r="D1723" s="15" t="str">
        <f t="shared" si="26"/>
        <v>Schlumberger_JMS - SQM</v>
      </c>
      <c r="E1723" s="12" t="s">
        <v>112</v>
      </c>
      <c r="F1723" s="12" t="s">
        <v>113</v>
      </c>
      <c r="G1723" s="12" t="s">
        <v>114</v>
      </c>
      <c r="H1723" s="12" t="s">
        <v>1025</v>
      </c>
      <c r="I1723" s="12" t="s">
        <v>1026</v>
      </c>
    </row>
    <row r="1724" spans="1:9">
      <c r="A1724" s="14">
        <v>40145</v>
      </c>
      <c r="B1724" s="14" t="s">
        <v>676</v>
      </c>
      <c r="C1724" s="12" t="s">
        <v>145</v>
      </c>
      <c r="D1724" s="15" t="str">
        <f t="shared" si="26"/>
        <v>Schlumberger_JMS - SUP</v>
      </c>
      <c r="E1724" s="12" t="s">
        <v>126</v>
      </c>
      <c r="F1724" s="12" t="s">
        <v>127</v>
      </c>
      <c r="G1724" s="12" t="s">
        <v>128</v>
      </c>
      <c r="H1724" s="12" t="s">
        <v>1025</v>
      </c>
      <c r="I1724" s="12" t="s">
        <v>1026</v>
      </c>
    </row>
    <row r="1725" spans="1:9">
      <c r="A1725" s="14">
        <v>40145</v>
      </c>
      <c r="B1725" s="14" t="s">
        <v>676</v>
      </c>
      <c r="C1725" s="12" t="s">
        <v>180</v>
      </c>
      <c r="D1725" s="15" t="str">
        <f t="shared" si="26"/>
        <v>Schlumberger_JMS - TMG</v>
      </c>
      <c r="E1725" s="12" t="s">
        <v>126</v>
      </c>
      <c r="F1725" s="12" t="s">
        <v>127</v>
      </c>
      <c r="G1725" s="12" t="s">
        <v>128</v>
      </c>
      <c r="H1725" s="12" t="s">
        <v>1025</v>
      </c>
      <c r="I1725" s="12" t="s">
        <v>1026</v>
      </c>
    </row>
    <row r="1726" spans="1:9">
      <c r="A1726" s="14">
        <v>40145</v>
      </c>
      <c r="B1726" s="14" t="s">
        <v>676</v>
      </c>
      <c r="C1726" s="12" t="s">
        <v>657</v>
      </c>
      <c r="D1726" s="15" t="str">
        <f t="shared" si="26"/>
        <v>Schlumberger_JMS - TRAINR</v>
      </c>
      <c r="E1726" s="12" t="s">
        <v>112</v>
      </c>
      <c r="F1726" s="12" t="s">
        <v>204</v>
      </c>
      <c r="G1726" s="12" t="s">
        <v>205</v>
      </c>
      <c r="H1726" s="12" t="s">
        <v>1025</v>
      </c>
      <c r="I1726" s="12" t="s">
        <v>1026</v>
      </c>
    </row>
    <row r="1727" spans="1:9">
      <c r="A1727" s="14">
        <v>40145</v>
      </c>
      <c r="B1727" s="14" t="s">
        <v>676</v>
      </c>
      <c r="C1727" s="12" t="s">
        <v>203</v>
      </c>
      <c r="D1727" s="15" t="str">
        <f t="shared" si="26"/>
        <v>Schlumberger_JMS - TRG</v>
      </c>
      <c r="E1727" s="12" t="s">
        <v>112</v>
      </c>
      <c r="F1727" s="12" t="s">
        <v>204</v>
      </c>
      <c r="G1727" s="12" t="s">
        <v>205</v>
      </c>
      <c r="H1727" s="12" t="s">
        <v>1025</v>
      </c>
      <c r="I1727" s="12" t="s">
        <v>1026</v>
      </c>
    </row>
    <row r="1728" spans="1:9">
      <c r="A1728" s="14">
        <v>40145</v>
      </c>
      <c r="B1728" s="14" t="s">
        <v>676</v>
      </c>
      <c r="C1728" s="12" t="s">
        <v>208</v>
      </c>
      <c r="D1728" s="15" t="str">
        <f t="shared" si="26"/>
        <v>Schlumberger_JMS - TTR</v>
      </c>
      <c r="E1728" s="12" t="s">
        <v>112</v>
      </c>
      <c r="F1728" s="12" t="s">
        <v>204</v>
      </c>
      <c r="G1728" s="12" t="s">
        <v>205</v>
      </c>
      <c r="H1728" s="12" t="s">
        <v>1025</v>
      </c>
      <c r="I1728" s="12" t="s">
        <v>1026</v>
      </c>
    </row>
    <row r="1729" spans="1:9">
      <c r="A1729" s="14">
        <v>91077</v>
      </c>
      <c r="B1729" s="14" t="s">
        <v>934</v>
      </c>
      <c r="C1729" s="12" t="s">
        <v>145</v>
      </c>
      <c r="D1729" s="15" t="str">
        <f t="shared" si="26"/>
        <v>SD Insurance - SUP</v>
      </c>
      <c r="E1729" s="12" t="s">
        <v>104</v>
      </c>
      <c r="F1729" s="12" t="s">
        <v>163</v>
      </c>
      <c r="G1729" s="12" t="s">
        <v>164</v>
      </c>
      <c r="H1729" s="12" t="s">
        <v>1025</v>
      </c>
      <c r="I1729" s="12" t="s">
        <v>1026</v>
      </c>
    </row>
    <row r="1730" spans="1:9">
      <c r="A1730" s="14">
        <v>51552</v>
      </c>
      <c r="B1730" s="14" t="s">
        <v>840</v>
      </c>
      <c r="C1730" s="12" t="s">
        <v>116</v>
      </c>
      <c r="D1730" s="15" t="str">
        <f t="shared" ref="D1730:D1793" si="27">B1730&amp;" - "&amp;C1730</f>
        <v>SDS-2401-2412-SP-New-Addition - PRD</v>
      </c>
      <c r="E1730" s="12" t="s">
        <v>117</v>
      </c>
      <c r="F1730" s="12" t="s">
        <v>117</v>
      </c>
      <c r="G1730" s="12" t="s">
        <v>117</v>
      </c>
      <c r="H1730" s="12" t="s">
        <v>1025</v>
      </c>
      <c r="I1730" s="12" t="s">
        <v>1026</v>
      </c>
    </row>
    <row r="1731" spans="1:9">
      <c r="A1731" s="14">
        <v>51513</v>
      </c>
      <c r="B1731" s="14" t="s">
        <v>828</v>
      </c>
      <c r="C1731" s="12" t="s">
        <v>116</v>
      </c>
      <c r="D1731" s="15" t="str">
        <f t="shared" si="27"/>
        <v>SDS-Astec-2309-2401-OTBI-Repor - PRD</v>
      </c>
      <c r="E1731" s="12" t="s">
        <v>117</v>
      </c>
      <c r="F1731" s="12" t="s">
        <v>117</v>
      </c>
      <c r="G1731" s="12" t="s">
        <v>117</v>
      </c>
      <c r="H1731" s="12" t="s">
        <v>1025</v>
      </c>
      <c r="I1731" s="12" t="s">
        <v>1026</v>
      </c>
    </row>
    <row r="1732" spans="1:9">
      <c r="A1732" s="14">
        <v>51534</v>
      </c>
      <c r="B1732" s="14" t="s">
        <v>838</v>
      </c>
      <c r="C1732" s="12" t="s">
        <v>116</v>
      </c>
      <c r="D1732" s="15" t="str">
        <f t="shared" si="27"/>
        <v>SDS-Deckers-2311-2402-EBSTech - PRD</v>
      </c>
      <c r="E1732" s="12" t="s">
        <v>117</v>
      </c>
      <c r="F1732" s="12" t="s">
        <v>117</v>
      </c>
      <c r="G1732" s="12" t="s">
        <v>117</v>
      </c>
      <c r="H1732" s="12" t="s">
        <v>1025</v>
      </c>
      <c r="I1732" s="12" t="s">
        <v>1026</v>
      </c>
    </row>
    <row r="1733" spans="1:9">
      <c r="A1733" s="14">
        <v>51537</v>
      </c>
      <c r="B1733" s="14" t="s">
        <v>839</v>
      </c>
      <c r="C1733" s="12" t="s">
        <v>145</v>
      </c>
      <c r="D1733" s="15" t="str">
        <f t="shared" si="27"/>
        <v>SDS-NRUCFC-2312-2405-Tester-R - SUP</v>
      </c>
      <c r="E1733" s="12" t="s">
        <v>117</v>
      </c>
      <c r="F1733" s="12" t="s">
        <v>117</v>
      </c>
      <c r="G1733" s="12" t="s">
        <v>117</v>
      </c>
      <c r="H1733" s="12" t="s">
        <v>1025</v>
      </c>
      <c r="I1733" s="12" t="s">
        <v>1026</v>
      </c>
    </row>
    <row r="1734" spans="1:9">
      <c r="A1734" s="14">
        <v>51510</v>
      </c>
      <c r="B1734" s="14" t="s">
        <v>826</v>
      </c>
      <c r="C1734" s="12" t="s">
        <v>116</v>
      </c>
      <c r="D1734" s="15" t="str">
        <f t="shared" si="27"/>
        <v>SDS-RAC-2310-2609-OnPrem-DCMig - PRD</v>
      </c>
      <c r="E1734" s="12" t="s">
        <v>117</v>
      </c>
      <c r="F1734" s="12" t="s">
        <v>117</v>
      </c>
      <c r="G1734" s="12" t="s">
        <v>117</v>
      </c>
      <c r="H1734" s="12" t="s">
        <v>1025</v>
      </c>
      <c r="I1734" s="12" t="s">
        <v>1026</v>
      </c>
    </row>
    <row r="1735" spans="1:9">
      <c r="A1735" s="14">
        <v>51528</v>
      </c>
      <c r="B1735" s="14" t="s">
        <v>837</v>
      </c>
      <c r="C1735" s="12" t="s">
        <v>116</v>
      </c>
      <c r="D1735" s="15" t="str">
        <f t="shared" si="27"/>
        <v>SDS-SRP-2310-2402-OnpremMigOCI - PRD</v>
      </c>
      <c r="E1735" s="12" t="s">
        <v>117</v>
      </c>
      <c r="F1735" s="12" t="s">
        <v>117</v>
      </c>
      <c r="G1735" s="12" t="s">
        <v>117</v>
      </c>
      <c r="H1735" s="12" t="s">
        <v>1025</v>
      </c>
      <c r="I1735" s="12" t="s">
        <v>1026</v>
      </c>
    </row>
    <row r="1736" spans="1:9">
      <c r="A1736" s="14">
        <v>51572</v>
      </c>
      <c r="B1736" s="14" t="s">
        <v>852</v>
      </c>
      <c r="C1736" s="12" t="s">
        <v>116</v>
      </c>
      <c r="D1736" s="15" t="str">
        <f t="shared" si="27"/>
        <v>SDS-Stride-2303-2406-WordMigr - PRD</v>
      </c>
      <c r="E1736" s="12" t="s">
        <v>117</v>
      </c>
      <c r="F1736" s="12" t="s">
        <v>117</v>
      </c>
      <c r="G1736" s="12" t="s">
        <v>117</v>
      </c>
      <c r="H1736" s="12" t="s">
        <v>1025</v>
      </c>
      <c r="I1736" s="12" t="s">
        <v>1026</v>
      </c>
    </row>
    <row r="1737" spans="1:9">
      <c r="A1737" s="14">
        <v>51557</v>
      </c>
      <c r="B1737" s="14" t="s">
        <v>847</v>
      </c>
      <c r="C1737" s="12" t="s">
        <v>116</v>
      </c>
      <c r="D1737" s="15" t="str">
        <f t="shared" si="27"/>
        <v>SDS-TFW-2401-2403-AppSecPrev - PRD</v>
      </c>
      <c r="E1737" s="12" t="s">
        <v>117</v>
      </c>
      <c r="F1737" s="12" t="s">
        <v>117</v>
      </c>
      <c r="G1737" s="12" t="s">
        <v>117</v>
      </c>
      <c r="H1737" s="12" t="s">
        <v>1025</v>
      </c>
      <c r="I1737" s="12" t="s">
        <v>1026</v>
      </c>
    </row>
    <row r="1738" spans="1:9">
      <c r="A1738" s="14">
        <v>51560</v>
      </c>
      <c r="B1738" s="14" t="s">
        <v>850</v>
      </c>
      <c r="C1738" s="12" t="s">
        <v>116</v>
      </c>
      <c r="D1738" s="15" t="str">
        <f t="shared" si="27"/>
        <v>SDS-TFW-2401-2403-GatewayQE - PRD</v>
      </c>
      <c r="E1738" s="12" t="s">
        <v>117</v>
      </c>
      <c r="F1738" s="12" t="s">
        <v>117</v>
      </c>
      <c r="G1738" s="12" t="s">
        <v>117</v>
      </c>
      <c r="H1738" s="12" t="s">
        <v>1025</v>
      </c>
      <c r="I1738" s="12" t="s">
        <v>1026</v>
      </c>
    </row>
    <row r="1739" spans="1:9">
      <c r="A1739" s="14">
        <v>51554</v>
      </c>
      <c r="B1739" s="14" t="s">
        <v>842</v>
      </c>
      <c r="C1739" s="12" t="s">
        <v>116</v>
      </c>
      <c r="D1739" s="15" t="str">
        <f t="shared" si="27"/>
        <v>SDS-TFW-2401-2403-GDP24 - PRD</v>
      </c>
      <c r="E1739" s="12" t="s">
        <v>117</v>
      </c>
      <c r="F1739" s="12" t="s">
        <v>117</v>
      </c>
      <c r="G1739" s="12" t="s">
        <v>117</v>
      </c>
      <c r="H1739" s="12" t="s">
        <v>1025</v>
      </c>
      <c r="I1739" s="12" t="s">
        <v>1026</v>
      </c>
    </row>
    <row r="1740" spans="1:9">
      <c r="A1740" s="14">
        <v>51555</v>
      </c>
      <c r="B1740" s="14" t="s">
        <v>844</v>
      </c>
      <c r="C1740" s="12" t="s">
        <v>116</v>
      </c>
      <c r="D1740" s="15" t="str">
        <f t="shared" si="27"/>
        <v>SDS-TFW-2401-2403-Omega - PRD</v>
      </c>
      <c r="E1740" s="12" t="s">
        <v>117</v>
      </c>
      <c r="F1740" s="12" t="s">
        <v>117</v>
      </c>
      <c r="G1740" s="12" t="s">
        <v>117</v>
      </c>
      <c r="H1740" s="12" t="s">
        <v>1025</v>
      </c>
      <c r="I1740" s="12" t="s">
        <v>1026</v>
      </c>
    </row>
    <row r="1741" spans="1:9">
      <c r="A1741" s="14">
        <v>51559</v>
      </c>
      <c r="B1741" s="14" t="s">
        <v>849</v>
      </c>
      <c r="C1741" s="12" t="s">
        <v>116</v>
      </c>
      <c r="D1741" s="15" t="str">
        <f t="shared" si="27"/>
        <v>SDS-TFW-2401-2403-QEServicePln - PRD</v>
      </c>
      <c r="E1741" s="12" t="s">
        <v>117</v>
      </c>
      <c r="F1741" s="12" t="s">
        <v>117</v>
      </c>
      <c r="G1741" s="12" t="s">
        <v>117</v>
      </c>
      <c r="H1741" s="12" t="s">
        <v>1025</v>
      </c>
      <c r="I1741" s="12" t="s">
        <v>1026</v>
      </c>
    </row>
    <row r="1742" spans="1:9">
      <c r="A1742" s="14">
        <v>51558</v>
      </c>
      <c r="B1742" s="14" t="s">
        <v>848</v>
      </c>
      <c r="C1742" s="12" t="s">
        <v>116</v>
      </c>
      <c r="D1742" s="15" t="str">
        <f t="shared" si="27"/>
        <v>SDS-TFW-2402-2403-QETaxEngine - PRD</v>
      </c>
      <c r="E1742" s="12" t="s">
        <v>117</v>
      </c>
      <c r="F1742" s="12" t="s">
        <v>117</v>
      </c>
      <c r="G1742" s="12" t="s">
        <v>117</v>
      </c>
      <c r="H1742" s="12" t="s">
        <v>1025</v>
      </c>
      <c r="I1742" s="12" t="s">
        <v>1026</v>
      </c>
    </row>
    <row r="1743" spans="1:9">
      <c r="A1743" s="14">
        <v>51553</v>
      </c>
      <c r="B1743" s="14" t="s">
        <v>841</v>
      </c>
      <c r="C1743" s="12" t="s">
        <v>116</v>
      </c>
      <c r="D1743" s="15" t="str">
        <f t="shared" si="27"/>
        <v>SDS-TFW-2402-2403-RevAlloction - PRD</v>
      </c>
      <c r="E1743" s="12" t="s">
        <v>117</v>
      </c>
      <c r="F1743" s="12" t="s">
        <v>117</v>
      </c>
      <c r="G1743" s="12" t="s">
        <v>117</v>
      </c>
      <c r="H1743" s="12" t="s">
        <v>1025</v>
      </c>
      <c r="I1743" s="12" t="s">
        <v>1026</v>
      </c>
    </row>
    <row r="1744" spans="1:9">
      <c r="A1744" s="14">
        <v>51556</v>
      </c>
      <c r="B1744" s="14" t="s">
        <v>845</v>
      </c>
      <c r="C1744" s="12" t="s">
        <v>116</v>
      </c>
      <c r="D1744" s="15" t="str">
        <f t="shared" si="27"/>
        <v>SDS-TFW-2402-2403-SecTstngQE - PRD</v>
      </c>
      <c r="E1744" s="12" t="s">
        <v>117</v>
      </c>
      <c r="F1744" s="12" t="s">
        <v>117</v>
      </c>
      <c r="G1744" s="12" t="s">
        <v>117</v>
      </c>
      <c r="H1744" s="12" t="s">
        <v>1025</v>
      </c>
      <c r="I1744" s="12" t="s">
        <v>1026</v>
      </c>
    </row>
    <row r="1745" spans="1:9">
      <c r="A1745" s="14">
        <v>51514</v>
      </c>
      <c r="B1745" s="14" t="s">
        <v>830</v>
      </c>
      <c r="C1745" s="12" t="s">
        <v>116</v>
      </c>
      <c r="D1745" s="15" t="str">
        <f t="shared" si="27"/>
        <v>SDS-WTW-2309-2402-OracleOTBI - PRD</v>
      </c>
      <c r="E1745" s="12" t="s">
        <v>117</v>
      </c>
      <c r="F1745" s="12" t="s">
        <v>117</v>
      </c>
      <c r="G1745" s="12" t="s">
        <v>117</v>
      </c>
      <c r="H1745" s="12" t="s">
        <v>1025</v>
      </c>
      <c r="I1745" s="12" t="s">
        <v>1026</v>
      </c>
    </row>
    <row r="1746" spans="1:9">
      <c r="A1746" s="14">
        <v>95503</v>
      </c>
      <c r="B1746" s="14" t="s">
        <v>917</v>
      </c>
      <c r="C1746" s="12" t="s">
        <v>415</v>
      </c>
      <c r="D1746" s="15" t="str">
        <f t="shared" si="27"/>
        <v>Security Engineering - GTI</v>
      </c>
      <c r="E1746" s="12" t="s">
        <v>104</v>
      </c>
      <c r="F1746" s="12" t="s">
        <v>263</v>
      </c>
      <c r="G1746" s="12" t="s">
        <v>264</v>
      </c>
      <c r="H1746" s="12" t="s">
        <v>1025</v>
      </c>
      <c r="I1746" s="12" t="s">
        <v>1026</v>
      </c>
    </row>
    <row r="1747" spans="1:9">
      <c r="A1747" s="14">
        <v>95503</v>
      </c>
      <c r="B1747" s="14" t="s">
        <v>917</v>
      </c>
      <c r="C1747" s="12" t="s">
        <v>145</v>
      </c>
      <c r="D1747" s="15" t="str">
        <f t="shared" si="27"/>
        <v>Security Engineering - SUP</v>
      </c>
      <c r="E1747" s="12" t="s">
        <v>104</v>
      </c>
      <c r="F1747" s="12" t="s">
        <v>263</v>
      </c>
      <c r="G1747" s="12" t="s">
        <v>264</v>
      </c>
      <c r="H1747" s="12" t="s">
        <v>1025</v>
      </c>
      <c r="I1747" s="12" t="s">
        <v>1026</v>
      </c>
    </row>
    <row r="1748" spans="1:9">
      <c r="A1748" s="14">
        <v>92104</v>
      </c>
      <c r="B1748" s="14" t="s">
        <v>919</v>
      </c>
      <c r="C1748" s="12" t="s">
        <v>920</v>
      </c>
      <c r="D1748" s="15" t="str">
        <f t="shared" si="27"/>
        <v>Security Management - GM - FSM</v>
      </c>
      <c r="E1748" s="12" t="s">
        <v>104</v>
      </c>
      <c r="F1748" s="12" t="s">
        <v>518</v>
      </c>
      <c r="G1748" s="12" t="s">
        <v>350</v>
      </c>
      <c r="H1748" s="12" t="s">
        <v>1025</v>
      </c>
      <c r="I1748" s="12" t="s">
        <v>1026</v>
      </c>
    </row>
    <row r="1749" spans="1:9">
      <c r="A1749" s="14">
        <v>92104</v>
      </c>
      <c r="B1749" s="14" t="s">
        <v>919</v>
      </c>
      <c r="C1749" s="12" t="s">
        <v>145</v>
      </c>
      <c r="D1749" s="15" t="str">
        <f t="shared" si="27"/>
        <v>Security Management - GM - SUP</v>
      </c>
      <c r="E1749" s="12" t="s">
        <v>104</v>
      </c>
      <c r="F1749" s="12" t="s">
        <v>518</v>
      </c>
      <c r="G1749" s="12" t="s">
        <v>350</v>
      </c>
      <c r="H1749" s="12" t="s">
        <v>1025</v>
      </c>
      <c r="I1749" s="12" t="s">
        <v>1026</v>
      </c>
    </row>
    <row r="1750" spans="1:9">
      <c r="A1750" s="14">
        <v>95106</v>
      </c>
      <c r="B1750" s="14" t="s">
        <v>921</v>
      </c>
      <c r="C1750" s="12" t="s">
        <v>415</v>
      </c>
      <c r="D1750" s="15" t="str">
        <f t="shared" si="27"/>
        <v>Server - GTI</v>
      </c>
      <c r="E1750" s="12" t="s">
        <v>117</v>
      </c>
      <c r="F1750" s="12" t="s">
        <v>117</v>
      </c>
      <c r="G1750" s="12" t="s">
        <v>117</v>
      </c>
      <c r="H1750" s="12" t="s">
        <v>1025</v>
      </c>
      <c r="I1750" s="12" t="s">
        <v>1026</v>
      </c>
    </row>
    <row r="1751" spans="1:9">
      <c r="A1751" s="14">
        <v>95106</v>
      </c>
      <c r="B1751" s="14" t="s">
        <v>921</v>
      </c>
      <c r="C1751" s="12" t="s">
        <v>129</v>
      </c>
      <c r="D1751" s="15" t="str">
        <f t="shared" si="27"/>
        <v>Server - MGT</v>
      </c>
      <c r="E1751" s="12" t="s">
        <v>117</v>
      </c>
      <c r="F1751" s="12" t="s">
        <v>117</v>
      </c>
      <c r="G1751" s="12" t="s">
        <v>117</v>
      </c>
      <c r="H1751" s="12" t="s">
        <v>1025</v>
      </c>
      <c r="I1751" s="12" t="s">
        <v>1026</v>
      </c>
    </row>
    <row r="1752" spans="1:9">
      <c r="A1752" s="14">
        <v>95106</v>
      </c>
      <c r="B1752" s="14" t="s">
        <v>921</v>
      </c>
      <c r="C1752" s="12" t="s">
        <v>145</v>
      </c>
      <c r="D1752" s="15" t="str">
        <f t="shared" si="27"/>
        <v>Server - SUP</v>
      </c>
      <c r="E1752" s="12" t="s">
        <v>117</v>
      </c>
      <c r="F1752" s="12" t="s">
        <v>117</v>
      </c>
      <c r="G1752" s="12" t="s">
        <v>117</v>
      </c>
      <c r="H1752" s="12" t="s">
        <v>1025</v>
      </c>
      <c r="I1752" s="12" t="s">
        <v>1026</v>
      </c>
    </row>
    <row r="1753" spans="1:9">
      <c r="A1753" s="14">
        <v>95106</v>
      </c>
      <c r="B1753" s="14" t="s">
        <v>921</v>
      </c>
      <c r="C1753" s="12" t="s">
        <v>180</v>
      </c>
      <c r="D1753" s="15" t="str">
        <f t="shared" si="27"/>
        <v>Server - TMG</v>
      </c>
      <c r="E1753" s="12" t="s">
        <v>117</v>
      </c>
      <c r="F1753" s="12" t="s">
        <v>117</v>
      </c>
      <c r="G1753" s="12" t="s">
        <v>117</v>
      </c>
      <c r="H1753" s="12" t="s">
        <v>1025</v>
      </c>
      <c r="I1753" s="12" t="s">
        <v>1026</v>
      </c>
    </row>
    <row r="1754" spans="1:9">
      <c r="A1754" s="14">
        <v>91004</v>
      </c>
      <c r="B1754" s="14" t="s">
        <v>923</v>
      </c>
      <c r="C1754" s="12" t="s">
        <v>133</v>
      </c>
      <c r="D1754" s="15" t="str">
        <f t="shared" si="27"/>
        <v>Service  Excellence - AMG</v>
      </c>
      <c r="E1754" s="12" t="s">
        <v>104</v>
      </c>
      <c r="F1754" s="12" t="s">
        <v>401</v>
      </c>
      <c r="G1754" s="12" t="s">
        <v>114</v>
      </c>
      <c r="H1754" s="12" t="s">
        <v>1025</v>
      </c>
      <c r="I1754" s="12" t="s">
        <v>1026</v>
      </c>
    </row>
    <row r="1755" spans="1:9">
      <c r="A1755" s="14">
        <v>91004</v>
      </c>
      <c r="B1755" s="14" t="s">
        <v>923</v>
      </c>
      <c r="C1755" s="12" t="s">
        <v>129</v>
      </c>
      <c r="D1755" s="15" t="str">
        <f t="shared" si="27"/>
        <v>Service  Excellence - MGT</v>
      </c>
      <c r="E1755" s="12" t="s">
        <v>104</v>
      </c>
      <c r="F1755" s="12" t="s">
        <v>401</v>
      </c>
      <c r="G1755" s="12" t="s">
        <v>114</v>
      </c>
      <c r="H1755" s="12" t="s">
        <v>1025</v>
      </c>
      <c r="I1755" s="12" t="s">
        <v>1026</v>
      </c>
    </row>
    <row r="1756" spans="1:9">
      <c r="A1756" s="14">
        <v>91004</v>
      </c>
      <c r="B1756" s="14" t="s">
        <v>923</v>
      </c>
      <c r="C1756" s="12" t="s">
        <v>177</v>
      </c>
      <c r="D1756" s="15" t="str">
        <f t="shared" si="27"/>
        <v>Service  Excellence - OPS</v>
      </c>
      <c r="E1756" s="12" t="s">
        <v>104</v>
      </c>
      <c r="F1756" s="12" t="s">
        <v>401</v>
      </c>
      <c r="G1756" s="12" t="s">
        <v>114</v>
      </c>
      <c r="H1756" s="12" t="s">
        <v>1025</v>
      </c>
      <c r="I1756" s="12" t="s">
        <v>1026</v>
      </c>
    </row>
    <row r="1757" spans="1:9">
      <c r="A1757" s="14">
        <v>91004</v>
      </c>
      <c r="B1757" s="14" t="s">
        <v>923</v>
      </c>
      <c r="C1757" s="12" t="s">
        <v>230</v>
      </c>
      <c r="D1757" s="15" t="str">
        <f t="shared" si="27"/>
        <v>Service  Excellence - PRSP</v>
      </c>
      <c r="E1757" s="12" t="s">
        <v>104</v>
      </c>
      <c r="F1757" s="12" t="s">
        <v>401</v>
      </c>
      <c r="G1757" s="12" t="s">
        <v>114</v>
      </c>
      <c r="H1757" s="12" t="s">
        <v>1025</v>
      </c>
      <c r="I1757" s="12" t="s">
        <v>1026</v>
      </c>
    </row>
    <row r="1758" spans="1:9">
      <c r="A1758" s="14">
        <v>91004</v>
      </c>
      <c r="B1758" s="14" t="s">
        <v>923</v>
      </c>
      <c r="C1758" s="12" t="s">
        <v>111</v>
      </c>
      <c r="D1758" s="15" t="str">
        <f t="shared" si="27"/>
        <v>Service  Excellence - QLY</v>
      </c>
      <c r="E1758" s="12" t="s">
        <v>104</v>
      </c>
      <c r="F1758" s="12" t="s">
        <v>401</v>
      </c>
      <c r="G1758" s="12" t="s">
        <v>114</v>
      </c>
      <c r="H1758" s="12" t="s">
        <v>1025</v>
      </c>
      <c r="I1758" s="12" t="s">
        <v>1026</v>
      </c>
    </row>
    <row r="1759" spans="1:9">
      <c r="A1759" s="14">
        <v>91004</v>
      </c>
      <c r="B1759" s="14" t="s">
        <v>923</v>
      </c>
      <c r="C1759" s="12" t="s">
        <v>139</v>
      </c>
      <c r="D1759" s="15" t="str">
        <f t="shared" si="27"/>
        <v>Service  Excellence - SMGT</v>
      </c>
      <c r="E1759" s="12" t="s">
        <v>104</v>
      </c>
      <c r="F1759" s="12" t="s">
        <v>401</v>
      </c>
      <c r="G1759" s="12" t="s">
        <v>114</v>
      </c>
      <c r="H1759" s="12" t="s">
        <v>1025</v>
      </c>
      <c r="I1759" s="12" t="s">
        <v>1026</v>
      </c>
    </row>
    <row r="1760" spans="1:9">
      <c r="A1760" s="14">
        <v>91004</v>
      </c>
      <c r="B1760" s="14" t="s">
        <v>923</v>
      </c>
      <c r="C1760" s="12" t="s">
        <v>145</v>
      </c>
      <c r="D1760" s="15" t="str">
        <f t="shared" si="27"/>
        <v>Service  Excellence - SUP</v>
      </c>
      <c r="E1760" s="12" t="s">
        <v>104</v>
      </c>
      <c r="F1760" s="12" t="s">
        <v>401</v>
      </c>
      <c r="G1760" s="12" t="s">
        <v>114</v>
      </c>
      <c r="H1760" s="12" t="s">
        <v>1025</v>
      </c>
      <c r="I1760" s="12" t="s">
        <v>1026</v>
      </c>
    </row>
    <row r="1761" spans="1:9">
      <c r="A1761" s="14">
        <v>91004</v>
      </c>
      <c r="B1761" s="14" t="s">
        <v>923</v>
      </c>
      <c r="C1761" s="12" t="s">
        <v>925</v>
      </c>
      <c r="D1761" s="15" t="str">
        <f t="shared" si="27"/>
        <v>Service  Excellence - SXL</v>
      </c>
      <c r="E1761" s="12" t="s">
        <v>104</v>
      </c>
      <c r="F1761" s="12" t="s">
        <v>401</v>
      </c>
      <c r="G1761" s="12" t="s">
        <v>114</v>
      </c>
      <c r="H1761" s="12" t="s">
        <v>1025</v>
      </c>
      <c r="I1761" s="12" t="s">
        <v>1026</v>
      </c>
    </row>
    <row r="1762" spans="1:9">
      <c r="A1762" s="14">
        <v>91004</v>
      </c>
      <c r="B1762" s="14" t="s">
        <v>923</v>
      </c>
      <c r="C1762" s="12" t="s">
        <v>180</v>
      </c>
      <c r="D1762" s="15" t="str">
        <f t="shared" si="27"/>
        <v>Service  Excellence - TMG</v>
      </c>
      <c r="E1762" s="12" t="s">
        <v>104</v>
      </c>
      <c r="F1762" s="12" t="s">
        <v>401</v>
      </c>
      <c r="G1762" s="12" t="s">
        <v>114</v>
      </c>
      <c r="H1762" s="12" t="s">
        <v>1025</v>
      </c>
      <c r="I1762" s="12" t="s">
        <v>1026</v>
      </c>
    </row>
    <row r="1763" spans="1:9">
      <c r="A1763" s="14">
        <v>91800</v>
      </c>
      <c r="B1763" s="14" t="s">
        <v>931</v>
      </c>
      <c r="C1763" s="12" t="s">
        <v>133</v>
      </c>
      <c r="D1763" s="15" t="str">
        <f t="shared" si="27"/>
        <v>Service Delivery - AMG</v>
      </c>
      <c r="E1763" s="12" t="s">
        <v>104</v>
      </c>
      <c r="F1763" s="12" t="s">
        <v>405</v>
      </c>
      <c r="G1763" s="12" t="s">
        <v>114</v>
      </c>
      <c r="H1763" s="12" t="s">
        <v>1025</v>
      </c>
      <c r="I1763" s="12" t="s">
        <v>1026</v>
      </c>
    </row>
    <row r="1764" spans="1:9">
      <c r="A1764" s="14">
        <v>91000</v>
      </c>
      <c r="B1764" s="14" t="s">
        <v>931</v>
      </c>
      <c r="C1764" s="12" t="s">
        <v>150</v>
      </c>
      <c r="D1764" s="15" t="str">
        <f t="shared" si="27"/>
        <v>Service Delivery - CCS</v>
      </c>
      <c r="E1764" s="12" t="s">
        <v>126</v>
      </c>
      <c r="F1764" s="12" t="s">
        <v>405</v>
      </c>
      <c r="G1764" s="12" t="s">
        <v>114</v>
      </c>
      <c r="H1764" s="12" t="s">
        <v>1025</v>
      </c>
      <c r="I1764" s="12" t="s">
        <v>1026</v>
      </c>
    </row>
    <row r="1765" spans="1:9">
      <c r="A1765" s="14">
        <v>91737</v>
      </c>
      <c r="B1765" s="14" t="s">
        <v>927</v>
      </c>
      <c r="C1765" s="12" t="s">
        <v>145</v>
      </c>
      <c r="D1765" s="15" t="str">
        <f t="shared" si="27"/>
        <v>Service Delivery - Healthcare - SUP</v>
      </c>
      <c r="E1765" s="12" t="s">
        <v>104</v>
      </c>
      <c r="F1765" s="12" t="s">
        <v>405</v>
      </c>
      <c r="G1765" s="12" t="s">
        <v>114</v>
      </c>
      <c r="H1765" s="12" t="s">
        <v>1025</v>
      </c>
      <c r="I1765" s="12" t="s">
        <v>1026</v>
      </c>
    </row>
    <row r="1766" spans="1:9">
      <c r="A1766" s="14">
        <v>91000</v>
      </c>
      <c r="B1766" s="14" t="s">
        <v>931</v>
      </c>
      <c r="C1766" s="12" t="s">
        <v>129</v>
      </c>
      <c r="D1766" s="15" t="str">
        <f t="shared" si="27"/>
        <v>Service Delivery - MGT</v>
      </c>
      <c r="E1766" s="12" t="s">
        <v>126</v>
      </c>
      <c r="F1766" s="12" t="s">
        <v>405</v>
      </c>
      <c r="G1766" s="12" t="s">
        <v>114</v>
      </c>
      <c r="H1766" s="12" t="s">
        <v>1025</v>
      </c>
      <c r="I1766" s="12" t="s">
        <v>1026</v>
      </c>
    </row>
    <row r="1767" spans="1:9">
      <c r="A1767" s="14">
        <v>91000</v>
      </c>
      <c r="B1767" s="14" t="s">
        <v>931</v>
      </c>
      <c r="C1767" s="12" t="s">
        <v>145</v>
      </c>
      <c r="D1767" s="15" t="str">
        <f t="shared" si="27"/>
        <v>Service Delivery - SUP</v>
      </c>
      <c r="E1767" s="12" t="s">
        <v>126</v>
      </c>
      <c r="F1767" s="12" t="s">
        <v>405</v>
      </c>
      <c r="G1767" s="12" t="s">
        <v>114</v>
      </c>
      <c r="H1767" s="12" t="s">
        <v>1025</v>
      </c>
      <c r="I1767" s="12" t="s">
        <v>1026</v>
      </c>
    </row>
    <row r="1768" spans="1:9">
      <c r="A1768" s="14">
        <v>91000</v>
      </c>
      <c r="B1768" s="14" t="s">
        <v>931</v>
      </c>
      <c r="C1768" s="12" t="s">
        <v>180</v>
      </c>
      <c r="D1768" s="15" t="str">
        <f t="shared" si="27"/>
        <v>Service Delivery - TMG</v>
      </c>
      <c r="E1768" s="12" t="s">
        <v>126</v>
      </c>
      <c r="F1768" s="12" t="s">
        <v>405</v>
      </c>
      <c r="G1768" s="12" t="s">
        <v>114</v>
      </c>
      <c r="H1768" s="12" t="s">
        <v>1025</v>
      </c>
      <c r="I1768" s="12" t="s">
        <v>1026</v>
      </c>
    </row>
    <row r="1769" spans="1:9">
      <c r="A1769" s="14">
        <v>91000</v>
      </c>
      <c r="B1769" s="14" t="s">
        <v>931</v>
      </c>
      <c r="C1769" s="12" t="s">
        <v>185</v>
      </c>
      <c r="D1769" s="15" t="str">
        <f t="shared" si="27"/>
        <v>Service Delivery - TPS</v>
      </c>
      <c r="E1769" s="12" t="s">
        <v>126</v>
      </c>
      <c r="F1769" s="12" t="s">
        <v>405</v>
      </c>
      <c r="G1769" s="12" t="s">
        <v>114</v>
      </c>
      <c r="H1769" s="12" t="s">
        <v>1025</v>
      </c>
      <c r="I1769" s="12" t="s">
        <v>1026</v>
      </c>
    </row>
    <row r="1770" spans="1:9">
      <c r="A1770" s="14">
        <v>97245</v>
      </c>
      <c r="B1770" s="14" t="s">
        <v>929</v>
      </c>
      <c r="C1770" s="12" t="s">
        <v>129</v>
      </c>
      <c r="D1770" s="15" t="str">
        <f t="shared" si="27"/>
        <v>SGS Digital Recruitment - MGT</v>
      </c>
      <c r="E1770" s="12" t="s">
        <v>104</v>
      </c>
      <c r="F1770" s="12" t="s">
        <v>512</v>
      </c>
      <c r="G1770" s="12" t="s">
        <v>114</v>
      </c>
      <c r="H1770" s="12" t="s">
        <v>1025</v>
      </c>
      <c r="I1770" s="12" t="s">
        <v>1026</v>
      </c>
    </row>
    <row r="1771" spans="1:9">
      <c r="A1771" s="14">
        <v>97245</v>
      </c>
      <c r="B1771" s="14" t="s">
        <v>929</v>
      </c>
      <c r="C1771" s="12" t="s">
        <v>514</v>
      </c>
      <c r="D1771" s="15" t="str">
        <f t="shared" si="27"/>
        <v>SGS Digital Recruitment - REC</v>
      </c>
      <c r="E1771" s="12" t="s">
        <v>104</v>
      </c>
      <c r="F1771" s="12" t="s">
        <v>512</v>
      </c>
      <c r="G1771" s="12" t="s">
        <v>114</v>
      </c>
      <c r="H1771" s="12" t="s">
        <v>1025</v>
      </c>
      <c r="I1771" s="12" t="s">
        <v>1026</v>
      </c>
    </row>
    <row r="1772" spans="1:9">
      <c r="A1772" s="14">
        <v>97245</v>
      </c>
      <c r="B1772" s="14" t="s">
        <v>929</v>
      </c>
      <c r="C1772" s="12" t="s">
        <v>145</v>
      </c>
      <c r="D1772" s="15" t="str">
        <f t="shared" si="27"/>
        <v>SGS Digital Recruitment - SUP</v>
      </c>
      <c r="E1772" s="12" t="s">
        <v>104</v>
      </c>
      <c r="F1772" s="12" t="s">
        <v>512</v>
      </c>
      <c r="G1772" s="12" t="s">
        <v>114</v>
      </c>
      <c r="H1772" s="12" t="s">
        <v>1025</v>
      </c>
      <c r="I1772" s="12" t="s">
        <v>1026</v>
      </c>
    </row>
    <row r="1773" spans="1:9">
      <c r="A1773" s="14">
        <v>98006</v>
      </c>
      <c r="B1773" s="14" t="s">
        <v>932</v>
      </c>
      <c r="C1773" s="12" t="s">
        <v>133</v>
      </c>
      <c r="D1773" s="15" t="str">
        <f t="shared" si="27"/>
        <v>SHARED SERVICES - TRAVEL - AMG</v>
      </c>
      <c r="E1773" s="12" t="s">
        <v>104</v>
      </c>
      <c r="F1773" s="12" t="s">
        <v>518</v>
      </c>
      <c r="G1773" s="12" t="s">
        <v>350</v>
      </c>
      <c r="H1773" s="12" t="s">
        <v>1025</v>
      </c>
      <c r="I1773" s="12" t="s">
        <v>1026</v>
      </c>
    </row>
    <row r="1774" spans="1:9">
      <c r="A1774" s="14">
        <v>98006</v>
      </c>
      <c r="B1774" s="14" t="s">
        <v>932</v>
      </c>
      <c r="C1774" s="12" t="s">
        <v>129</v>
      </c>
      <c r="D1774" s="15" t="str">
        <f t="shared" si="27"/>
        <v>SHARED SERVICES - TRAVEL - MGT</v>
      </c>
      <c r="E1774" s="12" t="s">
        <v>104</v>
      </c>
      <c r="F1774" s="12" t="s">
        <v>518</v>
      </c>
      <c r="G1774" s="12" t="s">
        <v>350</v>
      </c>
      <c r="H1774" s="12" t="s">
        <v>1025</v>
      </c>
      <c r="I1774" s="12" t="s">
        <v>1026</v>
      </c>
    </row>
    <row r="1775" spans="1:9">
      <c r="A1775" s="14">
        <v>98006</v>
      </c>
      <c r="B1775" s="14" t="s">
        <v>932</v>
      </c>
      <c r="C1775" s="12" t="s">
        <v>145</v>
      </c>
      <c r="D1775" s="15" t="str">
        <f t="shared" si="27"/>
        <v>SHARED SERVICES - TRAVEL - SUP</v>
      </c>
      <c r="E1775" s="12" t="s">
        <v>104</v>
      </c>
      <c r="F1775" s="12" t="s">
        <v>518</v>
      </c>
      <c r="G1775" s="12" t="s">
        <v>350</v>
      </c>
      <c r="H1775" s="12" t="s">
        <v>1025</v>
      </c>
      <c r="I1775" s="12" t="s">
        <v>1026</v>
      </c>
    </row>
    <row r="1776" spans="1:9">
      <c r="A1776" s="14">
        <v>98006</v>
      </c>
      <c r="B1776" s="14" t="s">
        <v>932</v>
      </c>
      <c r="C1776" s="12" t="s">
        <v>180</v>
      </c>
      <c r="D1776" s="15" t="str">
        <f t="shared" si="27"/>
        <v>SHARED SERVICES - TRAVEL - TMG</v>
      </c>
      <c r="E1776" s="12" t="s">
        <v>104</v>
      </c>
      <c r="F1776" s="12" t="s">
        <v>518</v>
      </c>
      <c r="G1776" s="12" t="s">
        <v>350</v>
      </c>
      <c r="H1776" s="12" t="s">
        <v>1025</v>
      </c>
      <c r="I1776" s="12" t="s">
        <v>1026</v>
      </c>
    </row>
    <row r="1777" spans="1:9">
      <c r="A1777" s="14">
        <v>95500</v>
      </c>
      <c r="B1777" s="14" t="s">
        <v>935</v>
      </c>
      <c r="C1777" s="12" t="s">
        <v>171</v>
      </c>
      <c r="D1777" s="15" t="str">
        <f t="shared" si="27"/>
        <v>SHD - ETE</v>
      </c>
      <c r="E1777" s="12" t="s">
        <v>104</v>
      </c>
      <c r="F1777" s="12" t="s">
        <v>263</v>
      </c>
      <c r="G1777" s="12" t="s">
        <v>264</v>
      </c>
      <c r="H1777" s="12" t="s">
        <v>1025</v>
      </c>
      <c r="I1777" s="12" t="s">
        <v>1026</v>
      </c>
    </row>
    <row r="1778" spans="1:9">
      <c r="A1778" s="14">
        <v>95500</v>
      </c>
      <c r="B1778" s="14" t="s">
        <v>935</v>
      </c>
      <c r="C1778" s="12" t="s">
        <v>139</v>
      </c>
      <c r="D1778" s="15" t="str">
        <f t="shared" si="27"/>
        <v>SHD - SMGT</v>
      </c>
      <c r="E1778" s="12" t="s">
        <v>104</v>
      </c>
      <c r="F1778" s="12" t="s">
        <v>263</v>
      </c>
      <c r="G1778" s="12" t="s">
        <v>264</v>
      </c>
      <c r="H1778" s="12" t="s">
        <v>1025</v>
      </c>
      <c r="I1778" s="12" t="s">
        <v>1026</v>
      </c>
    </row>
    <row r="1779" spans="1:9">
      <c r="A1779" s="14">
        <v>95500</v>
      </c>
      <c r="B1779" s="14" t="s">
        <v>935</v>
      </c>
      <c r="C1779" s="12" t="s">
        <v>119</v>
      </c>
      <c r="D1779" s="15" t="str">
        <f t="shared" si="27"/>
        <v>SHD - SQM</v>
      </c>
      <c r="E1779" s="12" t="s">
        <v>104</v>
      </c>
      <c r="F1779" s="12" t="s">
        <v>263</v>
      </c>
      <c r="G1779" s="12" t="s">
        <v>264</v>
      </c>
      <c r="H1779" s="12" t="s">
        <v>1025</v>
      </c>
      <c r="I1779" s="12" t="s">
        <v>1026</v>
      </c>
    </row>
    <row r="1780" spans="1:9">
      <c r="A1780" s="14">
        <v>95500</v>
      </c>
      <c r="B1780" s="14" t="s">
        <v>935</v>
      </c>
      <c r="C1780" s="12" t="s">
        <v>584</v>
      </c>
      <c r="D1780" s="15" t="str">
        <f t="shared" si="27"/>
        <v>SHD - STE</v>
      </c>
      <c r="E1780" s="12" t="s">
        <v>104</v>
      </c>
      <c r="F1780" s="12" t="s">
        <v>263</v>
      </c>
      <c r="G1780" s="12" t="s">
        <v>264</v>
      </c>
      <c r="H1780" s="12" t="s">
        <v>1025</v>
      </c>
      <c r="I1780" s="12" t="s">
        <v>1026</v>
      </c>
    </row>
    <row r="1781" spans="1:9">
      <c r="A1781" s="14">
        <v>95500</v>
      </c>
      <c r="B1781" s="14" t="s">
        <v>935</v>
      </c>
      <c r="C1781" s="12" t="s">
        <v>145</v>
      </c>
      <c r="D1781" s="15" t="str">
        <f t="shared" si="27"/>
        <v>SHD - SUP</v>
      </c>
      <c r="E1781" s="12" t="s">
        <v>104</v>
      </c>
      <c r="F1781" s="12" t="s">
        <v>263</v>
      </c>
      <c r="G1781" s="12" t="s">
        <v>264</v>
      </c>
      <c r="H1781" s="12" t="s">
        <v>1025</v>
      </c>
      <c r="I1781" s="12" t="s">
        <v>1026</v>
      </c>
    </row>
    <row r="1782" spans="1:9">
      <c r="A1782" s="14">
        <v>93808</v>
      </c>
      <c r="B1782" s="14" t="s">
        <v>937</v>
      </c>
      <c r="C1782" s="12" t="s">
        <v>835</v>
      </c>
      <c r="D1782" s="15" t="str">
        <f t="shared" si="27"/>
        <v>SHS Solutioning - TnT - BTG</v>
      </c>
      <c r="E1782" s="12" t="s">
        <v>104</v>
      </c>
      <c r="F1782" s="12" t="s">
        <v>938</v>
      </c>
      <c r="G1782" s="12" t="s">
        <v>114</v>
      </c>
      <c r="H1782" s="12" t="s">
        <v>1025</v>
      </c>
      <c r="I1782" s="12" t="s">
        <v>1026</v>
      </c>
    </row>
    <row r="1783" spans="1:9">
      <c r="A1783" s="14">
        <v>93808</v>
      </c>
      <c r="B1783" s="14" t="s">
        <v>937</v>
      </c>
      <c r="C1783" s="12" t="s">
        <v>145</v>
      </c>
      <c r="D1783" s="15" t="str">
        <f t="shared" si="27"/>
        <v>SHS Solutioning - TnT - SUP</v>
      </c>
      <c r="E1783" s="12" t="s">
        <v>104</v>
      </c>
      <c r="F1783" s="12" t="s">
        <v>938</v>
      </c>
      <c r="G1783" s="12" t="s">
        <v>114</v>
      </c>
      <c r="H1783" s="12" t="s">
        <v>1025</v>
      </c>
      <c r="I1783" s="12" t="s">
        <v>1026</v>
      </c>
    </row>
    <row r="1784" spans="1:9">
      <c r="A1784" s="14">
        <v>91082</v>
      </c>
      <c r="B1784" s="14" t="s">
        <v>936</v>
      </c>
      <c r="C1784" s="12" t="s">
        <v>129</v>
      </c>
      <c r="D1784" s="15" t="str">
        <f t="shared" si="27"/>
        <v>SHS-Organizational  Excellence - MGT</v>
      </c>
      <c r="E1784" s="12" t="s">
        <v>104</v>
      </c>
      <c r="F1784" s="12" t="s">
        <v>401</v>
      </c>
      <c r="G1784" s="12" t="s">
        <v>114</v>
      </c>
      <c r="H1784" s="12" t="s">
        <v>1025</v>
      </c>
      <c r="I1784" s="12" t="s">
        <v>1026</v>
      </c>
    </row>
    <row r="1785" spans="1:9">
      <c r="A1785" s="14">
        <v>91082</v>
      </c>
      <c r="B1785" s="14" t="s">
        <v>936</v>
      </c>
      <c r="C1785" s="12" t="s">
        <v>145</v>
      </c>
      <c r="D1785" s="15" t="str">
        <f t="shared" si="27"/>
        <v>SHS-Organizational  Excellence - SUP</v>
      </c>
      <c r="E1785" s="12" t="s">
        <v>104</v>
      </c>
      <c r="F1785" s="12" t="s">
        <v>401</v>
      </c>
      <c r="G1785" s="12" t="s">
        <v>114</v>
      </c>
      <c r="H1785" s="12" t="s">
        <v>1025</v>
      </c>
      <c r="I1785" s="12" t="s">
        <v>1026</v>
      </c>
    </row>
    <row r="1786" spans="1:9">
      <c r="A1786" s="14">
        <v>10869</v>
      </c>
      <c r="B1786" s="14" t="s">
        <v>429</v>
      </c>
      <c r="C1786" s="12" t="s">
        <v>150</v>
      </c>
      <c r="D1786" s="15" t="str">
        <f t="shared" si="27"/>
        <v>Shutterfly CS-Ind - CCS</v>
      </c>
      <c r="E1786" s="12" t="s">
        <v>126</v>
      </c>
      <c r="F1786" s="12" t="s">
        <v>178</v>
      </c>
      <c r="G1786" s="12" t="s">
        <v>128</v>
      </c>
      <c r="H1786" s="12" t="s">
        <v>1025</v>
      </c>
      <c r="I1786" s="12" t="s">
        <v>1026</v>
      </c>
    </row>
    <row r="1787" spans="1:9">
      <c r="A1787" s="14">
        <v>10484</v>
      </c>
      <c r="B1787" s="14" t="s">
        <v>244</v>
      </c>
      <c r="C1787" s="12" t="s">
        <v>224</v>
      </c>
      <c r="D1787" s="15" t="str">
        <f t="shared" si="27"/>
        <v>SIG FTP INDIA - ACM</v>
      </c>
      <c r="E1787" s="12" t="s">
        <v>126</v>
      </c>
      <c r="F1787" s="12" t="s">
        <v>163</v>
      </c>
      <c r="G1787" s="12" t="s">
        <v>164</v>
      </c>
      <c r="H1787" s="12" t="s">
        <v>1025</v>
      </c>
      <c r="I1787" s="12" t="s">
        <v>1026</v>
      </c>
    </row>
    <row r="1788" spans="1:9">
      <c r="A1788" s="14">
        <v>10484</v>
      </c>
      <c r="B1788" s="14" t="s">
        <v>244</v>
      </c>
      <c r="C1788" s="12" t="s">
        <v>138</v>
      </c>
      <c r="D1788" s="15" t="str">
        <f t="shared" si="27"/>
        <v>SIG FTP INDIA - BOS</v>
      </c>
      <c r="E1788" s="12" t="s">
        <v>126</v>
      </c>
      <c r="F1788" s="12" t="s">
        <v>163</v>
      </c>
      <c r="G1788" s="12" t="s">
        <v>164</v>
      </c>
      <c r="H1788" s="12" t="s">
        <v>1025</v>
      </c>
      <c r="I1788" s="12" t="s">
        <v>1026</v>
      </c>
    </row>
    <row r="1789" spans="1:9">
      <c r="A1789" s="14">
        <v>10484</v>
      </c>
      <c r="B1789" s="14" t="s">
        <v>244</v>
      </c>
      <c r="C1789" s="12" t="s">
        <v>504</v>
      </c>
      <c r="D1789" s="15" t="str">
        <f t="shared" si="27"/>
        <v>SIG FTP INDIA - CH AGT</v>
      </c>
      <c r="E1789" s="12" t="s">
        <v>126</v>
      </c>
      <c r="F1789" s="12" t="s">
        <v>163</v>
      </c>
      <c r="G1789" s="12" t="s">
        <v>164</v>
      </c>
      <c r="H1789" s="12" t="s">
        <v>1025</v>
      </c>
      <c r="I1789" s="12" t="s">
        <v>1026</v>
      </c>
    </row>
    <row r="1790" spans="1:9">
      <c r="A1790" s="14">
        <v>10484</v>
      </c>
      <c r="B1790" s="14" t="s">
        <v>244</v>
      </c>
      <c r="C1790" s="12" t="s">
        <v>121</v>
      </c>
      <c r="D1790" s="15" t="str">
        <f t="shared" si="27"/>
        <v>SIG FTP INDIA - F&amp;A</v>
      </c>
      <c r="E1790" s="12" t="s">
        <v>126</v>
      </c>
      <c r="F1790" s="12" t="s">
        <v>163</v>
      </c>
      <c r="G1790" s="12" t="s">
        <v>164</v>
      </c>
      <c r="H1790" s="12" t="s">
        <v>1025</v>
      </c>
      <c r="I1790" s="12" t="s">
        <v>1026</v>
      </c>
    </row>
    <row r="1791" spans="1:9">
      <c r="A1791" s="14">
        <v>10484</v>
      </c>
      <c r="B1791" s="14" t="s">
        <v>244</v>
      </c>
      <c r="C1791" s="12" t="s">
        <v>306</v>
      </c>
      <c r="D1791" s="15" t="str">
        <f t="shared" si="27"/>
        <v>SIG FTP INDIA - FAO</v>
      </c>
      <c r="E1791" s="12" t="s">
        <v>126</v>
      </c>
      <c r="F1791" s="12" t="s">
        <v>163</v>
      </c>
      <c r="G1791" s="12" t="s">
        <v>164</v>
      </c>
      <c r="H1791" s="12" t="s">
        <v>1025</v>
      </c>
      <c r="I1791" s="12" t="s">
        <v>1026</v>
      </c>
    </row>
    <row r="1792" spans="1:9">
      <c r="A1792" s="14">
        <v>10484</v>
      </c>
      <c r="B1792" s="14" t="s">
        <v>244</v>
      </c>
      <c r="C1792" s="12" t="s">
        <v>116</v>
      </c>
      <c r="D1792" s="15" t="str">
        <f t="shared" si="27"/>
        <v>SIG FTP INDIA - PRD</v>
      </c>
      <c r="E1792" s="12" t="s">
        <v>126</v>
      </c>
      <c r="F1792" s="12" t="s">
        <v>163</v>
      </c>
      <c r="G1792" s="12" t="s">
        <v>164</v>
      </c>
      <c r="H1792" s="12" t="s">
        <v>1025</v>
      </c>
      <c r="I1792" s="12" t="s">
        <v>1026</v>
      </c>
    </row>
    <row r="1793" spans="1:9">
      <c r="A1793" s="14">
        <v>10484</v>
      </c>
      <c r="B1793" s="14" t="s">
        <v>244</v>
      </c>
      <c r="C1793" s="12" t="s">
        <v>145</v>
      </c>
      <c r="D1793" s="15" t="str">
        <f t="shared" si="27"/>
        <v>SIG FTP INDIA - SUP</v>
      </c>
      <c r="E1793" s="12" t="s">
        <v>126</v>
      </c>
      <c r="F1793" s="12" t="s">
        <v>163</v>
      </c>
      <c r="G1793" s="12" t="s">
        <v>164</v>
      </c>
      <c r="H1793" s="12" t="s">
        <v>1025</v>
      </c>
      <c r="I1793" s="12" t="s">
        <v>1026</v>
      </c>
    </row>
    <row r="1794" spans="1:9">
      <c r="A1794" s="14">
        <v>10484</v>
      </c>
      <c r="B1794" s="14" t="s">
        <v>244</v>
      </c>
      <c r="C1794" s="12" t="s">
        <v>180</v>
      </c>
      <c r="D1794" s="15" t="str">
        <f t="shared" ref="D1794:D1857" si="28">B1794&amp;" - "&amp;C1794</f>
        <v>SIG FTP INDIA - TMG</v>
      </c>
      <c r="E1794" s="12" t="s">
        <v>126</v>
      </c>
      <c r="F1794" s="12" t="s">
        <v>163</v>
      </c>
      <c r="G1794" s="12" t="s">
        <v>164</v>
      </c>
      <c r="H1794" s="12" t="s">
        <v>1025</v>
      </c>
      <c r="I1794" s="12" t="s">
        <v>1026</v>
      </c>
    </row>
    <row r="1795" spans="1:9">
      <c r="A1795" s="14">
        <v>10484</v>
      </c>
      <c r="B1795" s="14" t="s">
        <v>244</v>
      </c>
      <c r="C1795" s="12" t="s">
        <v>185</v>
      </c>
      <c r="D1795" s="15" t="str">
        <f t="shared" si="28"/>
        <v>SIG FTP INDIA - TPS</v>
      </c>
      <c r="E1795" s="12" t="s">
        <v>126</v>
      </c>
      <c r="F1795" s="12" t="s">
        <v>163</v>
      </c>
      <c r="G1795" s="12" t="s">
        <v>164</v>
      </c>
      <c r="H1795" s="12" t="s">
        <v>1025</v>
      </c>
      <c r="I1795" s="12" t="s">
        <v>1026</v>
      </c>
    </row>
    <row r="1796" spans="1:9">
      <c r="A1796" s="14">
        <v>82011</v>
      </c>
      <c r="B1796" s="14" t="s">
        <v>869</v>
      </c>
      <c r="C1796" s="12" t="s">
        <v>145</v>
      </c>
      <c r="D1796" s="15" t="str">
        <f t="shared" si="28"/>
        <v>Smartleap - SUP</v>
      </c>
      <c r="E1796" s="12" t="s">
        <v>104</v>
      </c>
      <c r="F1796" s="12" t="s">
        <v>117</v>
      </c>
      <c r="G1796" s="12" t="s">
        <v>117</v>
      </c>
      <c r="H1796" s="12" t="s">
        <v>1025</v>
      </c>
      <c r="I1796" s="12" t="s">
        <v>1026</v>
      </c>
    </row>
    <row r="1797" spans="1:9">
      <c r="A1797" s="14">
        <v>20717</v>
      </c>
      <c r="B1797" s="14" t="s">
        <v>643</v>
      </c>
      <c r="C1797" s="12" t="s">
        <v>145</v>
      </c>
      <c r="D1797" s="15" t="str">
        <f t="shared" si="28"/>
        <v>SmartLeap Translation Tool-DR - SUP</v>
      </c>
      <c r="E1797" s="12" t="s">
        <v>104</v>
      </c>
      <c r="F1797" s="12" t="s">
        <v>117</v>
      </c>
      <c r="G1797" s="12" t="s">
        <v>117</v>
      </c>
      <c r="H1797" s="12" t="s">
        <v>1025</v>
      </c>
      <c r="I1797" s="12" t="s">
        <v>1026</v>
      </c>
    </row>
    <row r="1798" spans="1:9">
      <c r="A1798" s="14">
        <v>10784</v>
      </c>
      <c r="B1798" s="14" t="s">
        <v>382</v>
      </c>
      <c r="C1798" s="12" t="s">
        <v>138</v>
      </c>
      <c r="D1798" s="15" t="str">
        <f t="shared" si="28"/>
        <v>Snapchat CoMo IND - BOS</v>
      </c>
      <c r="E1798" s="12" t="s">
        <v>126</v>
      </c>
      <c r="F1798" s="12" t="s">
        <v>178</v>
      </c>
      <c r="G1798" s="12" t="s">
        <v>128</v>
      </c>
      <c r="H1798" s="12" t="s">
        <v>1025</v>
      </c>
      <c r="I1798" s="12" t="s">
        <v>1026</v>
      </c>
    </row>
    <row r="1799" spans="1:9">
      <c r="A1799" s="14">
        <v>10784</v>
      </c>
      <c r="B1799" s="14" t="s">
        <v>382</v>
      </c>
      <c r="C1799" s="12" t="s">
        <v>150</v>
      </c>
      <c r="D1799" s="15" t="str">
        <f t="shared" si="28"/>
        <v>Snapchat CoMo IND - CCS</v>
      </c>
      <c r="E1799" s="12" t="s">
        <v>126</v>
      </c>
      <c r="F1799" s="12" t="s">
        <v>178</v>
      </c>
      <c r="G1799" s="12" t="s">
        <v>128</v>
      </c>
      <c r="H1799" s="12" t="s">
        <v>1025</v>
      </c>
      <c r="I1799" s="12" t="s">
        <v>1026</v>
      </c>
    </row>
    <row r="1800" spans="1:9">
      <c r="A1800" s="14">
        <v>10784</v>
      </c>
      <c r="B1800" s="14" t="s">
        <v>382</v>
      </c>
      <c r="C1800" s="12" t="s">
        <v>116</v>
      </c>
      <c r="D1800" s="15" t="str">
        <f t="shared" si="28"/>
        <v>Snapchat CoMo IND - PRD</v>
      </c>
      <c r="E1800" s="12" t="s">
        <v>126</v>
      </c>
      <c r="F1800" s="12" t="s">
        <v>178</v>
      </c>
      <c r="G1800" s="12" t="s">
        <v>128</v>
      </c>
      <c r="H1800" s="12" t="s">
        <v>1025</v>
      </c>
      <c r="I1800" s="12" t="s">
        <v>1026</v>
      </c>
    </row>
    <row r="1801" spans="1:9">
      <c r="A1801" s="14">
        <v>10784</v>
      </c>
      <c r="B1801" s="14" t="s">
        <v>382</v>
      </c>
      <c r="C1801" s="12" t="s">
        <v>111</v>
      </c>
      <c r="D1801" s="15" t="str">
        <f t="shared" si="28"/>
        <v>Snapchat CoMo IND - QLY</v>
      </c>
      <c r="E1801" s="12" t="s">
        <v>112</v>
      </c>
      <c r="F1801" s="12" t="s">
        <v>113</v>
      </c>
      <c r="G1801" s="12" t="s">
        <v>114</v>
      </c>
      <c r="H1801" s="12" t="s">
        <v>1025</v>
      </c>
      <c r="I1801" s="12" t="s">
        <v>1026</v>
      </c>
    </row>
    <row r="1802" spans="1:9">
      <c r="A1802" s="14">
        <v>10784</v>
      </c>
      <c r="B1802" s="14" t="s">
        <v>382</v>
      </c>
      <c r="C1802" s="12" t="s">
        <v>180</v>
      </c>
      <c r="D1802" s="15" t="str">
        <f t="shared" si="28"/>
        <v>Snapchat CoMo IND - TMG</v>
      </c>
      <c r="E1802" s="12" t="s">
        <v>126</v>
      </c>
      <c r="F1802" s="12" t="s">
        <v>178</v>
      </c>
      <c r="G1802" s="12" t="s">
        <v>128</v>
      </c>
      <c r="H1802" s="12" t="s">
        <v>1025</v>
      </c>
      <c r="I1802" s="12" t="s">
        <v>1026</v>
      </c>
    </row>
    <row r="1803" spans="1:9">
      <c r="A1803" s="14">
        <v>10784</v>
      </c>
      <c r="B1803" s="14" t="s">
        <v>382</v>
      </c>
      <c r="C1803" s="12" t="s">
        <v>203</v>
      </c>
      <c r="D1803" s="15" t="str">
        <f t="shared" si="28"/>
        <v>Snapchat CoMo IND - TRG</v>
      </c>
      <c r="E1803" s="12" t="s">
        <v>112</v>
      </c>
      <c r="F1803" s="12" t="s">
        <v>204</v>
      </c>
      <c r="G1803" s="12" t="s">
        <v>205</v>
      </c>
      <c r="H1803" s="12" t="s">
        <v>1025</v>
      </c>
      <c r="I1803" s="12" t="s">
        <v>1026</v>
      </c>
    </row>
    <row r="1804" spans="1:9">
      <c r="A1804" s="14">
        <v>51233</v>
      </c>
      <c r="B1804" s="14" t="s">
        <v>739</v>
      </c>
      <c r="C1804" s="12" t="s">
        <v>116</v>
      </c>
      <c r="D1804" s="15" t="str">
        <f t="shared" si="28"/>
        <v>SNC-2210-2310-KofaxImplementat - PRD</v>
      </c>
      <c r="E1804" s="12" t="s">
        <v>117</v>
      </c>
      <c r="F1804" s="12" t="s">
        <v>117</v>
      </c>
      <c r="G1804" s="12" t="s">
        <v>117</v>
      </c>
      <c r="H1804" s="12" t="s">
        <v>1025</v>
      </c>
      <c r="I1804" s="12" t="s">
        <v>1026</v>
      </c>
    </row>
    <row r="1805" spans="1:9">
      <c r="A1805" s="14">
        <v>51236</v>
      </c>
      <c r="B1805" s="14" t="s">
        <v>740</v>
      </c>
      <c r="C1805" s="12" t="s">
        <v>116</v>
      </c>
      <c r="D1805" s="15" t="str">
        <f t="shared" si="28"/>
        <v>SNC-2305-2805-OracleEBSOneERPS - PRD</v>
      </c>
      <c r="E1805" s="12" t="s">
        <v>117</v>
      </c>
      <c r="F1805" s="12" t="s">
        <v>117</v>
      </c>
      <c r="G1805" s="12" t="s">
        <v>117</v>
      </c>
      <c r="H1805" s="12" t="s">
        <v>1025</v>
      </c>
      <c r="I1805" s="12" t="s">
        <v>1026</v>
      </c>
    </row>
    <row r="1806" spans="1:9">
      <c r="A1806" s="14">
        <v>93801</v>
      </c>
      <c r="B1806" s="14" t="s">
        <v>942</v>
      </c>
      <c r="C1806" s="12" t="s">
        <v>145</v>
      </c>
      <c r="D1806" s="15" t="str">
        <f t="shared" si="28"/>
        <v>Solutioning - Bid Proposal - SUP</v>
      </c>
      <c r="E1806" s="12" t="s">
        <v>104</v>
      </c>
      <c r="F1806" s="12" t="s">
        <v>938</v>
      </c>
      <c r="G1806" s="12" t="s">
        <v>114</v>
      </c>
      <c r="H1806" s="12" t="s">
        <v>1025</v>
      </c>
      <c r="I1806" s="12" t="s">
        <v>1026</v>
      </c>
    </row>
    <row r="1807" spans="1:9">
      <c r="A1807" s="14">
        <v>93806</v>
      </c>
      <c r="B1807" s="14" t="s">
        <v>943</v>
      </c>
      <c r="C1807" s="12" t="s">
        <v>129</v>
      </c>
      <c r="D1807" s="15" t="str">
        <f t="shared" si="28"/>
        <v>Solutioning - BPT - FTP - MGT</v>
      </c>
      <c r="E1807" s="12" t="s">
        <v>104</v>
      </c>
      <c r="F1807" s="12" t="s">
        <v>938</v>
      </c>
      <c r="G1807" s="12" t="s">
        <v>114</v>
      </c>
      <c r="H1807" s="12" t="s">
        <v>1025</v>
      </c>
      <c r="I1807" s="12" t="s">
        <v>1026</v>
      </c>
    </row>
    <row r="1808" spans="1:9">
      <c r="A1808" s="14">
        <v>93806</v>
      </c>
      <c r="B1808" s="14" t="s">
        <v>943</v>
      </c>
      <c r="C1808" s="12" t="s">
        <v>139</v>
      </c>
      <c r="D1808" s="15" t="str">
        <f t="shared" si="28"/>
        <v>Solutioning - BPT - FTP - SMGT</v>
      </c>
      <c r="E1808" s="12" t="s">
        <v>104</v>
      </c>
      <c r="F1808" s="12" t="s">
        <v>938</v>
      </c>
      <c r="G1808" s="12" t="s">
        <v>114</v>
      </c>
      <c r="H1808" s="12" t="s">
        <v>1025</v>
      </c>
      <c r="I1808" s="12" t="s">
        <v>1026</v>
      </c>
    </row>
    <row r="1809" spans="1:9">
      <c r="A1809" s="14">
        <v>93806</v>
      </c>
      <c r="B1809" s="14" t="s">
        <v>943</v>
      </c>
      <c r="C1809" s="12" t="s">
        <v>145</v>
      </c>
      <c r="D1809" s="15" t="str">
        <f t="shared" si="28"/>
        <v>Solutioning - BPT - FTP - SUP</v>
      </c>
      <c r="E1809" s="12" t="s">
        <v>104</v>
      </c>
      <c r="F1809" s="12" t="s">
        <v>938</v>
      </c>
      <c r="G1809" s="12" t="s">
        <v>114</v>
      </c>
      <c r="H1809" s="12" t="s">
        <v>1025</v>
      </c>
      <c r="I1809" s="12" t="s">
        <v>1026</v>
      </c>
    </row>
    <row r="1810" spans="1:9">
      <c r="A1810" s="14">
        <v>93807</v>
      </c>
      <c r="B1810" s="14" t="s">
        <v>947</v>
      </c>
      <c r="C1810" s="12" t="s">
        <v>129</v>
      </c>
      <c r="D1810" s="15" t="str">
        <f t="shared" si="28"/>
        <v>Solutioning - CET - MGT</v>
      </c>
      <c r="E1810" s="12" t="s">
        <v>104</v>
      </c>
      <c r="F1810" s="12" t="s">
        <v>938</v>
      </c>
      <c r="G1810" s="12" t="s">
        <v>114</v>
      </c>
      <c r="H1810" s="12" t="s">
        <v>1025</v>
      </c>
      <c r="I1810" s="12" t="s">
        <v>1026</v>
      </c>
    </row>
    <row r="1811" spans="1:9">
      <c r="A1811" s="14">
        <v>93807</v>
      </c>
      <c r="B1811" s="14" t="s">
        <v>947</v>
      </c>
      <c r="C1811" s="12" t="s">
        <v>139</v>
      </c>
      <c r="D1811" s="15" t="str">
        <f t="shared" si="28"/>
        <v>Solutioning - CET - SMGT</v>
      </c>
      <c r="E1811" s="12" t="s">
        <v>104</v>
      </c>
      <c r="F1811" s="12" t="s">
        <v>938</v>
      </c>
      <c r="G1811" s="12" t="s">
        <v>114</v>
      </c>
      <c r="H1811" s="12" t="s">
        <v>1025</v>
      </c>
      <c r="I1811" s="12" t="s">
        <v>1026</v>
      </c>
    </row>
    <row r="1812" spans="1:9">
      <c r="A1812" s="14">
        <v>93807</v>
      </c>
      <c r="B1812" s="14" t="s">
        <v>947</v>
      </c>
      <c r="C1812" s="12" t="s">
        <v>145</v>
      </c>
      <c r="D1812" s="15" t="str">
        <f t="shared" si="28"/>
        <v>Solutioning - CET - SUP</v>
      </c>
      <c r="E1812" s="12" t="s">
        <v>104</v>
      </c>
      <c r="F1812" s="12" t="s">
        <v>938</v>
      </c>
      <c r="G1812" s="12" t="s">
        <v>114</v>
      </c>
      <c r="H1812" s="12" t="s">
        <v>1025</v>
      </c>
      <c r="I1812" s="12" t="s">
        <v>1026</v>
      </c>
    </row>
    <row r="1813" spans="1:9">
      <c r="A1813" s="14">
        <v>93802</v>
      </c>
      <c r="B1813" s="14" t="s">
        <v>949</v>
      </c>
      <c r="C1813" s="12" t="s">
        <v>121</v>
      </c>
      <c r="D1813" s="15" t="str">
        <f t="shared" si="28"/>
        <v>Solutioning - Pricing - F&amp;A</v>
      </c>
      <c r="E1813" s="12" t="s">
        <v>104</v>
      </c>
      <c r="F1813" s="12" t="s">
        <v>938</v>
      </c>
      <c r="G1813" s="12" t="s">
        <v>114</v>
      </c>
      <c r="H1813" s="12" t="s">
        <v>1025</v>
      </c>
      <c r="I1813" s="12" t="s">
        <v>1026</v>
      </c>
    </row>
    <row r="1814" spans="1:9">
      <c r="A1814" s="14">
        <v>93802</v>
      </c>
      <c r="B1814" s="14" t="s">
        <v>949</v>
      </c>
      <c r="C1814" s="12" t="s">
        <v>129</v>
      </c>
      <c r="D1814" s="15" t="str">
        <f t="shared" si="28"/>
        <v>Solutioning - Pricing - MGT</v>
      </c>
      <c r="E1814" s="12" t="s">
        <v>104</v>
      </c>
      <c r="F1814" s="12" t="s">
        <v>938</v>
      </c>
      <c r="G1814" s="12" t="s">
        <v>114</v>
      </c>
      <c r="H1814" s="12" t="s">
        <v>1025</v>
      </c>
      <c r="I1814" s="12" t="s">
        <v>1026</v>
      </c>
    </row>
    <row r="1815" spans="1:9">
      <c r="A1815" s="14">
        <v>93802</v>
      </c>
      <c r="B1815" s="14" t="s">
        <v>949</v>
      </c>
      <c r="C1815" s="12" t="s">
        <v>139</v>
      </c>
      <c r="D1815" s="15" t="str">
        <f t="shared" si="28"/>
        <v>Solutioning - Pricing - SMGT</v>
      </c>
      <c r="E1815" s="12" t="s">
        <v>104</v>
      </c>
      <c r="F1815" s="12" t="s">
        <v>938</v>
      </c>
      <c r="G1815" s="12" t="s">
        <v>114</v>
      </c>
      <c r="H1815" s="12" t="s">
        <v>1025</v>
      </c>
      <c r="I1815" s="12" t="s">
        <v>1026</v>
      </c>
    </row>
    <row r="1816" spans="1:9">
      <c r="A1816" s="14">
        <v>93802</v>
      </c>
      <c r="B1816" s="14" t="s">
        <v>949</v>
      </c>
      <c r="C1816" s="12" t="s">
        <v>145</v>
      </c>
      <c r="D1816" s="15" t="str">
        <f t="shared" si="28"/>
        <v>Solutioning - Pricing - SUP</v>
      </c>
      <c r="E1816" s="12" t="s">
        <v>104</v>
      </c>
      <c r="F1816" s="12" t="s">
        <v>938</v>
      </c>
      <c r="G1816" s="12" t="s">
        <v>114</v>
      </c>
      <c r="H1816" s="12" t="s">
        <v>1025</v>
      </c>
      <c r="I1816" s="12" t="s">
        <v>1026</v>
      </c>
    </row>
    <row r="1817" spans="1:9">
      <c r="A1817" s="14">
        <v>93803</v>
      </c>
      <c r="B1817" s="14" t="s">
        <v>951</v>
      </c>
      <c r="C1817" s="12" t="s">
        <v>835</v>
      </c>
      <c r="D1817" s="15" t="str">
        <f t="shared" si="28"/>
        <v>Solutioning - TnT - BTG</v>
      </c>
      <c r="E1817" s="12" t="s">
        <v>104</v>
      </c>
      <c r="F1817" s="12" t="s">
        <v>938</v>
      </c>
      <c r="G1817" s="12" t="s">
        <v>114</v>
      </c>
      <c r="H1817" s="12" t="s">
        <v>1025</v>
      </c>
      <c r="I1817" s="12" t="s">
        <v>1026</v>
      </c>
    </row>
    <row r="1818" spans="1:9">
      <c r="A1818" s="14">
        <v>93803</v>
      </c>
      <c r="B1818" s="14" t="s">
        <v>951</v>
      </c>
      <c r="C1818" s="12" t="s">
        <v>129</v>
      </c>
      <c r="D1818" s="15" t="str">
        <f t="shared" si="28"/>
        <v>Solutioning - TnT - MGT</v>
      </c>
      <c r="E1818" s="12" t="s">
        <v>104</v>
      </c>
      <c r="F1818" s="12" t="s">
        <v>938</v>
      </c>
      <c r="G1818" s="12" t="s">
        <v>114</v>
      </c>
      <c r="H1818" s="12" t="s">
        <v>1025</v>
      </c>
      <c r="I1818" s="12" t="s">
        <v>1026</v>
      </c>
    </row>
    <row r="1819" spans="1:9">
      <c r="A1819" s="14">
        <v>93803</v>
      </c>
      <c r="B1819" s="14" t="s">
        <v>951</v>
      </c>
      <c r="C1819" s="12" t="s">
        <v>145</v>
      </c>
      <c r="D1819" s="15" t="str">
        <f t="shared" si="28"/>
        <v>Solutioning - TnT - SUP</v>
      </c>
      <c r="E1819" s="12" t="s">
        <v>104</v>
      </c>
      <c r="F1819" s="12" t="s">
        <v>938</v>
      </c>
      <c r="G1819" s="12" t="s">
        <v>114</v>
      </c>
      <c r="H1819" s="12" t="s">
        <v>1025</v>
      </c>
      <c r="I1819" s="12" t="s">
        <v>1026</v>
      </c>
    </row>
    <row r="1820" spans="1:9">
      <c r="A1820" s="14">
        <v>93899</v>
      </c>
      <c r="B1820" s="14" t="s">
        <v>952</v>
      </c>
      <c r="C1820" s="12" t="s">
        <v>352</v>
      </c>
      <c r="D1820" s="15" t="str">
        <f t="shared" si="28"/>
        <v>Solutioning Common - EAT</v>
      </c>
      <c r="E1820" s="12" t="s">
        <v>104</v>
      </c>
      <c r="F1820" s="12" t="s">
        <v>938</v>
      </c>
      <c r="G1820" s="12" t="s">
        <v>114</v>
      </c>
      <c r="H1820" s="12" t="s">
        <v>1025</v>
      </c>
      <c r="I1820" s="12" t="s">
        <v>1026</v>
      </c>
    </row>
    <row r="1821" spans="1:9">
      <c r="A1821" s="14">
        <v>93899</v>
      </c>
      <c r="B1821" s="14" t="s">
        <v>952</v>
      </c>
      <c r="C1821" s="12" t="s">
        <v>145</v>
      </c>
      <c r="D1821" s="15" t="str">
        <f t="shared" si="28"/>
        <v>Solutioning Common - SUP</v>
      </c>
      <c r="E1821" s="12" t="s">
        <v>104</v>
      </c>
      <c r="F1821" s="12" t="s">
        <v>938</v>
      </c>
      <c r="G1821" s="12" t="s">
        <v>114</v>
      </c>
      <c r="H1821" s="12" t="s">
        <v>1025</v>
      </c>
      <c r="I1821" s="12" t="s">
        <v>1026</v>
      </c>
    </row>
    <row r="1822" spans="1:9">
      <c r="A1822" s="14">
        <v>93822</v>
      </c>
      <c r="B1822" s="14" t="s">
        <v>972</v>
      </c>
      <c r="C1822" s="12" t="s">
        <v>129</v>
      </c>
      <c r="D1822" s="15" t="str">
        <f t="shared" si="28"/>
        <v>Solutions - Banking &amp; Finance - MGT</v>
      </c>
      <c r="E1822" s="12" t="s">
        <v>104</v>
      </c>
      <c r="F1822" s="12" t="s">
        <v>938</v>
      </c>
      <c r="G1822" s="12" t="s">
        <v>114</v>
      </c>
      <c r="H1822" s="12" t="s">
        <v>1025</v>
      </c>
      <c r="I1822" s="12" t="s">
        <v>1026</v>
      </c>
    </row>
    <row r="1823" spans="1:9">
      <c r="A1823" s="14">
        <v>93823</v>
      </c>
      <c r="B1823" s="14" t="s">
        <v>973</v>
      </c>
      <c r="C1823" s="12" t="s">
        <v>145</v>
      </c>
      <c r="D1823" s="15" t="str">
        <f t="shared" si="28"/>
        <v>Solutions – CME - SUP</v>
      </c>
      <c r="E1823" s="12" t="s">
        <v>104</v>
      </c>
      <c r="F1823" s="12" t="s">
        <v>938</v>
      </c>
      <c r="G1823" s="12" t="s">
        <v>114</v>
      </c>
      <c r="H1823" s="12" t="s">
        <v>1025</v>
      </c>
      <c r="I1823" s="12" t="s">
        <v>1026</v>
      </c>
    </row>
    <row r="1824" spans="1:9">
      <c r="A1824" s="14">
        <v>93824</v>
      </c>
      <c r="B1824" s="14" t="s">
        <v>975</v>
      </c>
      <c r="C1824" s="12" t="s">
        <v>139</v>
      </c>
      <c r="D1824" s="15" t="str">
        <f t="shared" si="28"/>
        <v>Solutions - Enterprise - SMGT</v>
      </c>
      <c r="E1824" s="12" t="s">
        <v>104</v>
      </c>
      <c r="F1824" s="12" t="s">
        <v>938</v>
      </c>
      <c r="G1824" s="12" t="s">
        <v>114</v>
      </c>
      <c r="H1824" s="12" t="s">
        <v>1025</v>
      </c>
      <c r="I1824" s="12" t="s">
        <v>1026</v>
      </c>
    </row>
    <row r="1825" spans="1:9">
      <c r="A1825" s="14">
        <v>93832</v>
      </c>
      <c r="B1825" s="14" t="s">
        <v>979</v>
      </c>
      <c r="C1825" s="12" t="s">
        <v>129</v>
      </c>
      <c r="D1825" s="15" t="str">
        <f t="shared" si="28"/>
        <v>Solutions - IA - MGT</v>
      </c>
      <c r="E1825" s="12" t="s">
        <v>117</v>
      </c>
      <c r="F1825" s="12" t="s">
        <v>117</v>
      </c>
      <c r="G1825" s="12" t="s">
        <v>117</v>
      </c>
      <c r="H1825" s="12" t="s">
        <v>1025</v>
      </c>
      <c r="I1825" s="12" t="s">
        <v>1026</v>
      </c>
    </row>
    <row r="1826" spans="1:9">
      <c r="A1826" s="14">
        <v>93826</v>
      </c>
      <c r="B1826" s="14" t="s">
        <v>976</v>
      </c>
      <c r="C1826" s="12" t="s">
        <v>129</v>
      </c>
      <c r="D1826" s="15" t="str">
        <f t="shared" si="28"/>
        <v>Solutions - Insurance - MGT</v>
      </c>
      <c r="E1826" s="12" t="s">
        <v>104</v>
      </c>
      <c r="F1826" s="12" t="s">
        <v>938</v>
      </c>
      <c r="G1826" s="12" t="s">
        <v>114</v>
      </c>
      <c r="H1826" s="12" t="s">
        <v>1025</v>
      </c>
      <c r="I1826" s="12" t="s">
        <v>1026</v>
      </c>
    </row>
    <row r="1827" spans="1:9">
      <c r="A1827" s="14">
        <v>93827</v>
      </c>
      <c r="B1827" s="14" t="s">
        <v>977</v>
      </c>
      <c r="C1827" s="12" t="s">
        <v>145</v>
      </c>
      <c r="D1827" s="15" t="str">
        <f t="shared" si="28"/>
        <v>Solutions - Mortgage - SUP</v>
      </c>
      <c r="E1827" s="12" t="s">
        <v>104</v>
      </c>
      <c r="F1827" s="12" t="s">
        <v>938</v>
      </c>
      <c r="G1827" s="12" t="s">
        <v>114</v>
      </c>
      <c r="H1827" s="12" t="s">
        <v>1025</v>
      </c>
      <c r="I1827" s="12" t="s">
        <v>1026</v>
      </c>
    </row>
    <row r="1828" spans="1:9">
      <c r="A1828" s="14">
        <v>93829</v>
      </c>
      <c r="B1828" s="14" t="s">
        <v>978</v>
      </c>
      <c r="C1828" s="12" t="s">
        <v>129</v>
      </c>
      <c r="D1828" s="15" t="str">
        <f t="shared" si="28"/>
        <v>Solutions – Technology - MGT</v>
      </c>
      <c r="E1828" s="12" t="s">
        <v>104</v>
      </c>
      <c r="F1828" s="12" t="s">
        <v>938</v>
      </c>
      <c r="G1828" s="12" t="s">
        <v>114</v>
      </c>
      <c r="H1828" s="12" t="s">
        <v>1025</v>
      </c>
      <c r="I1828" s="12" t="s">
        <v>1026</v>
      </c>
    </row>
    <row r="1829" spans="1:9">
      <c r="A1829" s="14">
        <v>93814</v>
      </c>
      <c r="B1829" s="14" t="s">
        <v>970</v>
      </c>
      <c r="C1829" s="12" t="s">
        <v>145</v>
      </c>
      <c r="D1829" s="15" t="str">
        <f t="shared" si="28"/>
        <v>Solutions Insights - SUP</v>
      </c>
      <c r="E1829" s="12" t="s">
        <v>104</v>
      </c>
      <c r="F1829" s="12" t="s">
        <v>938</v>
      </c>
      <c r="G1829" s="12" t="s">
        <v>114</v>
      </c>
      <c r="H1829" s="12" t="s">
        <v>1025</v>
      </c>
      <c r="I1829" s="12" t="s">
        <v>1026</v>
      </c>
    </row>
    <row r="1830" spans="1:9">
      <c r="A1830" s="14">
        <v>93821</v>
      </c>
      <c r="B1830" s="14" t="s">
        <v>971</v>
      </c>
      <c r="C1830" s="12" t="s">
        <v>145</v>
      </c>
      <c r="D1830" s="15" t="str">
        <f t="shared" si="28"/>
        <v>Solutions Travel - SUP</v>
      </c>
      <c r="E1830" s="12" t="s">
        <v>104</v>
      </c>
      <c r="F1830" s="12" t="s">
        <v>938</v>
      </c>
      <c r="G1830" s="12" t="s">
        <v>114</v>
      </c>
      <c r="H1830" s="12" t="s">
        <v>1025</v>
      </c>
      <c r="I1830" s="12" t="s">
        <v>1026</v>
      </c>
    </row>
    <row r="1831" spans="1:9">
      <c r="A1831" s="14">
        <v>51041</v>
      </c>
      <c r="B1831" s="14" t="s">
        <v>690</v>
      </c>
      <c r="C1831" s="12" t="s">
        <v>116</v>
      </c>
      <c r="D1831" s="15" t="str">
        <f t="shared" si="28"/>
        <v>SOXComplianceExtendedTeam - PRD</v>
      </c>
      <c r="E1831" s="12" t="s">
        <v>117</v>
      </c>
      <c r="F1831" s="12" t="s">
        <v>117</v>
      </c>
      <c r="G1831" s="12" t="s">
        <v>117</v>
      </c>
      <c r="H1831" s="12" t="s">
        <v>1025</v>
      </c>
      <c r="I1831" s="12" t="s">
        <v>1026</v>
      </c>
    </row>
    <row r="1832" spans="1:9">
      <c r="A1832" s="14">
        <v>10666</v>
      </c>
      <c r="B1832" s="14" t="s">
        <v>297</v>
      </c>
      <c r="C1832" s="12" t="s">
        <v>116</v>
      </c>
      <c r="D1832" s="15" t="str">
        <f t="shared" si="28"/>
        <v>SpiceJet - PRA - PRD</v>
      </c>
      <c r="E1832" s="12" t="s">
        <v>126</v>
      </c>
      <c r="F1832" s="12" t="s">
        <v>127</v>
      </c>
      <c r="G1832" s="12" t="s">
        <v>128</v>
      </c>
      <c r="H1832" s="12" t="s">
        <v>1025</v>
      </c>
      <c r="I1832" s="12" t="s">
        <v>1026</v>
      </c>
    </row>
    <row r="1833" spans="1:9">
      <c r="A1833" s="14">
        <v>10947</v>
      </c>
      <c r="B1833" s="14" t="s">
        <v>485</v>
      </c>
      <c r="C1833" s="12" t="s">
        <v>116</v>
      </c>
      <c r="D1833" s="15" t="str">
        <f t="shared" si="28"/>
        <v>Spotify DES Cust Cost JC - PRD</v>
      </c>
      <c r="E1833" s="12" t="s">
        <v>117</v>
      </c>
      <c r="F1833" s="12" t="s">
        <v>117</v>
      </c>
      <c r="G1833" s="12" t="s">
        <v>117</v>
      </c>
      <c r="H1833" s="12" t="s">
        <v>1025</v>
      </c>
      <c r="I1833" s="12" t="s">
        <v>1026</v>
      </c>
    </row>
    <row r="1834" spans="1:9">
      <c r="A1834" s="14">
        <v>10735</v>
      </c>
      <c r="B1834" s="14" t="s">
        <v>346</v>
      </c>
      <c r="C1834" s="12" t="s">
        <v>133</v>
      </c>
      <c r="D1834" s="15" t="str">
        <f t="shared" si="28"/>
        <v>SPOTIFY HYD - AMG</v>
      </c>
      <c r="E1834" s="12" t="s">
        <v>126</v>
      </c>
      <c r="F1834" s="12" t="s">
        <v>127</v>
      </c>
      <c r="G1834" s="12" t="s">
        <v>128</v>
      </c>
      <c r="H1834" s="12" t="s">
        <v>1025</v>
      </c>
      <c r="I1834" s="12" t="s">
        <v>1026</v>
      </c>
    </row>
    <row r="1835" spans="1:9">
      <c r="A1835" s="14">
        <v>10735</v>
      </c>
      <c r="B1835" s="14" t="s">
        <v>346</v>
      </c>
      <c r="C1835" s="12" t="s">
        <v>150</v>
      </c>
      <c r="D1835" s="15" t="str">
        <f t="shared" si="28"/>
        <v>SPOTIFY HYD - CCS</v>
      </c>
      <c r="E1835" s="12" t="s">
        <v>126</v>
      </c>
      <c r="F1835" s="12" t="s">
        <v>127</v>
      </c>
      <c r="G1835" s="12" t="s">
        <v>128</v>
      </c>
      <c r="H1835" s="12" t="s">
        <v>1025</v>
      </c>
      <c r="I1835" s="12" t="s">
        <v>1026</v>
      </c>
    </row>
    <row r="1836" spans="1:9">
      <c r="A1836" s="14">
        <v>10735</v>
      </c>
      <c r="B1836" s="14" t="s">
        <v>346</v>
      </c>
      <c r="C1836" s="12" t="s">
        <v>161</v>
      </c>
      <c r="D1836" s="15" t="str">
        <f t="shared" si="28"/>
        <v>SPOTIFY HYD - ECC</v>
      </c>
      <c r="E1836" s="12" t="s">
        <v>126</v>
      </c>
      <c r="F1836" s="12" t="s">
        <v>127</v>
      </c>
      <c r="G1836" s="12" t="s">
        <v>128</v>
      </c>
      <c r="H1836" s="12" t="s">
        <v>1025</v>
      </c>
      <c r="I1836" s="12" t="s">
        <v>1026</v>
      </c>
    </row>
    <row r="1837" spans="1:9">
      <c r="A1837" s="14">
        <v>10735</v>
      </c>
      <c r="B1837" s="14" t="s">
        <v>346</v>
      </c>
      <c r="C1837" s="12" t="s">
        <v>129</v>
      </c>
      <c r="D1837" s="15" t="str">
        <f t="shared" si="28"/>
        <v>SPOTIFY HYD - MGT</v>
      </c>
      <c r="E1837" s="12" t="s">
        <v>126</v>
      </c>
      <c r="F1837" s="12" t="s">
        <v>127</v>
      </c>
      <c r="G1837" s="12" t="s">
        <v>128</v>
      </c>
      <c r="H1837" s="12" t="s">
        <v>1025</v>
      </c>
      <c r="I1837" s="12" t="s">
        <v>1026</v>
      </c>
    </row>
    <row r="1838" spans="1:9">
      <c r="A1838" s="14">
        <v>10735</v>
      </c>
      <c r="B1838" s="14" t="s">
        <v>346</v>
      </c>
      <c r="C1838" s="12" t="s">
        <v>116</v>
      </c>
      <c r="D1838" s="15" t="str">
        <f t="shared" si="28"/>
        <v>SPOTIFY HYD - PRD</v>
      </c>
      <c r="E1838" s="12" t="s">
        <v>126</v>
      </c>
      <c r="F1838" s="12" t="s">
        <v>127</v>
      </c>
      <c r="G1838" s="12" t="s">
        <v>128</v>
      </c>
      <c r="H1838" s="12" t="s">
        <v>1025</v>
      </c>
      <c r="I1838" s="12" t="s">
        <v>1026</v>
      </c>
    </row>
    <row r="1839" spans="1:9">
      <c r="A1839" s="14">
        <v>10735</v>
      </c>
      <c r="B1839" s="14" t="s">
        <v>346</v>
      </c>
      <c r="C1839" s="12" t="s">
        <v>111</v>
      </c>
      <c r="D1839" s="15" t="str">
        <f t="shared" si="28"/>
        <v>SPOTIFY HYD - QLY</v>
      </c>
      <c r="E1839" s="12" t="s">
        <v>112</v>
      </c>
      <c r="F1839" s="12" t="s">
        <v>113</v>
      </c>
      <c r="G1839" s="12" t="s">
        <v>114</v>
      </c>
      <c r="H1839" s="12" t="s">
        <v>1025</v>
      </c>
      <c r="I1839" s="12" t="s">
        <v>1026</v>
      </c>
    </row>
    <row r="1840" spans="1:9">
      <c r="A1840" s="14">
        <v>10735</v>
      </c>
      <c r="B1840" s="14" t="s">
        <v>346</v>
      </c>
      <c r="C1840" s="12" t="s">
        <v>119</v>
      </c>
      <c r="D1840" s="15" t="str">
        <f t="shared" si="28"/>
        <v>SPOTIFY HYD - SQM</v>
      </c>
      <c r="E1840" s="12" t="s">
        <v>112</v>
      </c>
      <c r="F1840" s="12" t="s">
        <v>113</v>
      </c>
      <c r="G1840" s="12" t="s">
        <v>114</v>
      </c>
      <c r="H1840" s="12" t="s">
        <v>1025</v>
      </c>
      <c r="I1840" s="12" t="s">
        <v>1026</v>
      </c>
    </row>
    <row r="1841" spans="1:9">
      <c r="A1841" s="14">
        <v>10735</v>
      </c>
      <c r="B1841" s="14" t="s">
        <v>346</v>
      </c>
      <c r="C1841" s="12" t="s">
        <v>145</v>
      </c>
      <c r="D1841" s="15" t="str">
        <f t="shared" si="28"/>
        <v>SPOTIFY HYD - SUP</v>
      </c>
      <c r="E1841" s="12" t="s">
        <v>126</v>
      </c>
      <c r="F1841" s="12" t="s">
        <v>127</v>
      </c>
      <c r="G1841" s="12" t="s">
        <v>128</v>
      </c>
      <c r="H1841" s="12" t="s">
        <v>1025</v>
      </c>
      <c r="I1841" s="12" t="s">
        <v>1026</v>
      </c>
    </row>
    <row r="1842" spans="1:9">
      <c r="A1842" s="14">
        <v>10735</v>
      </c>
      <c r="B1842" s="14" t="s">
        <v>346</v>
      </c>
      <c r="C1842" s="12" t="s">
        <v>180</v>
      </c>
      <c r="D1842" s="15" t="str">
        <f t="shared" si="28"/>
        <v>SPOTIFY HYD - TMG</v>
      </c>
      <c r="E1842" s="12" t="s">
        <v>126</v>
      </c>
      <c r="F1842" s="12" t="s">
        <v>127</v>
      </c>
      <c r="G1842" s="12" t="s">
        <v>128</v>
      </c>
      <c r="H1842" s="12" t="s">
        <v>1025</v>
      </c>
      <c r="I1842" s="12" t="s">
        <v>1026</v>
      </c>
    </row>
    <row r="1843" spans="1:9">
      <c r="A1843" s="14">
        <v>10735</v>
      </c>
      <c r="B1843" s="14" t="s">
        <v>346</v>
      </c>
      <c r="C1843" s="12" t="s">
        <v>185</v>
      </c>
      <c r="D1843" s="15" t="str">
        <f t="shared" si="28"/>
        <v>SPOTIFY HYD - TPS</v>
      </c>
      <c r="E1843" s="12" t="s">
        <v>126</v>
      </c>
      <c r="F1843" s="12" t="s">
        <v>127</v>
      </c>
      <c r="G1843" s="12" t="s">
        <v>128</v>
      </c>
      <c r="H1843" s="12" t="s">
        <v>1025</v>
      </c>
      <c r="I1843" s="12" t="s">
        <v>1026</v>
      </c>
    </row>
    <row r="1844" spans="1:9">
      <c r="A1844" s="14">
        <v>10735</v>
      </c>
      <c r="B1844" s="14" t="s">
        <v>346</v>
      </c>
      <c r="C1844" s="12" t="s">
        <v>203</v>
      </c>
      <c r="D1844" s="15" t="str">
        <f t="shared" si="28"/>
        <v>SPOTIFY HYD - TRG</v>
      </c>
      <c r="E1844" s="12" t="s">
        <v>112</v>
      </c>
      <c r="F1844" s="12" t="s">
        <v>204</v>
      </c>
      <c r="G1844" s="12" t="s">
        <v>205</v>
      </c>
      <c r="H1844" s="12" t="s">
        <v>1025</v>
      </c>
      <c r="I1844" s="12" t="s">
        <v>1026</v>
      </c>
    </row>
    <row r="1845" spans="1:9">
      <c r="A1845" s="14">
        <v>10735</v>
      </c>
      <c r="B1845" s="14" t="s">
        <v>346</v>
      </c>
      <c r="C1845" s="12" t="s">
        <v>208</v>
      </c>
      <c r="D1845" s="15" t="str">
        <f t="shared" si="28"/>
        <v>SPOTIFY HYD - TTR</v>
      </c>
      <c r="E1845" s="12" t="s">
        <v>112</v>
      </c>
      <c r="F1845" s="12" t="s">
        <v>204</v>
      </c>
      <c r="G1845" s="12" t="s">
        <v>205</v>
      </c>
      <c r="H1845" s="12" t="s">
        <v>1025</v>
      </c>
      <c r="I1845" s="12" t="s">
        <v>1026</v>
      </c>
    </row>
    <row r="1846" spans="1:9">
      <c r="A1846" s="14">
        <v>25308</v>
      </c>
      <c r="B1846" s="14" t="s">
        <v>648</v>
      </c>
      <c r="C1846" s="12" t="s">
        <v>230</v>
      </c>
      <c r="D1846" s="15" t="str">
        <f t="shared" si="28"/>
        <v>Spotify PHL Eng Email Support - PRSP</v>
      </c>
      <c r="E1846" s="12" t="s">
        <v>112</v>
      </c>
      <c r="F1846" s="12" t="s">
        <v>1006</v>
      </c>
      <c r="G1846" s="12" t="s">
        <v>114</v>
      </c>
      <c r="H1846" s="12" t="s">
        <v>1025</v>
      </c>
      <c r="I1846" s="12" t="s">
        <v>1026</v>
      </c>
    </row>
    <row r="1847" spans="1:9">
      <c r="A1847" s="14">
        <v>86223</v>
      </c>
      <c r="B1847" s="14" t="s">
        <v>891</v>
      </c>
      <c r="C1847" s="12" t="s">
        <v>129</v>
      </c>
      <c r="D1847" s="15" t="str">
        <f t="shared" si="28"/>
        <v>SQMS - PH Quality - MGT</v>
      </c>
      <c r="E1847" s="12" t="s">
        <v>112</v>
      </c>
      <c r="F1847" s="12" t="s">
        <v>113</v>
      </c>
      <c r="G1847" s="12" t="s">
        <v>114</v>
      </c>
      <c r="H1847" s="12" t="s">
        <v>1025</v>
      </c>
      <c r="I1847" s="12" t="s">
        <v>1026</v>
      </c>
    </row>
    <row r="1848" spans="1:9">
      <c r="A1848" s="14">
        <v>86223</v>
      </c>
      <c r="B1848" s="14" t="s">
        <v>891</v>
      </c>
      <c r="C1848" s="12" t="s">
        <v>111</v>
      </c>
      <c r="D1848" s="15" t="str">
        <f t="shared" si="28"/>
        <v>SQMS - PH Quality - QLY</v>
      </c>
      <c r="E1848" s="12" t="s">
        <v>112</v>
      </c>
      <c r="F1848" s="12" t="s">
        <v>113</v>
      </c>
      <c r="G1848" s="12" t="s">
        <v>114</v>
      </c>
      <c r="H1848" s="12" t="s">
        <v>1025</v>
      </c>
      <c r="I1848" s="12" t="s">
        <v>1026</v>
      </c>
    </row>
    <row r="1849" spans="1:9">
      <c r="A1849" s="14">
        <v>86223</v>
      </c>
      <c r="B1849" s="14" t="s">
        <v>891</v>
      </c>
      <c r="C1849" s="12" t="s">
        <v>145</v>
      </c>
      <c r="D1849" s="15" t="str">
        <f t="shared" si="28"/>
        <v>SQMS - PH Quality - SUP</v>
      </c>
      <c r="E1849" s="12" t="s">
        <v>112</v>
      </c>
      <c r="F1849" s="12" t="s">
        <v>113</v>
      </c>
      <c r="G1849" s="12" t="s">
        <v>114</v>
      </c>
      <c r="H1849" s="12" t="s">
        <v>1025</v>
      </c>
      <c r="I1849" s="12" t="s">
        <v>1026</v>
      </c>
    </row>
    <row r="1850" spans="1:9">
      <c r="A1850" s="14">
        <v>86224</v>
      </c>
      <c r="B1850" s="14" t="s">
        <v>892</v>
      </c>
      <c r="C1850" s="12" t="s">
        <v>129</v>
      </c>
      <c r="D1850" s="15" t="str">
        <f t="shared" si="28"/>
        <v>SQMS - PP Quality - MGT</v>
      </c>
      <c r="E1850" s="12" t="s">
        <v>112</v>
      </c>
      <c r="F1850" s="12" t="s">
        <v>113</v>
      </c>
      <c r="G1850" s="12" t="s">
        <v>114</v>
      </c>
      <c r="H1850" s="12" t="s">
        <v>1025</v>
      </c>
      <c r="I1850" s="12" t="s">
        <v>1026</v>
      </c>
    </row>
    <row r="1851" spans="1:9">
      <c r="A1851" s="14">
        <v>86224</v>
      </c>
      <c r="B1851" s="14" t="s">
        <v>892</v>
      </c>
      <c r="C1851" s="12" t="s">
        <v>111</v>
      </c>
      <c r="D1851" s="15" t="str">
        <f t="shared" si="28"/>
        <v>SQMS - PP Quality - QLY</v>
      </c>
      <c r="E1851" s="12" t="s">
        <v>112</v>
      </c>
      <c r="F1851" s="12" t="s">
        <v>113</v>
      </c>
      <c r="G1851" s="12" t="s">
        <v>114</v>
      </c>
      <c r="H1851" s="12" t="s">
        <v>1025</v>
      </c>
      <c r="I1851" s="12" t="s">
        <v>1026</v>
      </c>
    </row>
    <row r="1852" spans="1:9">
      <c r="A1852" s="14">
        <v>86224</v>
      </c>
      <c r="B1852" s="14" t="s">
        <v>892</v>
      </c>
      <c r="C1852" s="12" t="s">
        <v>119</v>
      </c>
      <c r="D1852" s="15" t="str">
        <f t="shared" si="28"/>
        <v>SQMS - PP Quality - SQM</v>
      </c>
      <c r="E1852" s="12" t="s">
        <v>112</v>
      </c>
      <c r="F1852" s="12" t="s">
        <v>113</v>
      </c>
      <c r="G1852" s="12" t="s">
        <v>114</v>
      </c>
      <c r="H1852" s="12" t="s">
        <v>1025</v>
      </c>
      <c r="I1852" s="12" t="s">
        <v>1026</v>
      </c>
    </row>
    <row r="1853" spans="1:9">
      <c r="A1853" s="14">
        <v>86224</v>
      </c>
      <c r="B1853" s="14" t="s">
        <v>892</v>
      </c>
      <c r="C1853" s="12" t="s">
        <v>145</v>
      </c>
      <c r="D1853" s="15" t="str">
        <f t="shared" si="28"/>
        <v>SQMS - PP Quality - SUP</v>
      </c>
      <c r="E1853" s="12" t="s">
        <v>112</v>
      </c>
      <c r="F1853" s="12" t="s">
        <v>113</v>
      </c>
      <c r="G1853" s="12" t="s">
        <v>114</v>
      </c>
      <c r="H1853" s="12" t="s">
        <v>1025</v>
      </c>
      <c r="I1853" s="12" t="s">
        <v>1026</v>
      </c>
    </row>
    <row r="1854" spans="1:9">
      <c r="A1854" s="14">
        <v>86225</v>
      </c>
      <c r="B1854" s="14" t="s">
        <v>894</v>
      </c>
      <c r="C1854" s="12" t="s">
        <v>129</v>
      </c>
      <c r="D1854" s="15" t="str">
        <f t="shared" si="28"/>
        <v>SQMS - PY Quality BLM - MGT</v>
      </c>
      <c r="E1854" s="12" t="s">
        <v>104</v>
      </c>
      <c r="F1854" s="12" t="s">
        <v>113</v>
      </c>
      <c r="G1854" s="12" t="s">
        <v>114</v>
      </c>
      <c r="H1854" s="12" t="s">
        <v>1025</v>
      </c>
      <c r="I1854" s="12" t="s">
        <v>1026</v>
      </c>
    </row>
    <row r="1855" spans="1:9">
      <c r="A1855" s="14">
        <v>86225</v>
      </c>
      <c r="B1855" s="14" t="s">
        <v>894</v>
      </c>
      <c r="C1855" s="12" t="s">
        <v>116</v>
      </c>
      <c r="D1855" s="15" t="str">
        <f t="shared" si="28"/>
        <v>SQMS - PY Quality BLM - PRD</v>
      </c>
      <c r="E1855" s="12" t="s">
        <v>104</v>
      </c>
      <c r="F1855" s="12" t="s">
        <v>113</v>
      </c>
      <c r="G1855" s="12" t="s">
        <v>114</v>
      </c>
      <c r="H1855" s="12" t="s">
        <v>1025</v>
      </c>
      <c r="I1855" s="12" t="s">
        <v>1026</v>
      </c>
    </row>
    <row r="1856" spans="1:9">
      <c r="A1856" s="14">
        <v>86225</v>
      </c>
      <c r="B1856" s="14" t="s">
        <v>894</v>
      </c>
      <c r="C1856" s="12" t="s">
        <v>111</v>
      </c>
      <c r="D1856" s="15" t="str">
        <f t="shared" si="28"/>
        <v>SQMS - PY Quality BLM - QLY</v>
      </c>
      <c r="E1856" s="12" t="s">
        <v>104</v>
      </c>
      <c r="F1856" s="12" t="s">
        <v>113</v>
      </c>
      <c r="G1856" s="12" t="s">
        <v>114</v>
      </c>
      <c r="H1856" s="12" t="s">
        <v>1025</v>
      </c>
      <c r="I1856" s="12" t="s">
        <v>1026</v>
      </c>
    </row>
    <row r="1857" spans="1:9">
      <c r="A1857" s="14">
        <v>86225</v>
      </c>
      <c r="B1857" s="14" t="s">
        <v>894</v>
      </c>
      <c r="C1857" s="12" t="s">
        <v>145</v>
      </c>
      <c r="D1857" s="15" t="str">
        <f t="shared" si="28"/>
        <v>SQMS - PY Quality BLM - SUP</v>
      </c>
      <c r="E1857" s="12" t="s">
        <v>104</v>
      </c>
      <c r="F1857" s="12" t="s">
        <v>113</v>
      </c>
      <c r="G1857" s="12" t="s">
        <v>114</v>
      </c>
      <c r="H1857" s="12" t="s">
        <v>1025</v>
      </c>
      <c r="I1857" s="12" t="s">
        <v>1026</v>
      </c>
    </row>
    <row r="1858" spans="1:9">
      <c r="A1858" s="14">
        <v>86225</v>
      </c>
      <c r="B1858" s="14" t="s">
        <v>894</v>
      </c>
      <c r="C1858" s="12" t="s">
        <v>180</v>
      </c>
      <c r="D1858" s="15" t="str">
        <f t="shared" ref="D1858:D1921" si="29">B1858&amp;" - "&amp;C1858</f>
        <v>SQMS - PY Quality BLM - TMG</v>
      </c>
      <c r="E1858" s="12" t="s">
        <v>104</v>
      </c>
      <c r="F1858" s="12" t="s">
        <v>113</v>
      </c>
      <c r="G1858" s="12" t="s">
        <v>114</v>
      </c>
      <c r="H1858" s="12" t="s">
        <v>1025</v>
      </c>
      <c r="I1858" s="12" t="s">
        <v>1026</v>
      </c>
    </row>
    <row r="1859" spans="1:9">
      <c r="A1859" s="14">
        <v>86225</v>
      </c>
      <c r="B1859" s="14" t="s">
        <v>894</v>
      </c>
      <c r="C1859" s="12" t="s">
        <v>185</v>
      </c>
      <c r="D1859" s="15" t="str">
        <f t="shared" si="29"/>
        <v>SQMS - PY Quality BLM - TPS</v>
      </c>
      <c r="E1859" s="12" t="s">
        <v>104</v>
      </c>
      <c r="F1859" s="12" t="s">
        <v>113</v>
      </c>
      <c r="G1859" s="12" t="s">
        <v>114</v>
      </c>
      <c r="H1859" s="12" t="s">
        <v>1025</v>
      </c>
      <c r="I1859" s="12" t="s">
        <v>1026</v>
      </c>
    </row>
    <row r="1860" spans="1:9">
      <c r="A1860" s="14">
        <v>86226</v>
      </c>
      <c r="B1860" s="14" t="s">
        <v>895</v>
      </c>
      <c r="C1860" s="12" t="s">
        <v>129</v>
      </c>
      <c r="D1860" s="15" t="str">
        <f t="shared" si="29"/>
        <v>SQMS - PY Quality CLM - MGT</v>
      </c>
      <c r="E1860" s="12" t="s">
        <v>112</v>
      </c>
      <c r="F1860" s="12" t="s">
        <v>113</v>
      </c>
      <c r="G1860" s="12" t="s">
        <v>114</v>
      </c>
      <c r="H1860" s="12" t="s">
        <v>1025</v>
      </c>
      <c r="I1860" s="12" t="s">
        <v>1026</v>
      </c>
    </row>
    <row r="1861" spans="1:9">
      <c r="A1861" s="14">
        <v>86226</v>
      </c>
      <c r="B1861" s="14" t="s">
        <v>895</v>
      </c>
      <c r="C1861" s="12" t="s">
        <v>116</v>
      </c>
      <c r="D1861" s="15" t="str">
        <f t="shared" si="29"/>
        <v>SQMS - PY Quality CLM - PRD</v>
      </c>
      <c r="E1861" s="12" t="s">
        <v>112</v>
      </c>
      <c r="F1861" s="12" t="s">
        <v>113</v>
      </c>
      <c r="G1861" s="12" t="s">
        <v>114</v>
      </c>
      <c r="H1861" s="12" t="s">
        <v>1025</v>
      </c>
      <c r="I1861" s="12" t="s">
        <v>1026</v>
      </c>
    </row>
    <row r="1862" spans="1:9">
      <c r="A1862" s="14">
        <v>86226</v>
      </c>
      <c r="B1862" s="14" t="s">
        <v>895</v>
      </c>
      <c r="C1862" s="12" t="s">
        <v>111</v>
      </c>
      <c r="D1862" s="15" t="str">
        <f t="shared" si="29"/>
        <v>SQMS - PY Quality CLM - QLY</v>
      </c>
      <c r="E1862" s="12" t="s">
        <v>112</v>
      </c>
      <c r="F1862" s="12" t="s">
        <v>113</v>
      </c>
      <c r="G1862" s="12" t="s">
        <v>114</v>
      </c>
      <c r="H1862" s="12" t="s">
        <v>1025</v>
      </c>
      <c r="I1862" s="12" t="s">
        <v>1026</v>
      </c>
    </row>
    <row r="1863" spans="1:9">
      <c r="A1863" s="14">
        <v>86226</v>
      </c>
      <c r="B1863" s="14" t="s">
        <v>895</v>
      </c>
      <c r="C1863" s="12" t="s">
        <v>145</v>
      </c>
      <c r="D1863" s="15" t="str">
        <f t="shared" si="29"/>
        <v>SQMS - PY Quality CLM - SUP</v>
      </c>
      <c r="E1863" s="12" t="s">
        <v>112</v>
      </c>
      <c r="F1863" s="12" t="s">
        <v>113</v>
      </c>
      <c r="G1863" s="12" t="s">
        <v>114</v>
      </c>
      <c r="H1863" s="12" t="s">
        <v>1025</v>
      </c>
      <c r="I1863" s="12" t="s">
        <v>1026</v>
      </c>
    </row>
    <row r="1864" spans="1:9">
      <c r="A1864" s="14">
        <v>86226</v>
      </c>
      <c r="B1864" s="14" t="s">
        <v>895</v>
      </c>
      <c r="C1864" s="12" t="s">
        <v>185</v>
      </c>
      <c r="D1864" s="15" t="str">
        <f t="shared" si="29"/>
        <v>SQMS - PY Quality CLM - TPS</v>
      </c>
      <c r="E1864" s="12" t="s">
        <v>112</v>
      </c>
      <c r="F1864" s="12" t="s">
        <v>113</v>
      </c>
      <c r="G1864" s="12" t="s">
        <v>114</v>
      </c>
      <c r="H1864" s="12" t="s">
        <v>1025</v>
      </c>
      <c r="I1864" s="12" t="s">
        <v>1026</v>
      </c>
    </row>
    <row r="1865" spans="1:9">
      <c r="A1865" s="14">
        <v>86228</v>
      </c>
      <c r="B1865" s="14" t="s">
        <v>897</v>
      </c>
      <c r="C1865" s="12" t="s">
        <v>129</v>
      </c>
      <c r="D1865" s="15" t="str">
        <f t="shared" si="29"/>
        <v>SQMS – Quality (SHS) - MGT</v>
      </c>
      <c r="E1865" s="12" t="s">
        <v>112</v>
      </c>
      <c r="F1865" s="12" t="s">
        <v>113</v>
      </c>
      <c r="G1865" s="12" t="s">
        <v>114</v>
      </c>
      <c r="H1865" s="12" t="s">
        <v>1025</v>
      </c>
      <c r="I1865" s="12" t="s">
        <v>1026</v>
      </c>
    </row>
    <row r="1866" spans="1:9">
      <c r="A1866" s="14">
        <v>86228</v>
      </c>
      <c r="B1866" s="14" t="s">
        <v>897</v>
      </c>
      <c r="C1866" s="12" t="s">
        <v>111</v>
      </c>
      <c r="D1866" s="15" t="str">
        <f t="shared" si="29"/>
        <v>SQMS – Quality (SHS) - QLY</v>
      </c>
      <c r="E1866" s="12" t="s">
        <v>112</v>
      </c>
      <c r="F1866" s="12" t="s">
        <v>113</v>
      </c>
      <c r="G1866" s="12" t="s">
        <v>114</v>
      </c>
      <c r="H1866" s="12" t="s">
        <v>1025</v>
      </c>
      <c r="I1866" s="12" t="s">
        <v>1026</v>
      </c>
    </row>
    <row r="1867" spans="1:9">
      <c r="A1867" s="14">
        <v>86228</v>
      </c>
      <c r="B1867" s="14" t="s">
        <v>897</v>
      </c>
      <c r="C1867" s="12" t="s">
        <v>145</v>
      </c>
      <c r="D1867" s="15" t="str">
        <f t="shared" si="29"/>
        <v>SQMS – Quality (SHS) - SUP</v>
      </c>
      <c r="E1867" s="12" t="s">
        <v>112</v>
      </c>
      <c r="F1867" s="12" t="s">
        <v>113</v>
      </c>
      <c r="G1867" s="12" t="s">
        <v>114</v>
      </c>
      <c r="H1867" s="12" t="s">
        <v>1025</v>
      </c>
      <c r="I1867" s="12" t="s">
        <v>1026</v>
      </c>
    </row>
    <row r="1868" spans="1:9">
      <c r="A1868" s="14">
        <v>82003</v>
      </c>
      <c r="B1868" s="14" t="s">
        <v>859</v>
      </c>
      <c r="C1868" s="12" t="s">
        <v>145</v>
      </c>
      <c r="D1868" s="15" t="str">
        <f t="shared" si="29"/>
        <v>LEVELUP - SUP</v>
      </c>
      <c r="E1868" s="12" t="s">
        <v>104</v>
      </c>
      <c r="F1868" s="12" t="s">
        <v>263</v>
      </c>
      <c r="G1868" s="12" t="s">
        <v>264</v>
      </c>
      <c r="H1868" s="12" t="s">
        <v>1025</v>
      </c>
      <c r="I1868" s="12" t="s">
        <v>1026</v>
      </c>
    </row>
    <row r="1869" spans="1:9">
      <c r="A1869" s="14">
        <v>12637</v>
      </c>
      <c r="B1869" s="14" t="s">
        <v>610</v>
      </c>
      <c r="C1869" s="12" t="s">
        <v>116</v>
      </c>
      <c r="D1869" s="15" t="str">
        <f t="shared" si="29"/>
        <v>Steris - Quick Quote App - PRD</v>
      </c>
      <c r="E1869" s="12" t="s">
        <v>117</v>
      </c>
      <c r="F1869" s="12" t="s">
        <v>117</v>
      </c>
      <c r="G1869" s="12" t="s">
        <v>117</v>
      </c>
      <c r="H1869" s="12" t="s">
        <v>1025</v>
      </c>
      <c r="I1869" s="12" t="s">
        <v>1026</v>
      </c>
    </row>
    <row r="1870" spans="1:9">
      <c r="A1870" s="14">
        <v>12569</v>
      </c>
      <c r="B1870" s="14" t="s">
        <v>589</v>
      </c>
      <c r="C1870" s="12" t="s">
        <v>145</v>
      </c>
      <c r="D1870" s="15" t="str">
        <f t="shared" si="29"/>
        <v>Steris IMS Development Project - SUP</v>
      </c>
      <c r="E1870" s="12" t="s">
        <v>117</v>
      </c>
      <c r="F1870" s="12" t="s">
        <v>117</v>
      </c>
      <c r="G1870" s="12" t="s">
        <v>117</v>
      </c>
      <c r="H1870" s="12" t="s">
        <v>1025</v>
      </c>
      <c r="I1870" s="12" t="s">
        <v>1026</v>
      </c>
    </row>
    <row r="1871" spans="1:9">
      <c r="A1871" s="14">
        <v>12596</v>
      </c>
      <c r="B1871" s="14" t="s">
        <v>595</v>
      </c>
      <c r="C1871" s="12" t="s">
        <v>116</v>
      </c>
      <c r="D1871" s="15" t="str">
        <f t="shared" si="29"/>
        <v>Steris SIC Development - PRD</v>
      </c>
      <c r="E1871" s="12" t="s">
        <v>117</v>
      </c>
      <c r="F1871" s="12" t="s">
        <v>117</v>
      </c>
      <c r="G1871" s="12" t="s">
        <v>117</v>
      </c>
      <c r="H1871" s="12" t="s">
        <v>1025</v>
      </c>
      <c r="I1871" s="12" t="s">
        <v>1026</v>
      </c>
    </row>
    <row r="1872" spans="1:9">
      <c r="A1872" s="14">
        <v>12573</v>
      </c>
      <c r="B1872" s="14" t="s">
        <v>590</v>
      </c>
      <c r="C1872" s="12" t="s">
        <v>116</v>
      </c>
      <c r="D1872" s="15" t="str">
        <f t="shared" si="29"/>
        <v>Steris Summit Development - PRD</v>
      </c>
      <c r="E1872" s="12" t="s">
        <v>117</v>
      </c>
      <c r="F1872" s="12" t="s">
        <v>117</v>
      </c>
      <c r="G1872" s="12" t="s">
        <v>117</v>
      </c>
      <c r="H1872" s="12" t="s">
        <v>1025</v>
      </c>
      <c r="I1872" s="12" t="s">
        <v>1026</v>
      </c>
    </row>
    <row r="1873" spans="1:9">
      <c r="A1873" s="14">
        <v>51512</v>
      </c>
      <c r="B1873" s="14" t="s">
        <v>827</v>
      </c>
      <c r="C1873" s="12" t="s">
        <v>116</v>
      </c>
      <c r="D1873" s="15" t="str">
        <f t="shared" si="29"/>
        <v>STI-Darling-2308-2512-OracleCl - PRD</v>
      </c>
      <c r="E1873" s="12" t="s">
        <v>117</v>
      </c>
      <c r="F1873" s="12" t="s">
        <v>117</v>
      </c>
      <c r="G1873" s="12" t="s">
        <v>117</v>
      </c>
      <c r="H1873" s="12" t="s">
        <v>1025</v>
      </c>
      <c r="I1873" s="12" t="s">
        <v>1026</v>
      </c>
    </row>
    <row r="1874" spans="1:9">
      <c r="A1874" s="14">
        <v>51506</v>
      </c>
      <c r="B1874" s="14" t="s">
        <v>823</v>
      </c>
      <c r="C1874" s="12" t="s">
        <v>116</v>
      </c>
      <c r="D1874" s="15" t="str">
        <f t="shared" si="29"/>
        <v>STI-Enviri-Harsco-2307-2308-EB - PRD</v>
      </c>
      <c r="E1874" s="12" t="s">
        <v>117</v>
      </c>
      <c r="F1874" s="12" t="s">
        <v>117</v>
      </c>
      <c r="G1874" s="12" t="s">
        <v>117</v>
      </c>
      <c r="H1874" s="12" t="s">
        <v>1025</v>
      </c>
      <c r="I1874" s="12" t="s">
        <v>1026</v>
      </c>
    </row>
    <row r="1875" spans="1:9">
      <c r="A1875" s="14">
        <v>51509</v>
      </c>
      <c r="B1875" s="14" t="s">
        <v>824</v>
      </c>
      <c r="C1875" s="12" t="s">
        <v>116</v>
      </c>
      <c r="D1875" s="15" t="str">
        <f t="shared" si="29"/>
        <v>STI-K12-2307-2406-WordPressDev - PRD</v>
      </c>
      <c r="E1875" s="12" t="s">
        <v>117</v>
      </c>
      <c r="F1875" s="12" t="s">
        <v>117</v>
      </c>
      <c r="G1875" s="12" t="s">
        <v>117</v>
      </c>
      <c r="H1875" s="12" t="s">
        <v>1025</v>
      </c>
      <c r="I1875" s="12" t="s">
        <v>1026</v>
      </c>
    </row>
    <row r="1876" spans="1:9">
      <c r="A1876" s="14">
        <v>51520</v>
      </c>
      <c r="B1876" s="14" t="s">
        <v>833</v>
      </c>
      <c r="C1876" s="12" t="s">
        <v>116</v>
      </c>
      <c r="D1876" s="15" t="str">
        <f t="shared" si="29"/>
        <v>STI-NRUCFC-Blanket-DAM - PRD</v>
      </c>
      <c r="E1876" s="12" t="s">
        <v>117</v>
      </c>
      <c r="F1876" s="12" t="s">
        <v>117</v>
      </c>
      <c r="G1876" s="12" t="s">
        <v>117</v>
      </c>
      <c r="H1876" s="12" t="s">
        <v>1025</v>
      </c>
      <c r="I1876" s="12" t="s">
        <v>1026</v>
      </c>
    </row>
    <row r="1877" spans="1:9">
      <c r="A1877" s="14">
        <v>51519</v>
      </c>
      <c r="B1877" s="14" t="s">
        <v>832</v>
      </c>
      <c r="C1877" s="12" t="s">
        <v>116</v>
      </c>
      <c r="D1877" s="15" t="str">
        <f t="shared" si="29"/>
        <v>STI-NRUCFC-Blanket-DIA - PRD</v>
      </c>
      <c r="E1877" s="12" t="s">
        <v>117</v>
      </c>
      <c r="F1877" s="12" t="s">
        <v>117</v>
      </c>
      <c r="G1877" s="12" t="s">
        <v>117</v>
      </c>
      <c r="H1877" s="12" t="s">
        <v>1025</v>
      </c>
      <c r="I1877" s="12" t="s">
        <v>1026</v>
      </c>
    </row>
    <row r="1878" spans="1:9">
      <c r="A1878" s="14">
        <v>51517</v>
      </c>
      <c r="B1878" s="14" t="s">
        <v>831</v>
      </c>
      <c r="C1878" s="12" t="s">
        <v>116</v>
      </c>
      <c r="D1878" s="15" t="str">
        <f t="shared" si="29"/>
        <v>STI-TFW-2310-2403-RevenueSOXIT - PRD</v>
      </c>
      <c r="E1878" s="12" t="s">
        <v>117</v>
      </c>
      <c r="F1878" s="12" t="s">
        <v>117</v>
      </c>
      <c r="G1878" s="12" t="s">
        <v>117</v>
      </c>
      <c r="H1878" s="12" t="s">
        <v>1025</v>
      </c>
      <c r="I1878" s="12" t="s">
        <v>1026</v>
      </c>
    </row>
    <row r="1879" spans="1:9">
      <c r="A1879" s="14">
        <v>51526</v>
      </c>
      <c r="B1879" s="14" t="s">
        <v>836</v>
      </c>
      <c r="C1879" s="12" t="s">
        <v>116</v>
      </c>
      <c r="D1879" s="15" t="str">
        <f t="shared" si="29"/>
        <v>STI-TFW-2311-2402-BAUBacklog - PRD</v>
      </c>
      <c r="E1879" s="12" t="s">
        <v>117</v>
      </c>
      <c r="F1879" s="12" t="s">
        <v>117</v>
      </c>
      <c r="G1879" s="12" t="s">
        <v>117</v>
      </c>
      <c r="H1879" s="12" t="s">
        <v>1025</v>
      </c>
      <c r="I1879" s="12" t="s">
        <v>1026</v>
      </c>
    </row>
    <row r="1880" spans="1:9">
      <c r="A1880" s="14">
        <v>51241</v>
      </c>
      <c r="B1880" s="14" t="s">
        <v>742</v>
      </c>
      <c r="C1880" s="12" t="s">
        <v>116</v>
      </c>
      <c r="D1880" s="15" t="str">
        <f t="shared" si="29"/>
        <v>STRIPE-2212-2512-QEC-Oracle-Cl - PRD</v>
      </c>
      <c r="E1880" s="12" t="s">
        <v>117</v>
      </c>
      <c r="F1880" s="12" t="s">
        <v>117</v>
      </c>
      <c r="G1880" s="12" t="s">
        <v>117</v>
      </c>
      <c r="H1880" s="12" t="s">
        <v>1025</v>
      </c>
      <c r="I1880" s="12" t="s">
        <v>1026</v>
      </c>
    </row>
    <row r="1881" spans="1:9">
      <c r="A1881" s="14">
        <v>10923</v>
      </c>
      <c r="B1881" s="14" t="s">
        <v>469</v>
      </c>
      <c r="C1881" s="12" t="s">
        <v>116</v>
      </c>
      <c r="D1881" s="15" t="str">
        <f t="shared" si="29"/>
        <v>SUFS WFM Forecasting Services - PRD</v>
      </c>
      <c r="E1881" s="12" t="s">
        <v>112</v>
      </c>
      <c r="F1881" s="12" t="s">
        <v>867</v>
      </c>
      <c r="G1881" s="12" t="s">
        <v>114</v>
      </c>
      <c r="H1881" s="12" t="s">
        <v>1025</v>
      </c>
      <c r="I1881" s="12" t="s">
        <v>1026</v>
      </c>
    </row>
    <row r="1882" spans="1:9">
      <c r="A1882" s="14">
        <v>10904</v>
      </c>
      <c r="B1882" s="14" t="s">
        <v>448</v>
      </c>
      <c r="C1882" s="12" t="s">
        <v>185</v>
      </c>
      <c r="D1882" s="15" t="str">
        <f t="shared" si="29"/>
        <v>SUFS-Zendesk and Help Tree - TPS</v>
      </c>
      <c r="E1882" s="12" t="s">
        <v>117</v>
      </c>
      <c r="F1882" s="12" t="s">
        <v>117</v>
      </c>
      <c r="G1882" s="12" t="s">
        <v>117</v>
      </c>
      <c r="H1882" s="12" t="s">
        <v>1025</v>
      </c>
      <c r="I1882" s="12" t="s">
        <v>1026</v>
      </c>
    </row>
    <row r="1883" spans="1:9">
      <c r="A1883" s="14">
        <v>10505</v>
      </c>
      <c r="B1883" s="14" t="s">
        <v>254</v>
      </c>
      <c r="C1883" s="12" t="s">
        <v>306</v>
      </c>
      <c r="D1883" s="15" t="str">
        <f t="shared" si="29"/>
        <v>Supplier Enablement Services - FAO</v>
      </c>
      <c r="E1883" s="12" t="s">
        <v>126</v>
      </c>
      <c r="F1883" s="12" t="s">
        <v>565</v>
      </c>
      <c r="G1883" s="12" t="s">
        <v>114</v>
      </c>
      <c r="H1883" s="12" t="s">
        <v>1025</v>
      </c>
      <c r="I1883" s="12" t="s">
        <v>1026</v>
      </c>
    </row>
    <row r="1884" spans="1:9">
      <c r="A1884" s="14">
        <v>10505</v>
      </c>
      <c r="B1884" s="14" t="s">
        <v>254</v>
      </c>
      <c r="C1884" s="12" t="s">
        <v>116</v>
      </c>
      <c r="D1884" s="15" t="str">
        <f t="shared" si="29"/>
        <v>Supplier Enablement Services - PRD</v>
      </c>
      <c r="E1884" s="12" t="s">
        <v>126</v>
      </c>
      <c r="F1884" s="12" t="s">
        <v>565</v>
      </c>
      <c r="G1884" s="12" t="s">
        <v>114</v>
      </c>
      <c r="H1884" s="12" t="s">
        <v>1025</v>
      </c>
      <c r="I1884" s="12" t="s">
        <v>1026</v>
      </c>
    </row>
    <row r="1885" spans="1:9">
      <c r="A1885" s="14">
        <v>91738</v>
      </c>
      <c r="B1885" s="14" t="s">
        <v>948</v>
      </c>
      <c r="C1885" s="12" t="s">
        <v>193</v>
      </c>
      <c r="D1885" s="15" t="str">
        <f t="shared" si="29"/>
        <v>Sutherland Cloud Services - DEV</v>
      </c>
      <c r="E1885" s="12" t="s">
        <v>117</v>
      </c>
      <c r="F1885" s="12" t="s">
        <v>117</v>
      </c>
      <c r="G1885" s="12" t="s">
        <v>117</v>
      </c>
      <c r="H1885" s="12" t="s">
        <v>1025</v>
      </c>
      <c r="I1885" s="12" t="s">
        <v>1026</v>
      </c>
    </row>
    <row r="1886" spans="1:9">
      <c r="A1886" s="14">
        <v>82101</v>
      </c>
      <c r="B1886" s="14" t="s">
        <v>873</v>
      </c>
      <c r="C1886" s="12" t="s">
        <v>145</v>
      </c>
      <c r="D1886" s="15" t="str">
        <f t="shared" si="29"/>
        <v>Sutherland Connect - SUP</v>
      </c>
      <c r="E1886" s="12" t="s">
        <v>104</v>
      </c>
      <c r="F1886" s="12" t="s">
        <v>263</v>
      </c>
      <c r="G1886" s="12" t="s">
        <v>264</v>
      </c>
      <c r="H1886" s="12" t="s">
        <v>1025</v>
      </c>
      <c r="I1886" s="12" t="s">
        <v>1026</v>
      </c>
    </row>
    <row r="1887" spans="1:9">
      <c r="A1887" s="14">
        <v>82004</v>
      </c>
      <c r="B1887" s="14" t="s">
        <v>860</v>
      </c>
      <c r="C1887" s="12" t="s">
        <v>139</v>
      </c>
      <c r="D1887" s="15" t="str">
        <f t="shared" si="29"/>
        <v>Sutherland Extract - SMGT</v>
      </c>
      <c r="E1887" s="12" t="s">
        <v>104</v>
      </c>
      <c r="F1887" s="12" t="s">
        <v>117</v>
      </c>
      <c r="G1887" s="12" t="s">
        <v>117</v>
      </c>
      <c r="H1887" s="12" t="s">
        <v>1025</v>
      </c>
      <c r="I1887" s="12" t="s">
        <v>1026</v>
      </c>
    </row>
    <row r="1888" spans="1:9">
      <c r="A1888" s="14">
        <v>82004</v>
      </c>
      <c r="B1888" s="14" t="s">
        <v>860</v>
      </c>
      <c r="C1888" s="12" t="s">
        <v>145</v>
      </c>
      <c r="D1888" s="15" t="str">
        <f t="shared" si="29"/>
        <v>Sutherland Extract - SUP</v>
      </c>
      <c r="E1888" s="12" t="s">
        <v>104</v>
      </c>
      <c r="F1888" s="12" t="s">
        <v>117</v>
      </c>
      <c r="G1888" s="12" t="s">
        <v>117</v>
      </c>
      <c r="H1888" s="12" t="s">
        <v>1025</v>
      </c>
      <c r="I1888" s="12" t="s">
        <v>1026</v>
      </c>
    </row>
    <row r="1889" spans="1:9">
      <c r="A1889" s="14">
        <v>82005</v>
      </c>
      <c r="B1889" s="14" t="s">
        <v>861</v>
      </c>
      <c r="C1889" s="12" t="s">
        <v>145</v>
      </c>
      <c r="D1889" s="15" t="str">
        <f t="shared" si="29"/>
        <v>Sutherland Helptree - SUP</v>
      </c>
      <c r="E1889" s="12" t="s">
        <v>104</v>
      </c>
      <c r="F1889" s="12" t="s">
        <v>117</v>
      </c>
      <c r="G1889" s="12" t="s">
        <v>117</v>
      </c>
      <c r="H1889" s="12" t="s">
        <v>1025</v>
      </c>
      <c r="I1889" s="12" t="s">
        <v>1026</v>
      </c>
    </row>
    <row r="1890" spans="1:9">
      <c r="A1890" s="14">
        <v>82007</v>
      </c>
      <c r="B1890" s="14" t="s">
        <v>864</v>
      </c>
      <c r="C1890" s="12" t="s">
        <v>185</v>
      </c>
      <c r="D1890" s="15" t="str">
        <f t="shared" si="29"/>
        <v>Sutherland Perform_QA_AI - TPS</v>
      </c>
      <c r="E1890" s="12" t="s">
        <v>126</v>
      </c>
      <c r="F1890" s="12" t="s">
        <v>890</v>
      </c>
      <c r="G1890" s="12" t="s">
        <v>890</v>
      </c>
      <c r="H1890" s="12" t="s">
        <v>1025</v>
      </c>
      <c r="I1890" s="12" t="s">
        <v>1026</v>
      </c>
    </row>
    <row r="1891" spans="1:9">
      <c r="A1891" s="14">
        <v>82006</v>
      </c>
      <c r="B1891" s="14" t="s">
        <v>862</v>
      </c>
      <c r="C1891" s="12" t="s">
        <v>145</v>
      </c>
      <c r="D1891" s="15" t="str">
        <f t="shared" si="29"/>
        <v>Sutherland Prodigy - SUP</v>
      </c>
      <c r="E1891" s="12" t="s">
        <v>104</v>
      </c>
      <c r="F1891" s="12" t="s">
        <v>117</v>
      </c>
      <c r="G1891" s="12" t="s">
        <v>117</v>
      </c>
      <c r="H1891" s="12" t="s">
        <v>1025</v>
      </c>
      <c r="I1891" s="12" t="s">
        <v>1026</v>
      </c>
    </row>
    <row r="1892" spans="1:9">
      <c r="A1892" s="14">
        <v>82009</v>
      </c>
      <c r="B1892" s="14" t="s">
        <v>865</v>
      </c>
      <c r="C1892" s="12" t="s">
        <v>172</v>
      </c>
      <c r="D1892" s="15" t="str">
        <f t="shared" si="29"/>
        <v>Sutherland Robility - SME</v>
      </c>
      <c r="E1892" s="12" t="s">
        <v>104</v>
      </c>
      <c r="F1892" s="12" t="s">
        <v>117</v>
      </c>
      <c r="G1892" s="12" t="s">
        <v>117</v>
      </c>
      <c r="H1892" s="12" t="s">
        <v>1025</v>
      </c>
      <c r="I1892" s="12" t="s">
        <v>1026</v>
      </c>
    </row>
    <row r="1893" spans="1:9">
      <c r="A1893" s="14">
        <v>82009</v>
      </c>
      <c r="B1893" s="14" t="s">
        <v>865</v>
      </c>
      <c r="C1893" s="12" t="s">
        <v>145</v>
      </c>
      <c r="D1893" s="15" t="str">
        <f t="shared" si="29"/>
        <v>Sutherland Robility - SUP</v>
      </c>
      <c r="E1893" s="12" t="s">
        <v>104</v>
      </c>
      <c r="F1893" s="12" t="s">
        <v>117</v>
      </c>
      <c r="G1893" s="12" t="s">
        <v>117</v>
      </c>
      <c r="H1893" s="12" t="s">
        <v>1025</v>
      </c>
      <c r="I1893" s="12" t="s">
        <v>1026</v>
      </c>
    </row>
    <row r="1894" spans="1:9">
      <c r="A1894" s="14">
        <v>82009</v>
      </c>
      <c r="B1894" s="14" t="s">
        <v>865</v>
      </c>
      <c r="C1894" s="12" t="s">
        <v>198</v>
      </c>
      <c r="D1894" s="15" t="str">
        <f t="shared" si="29"/>
        <v>Sutherland Robility - TEC</v>
      </c>
      <c r="E1894" s="12" t="s">
        <v>104</v>
      </c>
      <c r="F1894" s="12" t="s">
        <v>117</v>
      </c>
      <c r="G1894" s="12" t="s">
        <v>117</v>
      </c>
      <c r="H1894" s="12" t="s">
        <v>1025</v>
      </c>
      <c r="I1894" s="12" t="s">
        <v>1026</v>
      </c>
    </row>
    <row r="1895" spans="1:9">
      <c r="A1895" s="14">
        <v>82001</v>
      </c>
      <c r="B1895" s="14" t="s">
        <v>856</v>
      </c>
      <c r="C1895" s="12" t="s">
        <v>129</v>
      </c>
      <c r="D1895" s="15" t="str">
        <f t="shared" si="29"/>
        <v>Sutherland Sentinel - MGT</v>
      </c>
      <c r="E1895" s="12" t="s">
        <v>104</v>
      </c>
      <c r="F1895" s="12" t="s">
        <v>117</v>
      </c>
      <c r="G1895" s="12" t="s">
        <v>117</v>
      </c>
      <c r="H1895" s="12" t="s">
        <v>1025</v>
      </c>
      <c r="I1895" s="12" t="s">
        <v>1026</v>
      </c>
    </row>
    <row r="1896" spans="1:9">
      <c r="A1896" s="14">
        <v>82001</v>
      </c>
      <c r="B1896" s="14" t="s">
        <v>856</v>
      </c>
      <c r="C1896" s="12" t="s">
        <v>145</v>
      </c>
      <c r="D1896" s="15" t="str">
        <f t="shared" si="29"/>
        <v>Sutherland Sentinel - SUP</v>
      </c>
      <c r="E1896" s="12" t="s">
        <v>104</v>
      </c>
      <c r="F1896" s="12" t="s">
        <v>117</v>
      </c>
      <c r="G1896" s="12" t="s">
        <v>117</v>
      </c>
      <c r="H1896" s="12" t="s">
        <v>1025</v>
      </c>
      <c r="I1896" s="12" t="s">
        <v>1026</v>
      </c>
    </row>
    <row r="1897" spans="1:9">
      <c r="A1897" s="14">
        <v>96104</v>
      </c>
      <c r="B1897" s="14" t="s">
        <v>969</v>
      </c>
      <c r="C1897" s="12" t="s">
        <v>121</v>
      </c>
      <c r="D1897" s="15" t="str">
        <f t="shared" si="29"/>
        <v>Taxation Global - F&amp;A</v>
      </c>
      <c r="E1897" s="12" t="s">
        <v>104</v>
      </c>
      <c r="F1897" s="12" t="s">
        <v>122</v>
      </c>
      <c r="G1897" s="12" t="s">
        <v>114</v>
      </c>
      <c r="H1897" s="12" t="s">
        <v>1025</v>
      </c>
      <c r="I1897" s="12" t="s">
        <v>1026</v>
      </c>
    </row>
    <row r="1898" spans="1:9">
      <c r="A1898" s="14">
        <v>96104</v>
      </c>
      <c r="B1898" s="14" t="s">
        <v>969</v>
      </c>
      <c r="C1898" s="12" t="s">
        <v>139</v>
      </c>
      <c r="D1898" s="15" t="str">
        <f t="shared" si="29"/>
        <v>Taxation Global - SMGT</v>
      </c>
      <c r="E1898" s="12" t="s">
        <v>104</v>
      </c>
      <c r="F1898" s="12" t="s">
        <v>122</v>
      </c>
      <c r="G1898" s="12" t="s">
        <v>114</v>
      </c>
      <c r="H1898" s="12" t="s">
        <v>1025</v>
      </c>
      <c r="I1898" s="12" t="s">
        <v>1026</v>
      </c>
    </row>
    <row r="1899" spans="1:9">
      <c r="A1899" s="14">
        <v>96104</v>
      </c>
      <c r="B1899" s="14" t="s">
        <v>969</v>
      </c>
      <c r="C1899" s="12" t="s">
        <v>145</v>
      </c>
      <c r="D1899" s="15" t="str">
        <f t="shared" si="29"/>
        <v>Taxation Global - SUP</v>
      </c>
      <c r="E1899" s="12" t="s">
        <v>104</v>
      </c>
      <c r="F1899" s="12" t="s">
        <v>122</v>
      </c>
      <c r="G1899" s="12" t="s">
        <v>114</v>
      </c>
      <c r="H1899" s="12" t="s">
        <v>1025</v>
      </c>
      <c r="I1899" s="12" t="s">
        <v>1026</v>
      </c>
    </row>
    <row r="1900" spans="1:9">
      <c r="A1900" s="14">
        <v>96104</v>
      </c>
      <c r="B1900" s="14" t="s">
        <v>969</v>
      </c>
      <c r="C1900" s="12" t="s">
        <v>180</v>
      </c>
      <c r="D1900" s="15" t="str">
        <f t="shared" si="29"/>
        <v>Taxation Global - TMG</v>
      </c>
      <c r="E1900" s="12" t="s">
        <v>104</v>
      </c>
      <c r="F1900" s="12" t="s">
        <v>122</v>
      </c>
      <c r="G1900" s="12" t="s">
        <v>114</v>
      </c>
      <c r="H1900" s="12" t="s">
        <v>1025</v>
      </c>
      <c r="I1900" s="12" t="s">
        <v>1026</v>
      </c>
    </row>
    <row r="1901" spans="1:9">
      <c r="A1901" s="14">
        <v>10089</v>
      </c>
      <c r="B1901" s="14" t="s">
        <v>207</v>
      </c>
      <c r="C1901" s="12" t="s">
        <v>185</v>
      </c>
      <c r="D1901" s="15" t="str">
        <f t="shared" si="29"/>
        <v>Taylor and Francis - F and A - TPS</v>
      </c>
      <c r="E1901" s="12" t="s">
        <v>126</v>
      </c>
      <c r="F1901" s="12" t="s">
        <v>163</v>
      </c>
      <c r="G1901" s="12" t="s">
        <v>164</v>
      </c>
      <c r="H1901" s="12" t="s">
        <v>1025</v>
      </c>
      <c r="I1901" s="12" t="s">
        <v>1026</v>
      </c>
    </row>
    <row r="1902" spans="1:9">
      <c r="A1902" s="14">
        <v>95111</v>
      </c>
      <c r="B1902" s="14" t="s">
        <v>985</v>
      </c>
      <c r="C1902" s="12" t="s">
        <v>145</v>
      </c>
      <c r="D1902" s="15" t="str">
        <f t="shared" si="29"/>
        <v>Technology Service Desk - SUP</v>
      </c>
      <c r="E1902" s="12" t="s">
        <v>104</v>
      </c>
      <c r="F1902" s="12" t="s">
        <v>263</v>
      </c>
      <c r="G1902" s="12" t="s">
        <v>264</v>
      </c>
      <c r="H1902" s="12" t="s">
        <v>1025</v>
      </c>
      <c r="I1902" s="12" t="s">
        <v>1026</v>
      </c>
    </row>
    <row r="1903" spans="1:9">
      <c r="A1903" s="14">
        <v>91601</v>
      </c>
      <c r="B1903" s="14" t="s">
        <v>946</v>
      </c>
      <c r="C1903" s="12" t="s">
        <v>262</v>
      </c>
      <c r="D1903" s="15" t="str">
        <f t="shared" si="29"/>
        <v>Telecom SD Global - GSI</v>
      </c>
      <c r="E1903" s="12" t="s">
        <v>104</v>
      </c>
      <c r="F1903" s="12" t="s">
        <v>405</v>
      </c>
      <c r="G1903" s="12" t="s">
        <v>114</v>
      </c>
      <c r="H1903" s="12" t="s">
        <v>1025</v>
      </c>
      <c r="I1903" s="12" t="s">
        <v>1026</v>
      </c>
    </row>
    <row r="1904" spans="1:9">
      <c r="A1904" s="14">
        <v>91601</v>
      </c>
      <c r="B1904" s="14" t="s">
        <v>946</v>
      </c>
      <c r="C1904" s="12" t="s">
        <v>116</v>
      </c>
      <c r="D1904" s="15" t="str">
        <f t="shared" si="29"/>
        <v>Telecom SD Global - PRD</v>
      </c>
      <c r="E1904" s="12" t="s">
        <v>104</v>
      </c>
      <c r="F1904" s="12" t="s">
        <v>405</v>
      </c>
      <c r="G1904" s="12" t="s">
        <v>114</v>
      </c>
      <c r="H1904" s="12" t="s">
        <v>1025</v>
      </c>
      <c r="I1904" s="12" t="s">
        <v>1026</v>
      </c>
    </row>
    <row r="1905" spans="1:9">
      <c r="A1905" s="14">
        <v>91601</v>
      </c>
      <c r="B1905" s="14" t="s">
        <v>946</v>
      </c>
      <c r="C1905" s="12" t="s">
        <v>145</v>
      </c>
      <c r="D1905" s="15" t="str">
        <f t="shared" si="29"/>
        <v>Telecom SD Global - SUP</v>
      </c>
      <c r="E1905" s="12" t="s">
        <v>104</v>
      </c>
      <c r="F1905" s="12" t="s">
        <v>405</v>
      </c>
      <c r="G1905" s="12" t="s">
        <v>114</v>
      </c>
      <c r="H1905" s="12" t="s">
        <v>1025</v>
      </c>
      <c r="I1905" s="12" t="s">
        <v>1026</v>
      </c>
    </row>
    <row r="1906" spans="1:9">
      <c r="A1906" s="14">
        <v>95104</v>
      </c>
      <c r="B1906" s="14" t="s">
        <v>974</v>
      </c>
      <c r="C1906" s="12" t="s">
        <v>415</v>
      </c>
      <c r="D1906" s="15" t="str">
        <f t="shared" si="29"/>
        <v>Telephony - GTI</v>
      </c>
      <c r="E1906" s="12" t="s">
        <v>104</v>
      </c>
      <c r="F1906" s="12" t="s">
        <v>263</v>
      </c>
      <c r="G1906" s="12" t="s">
        <v>264</v>
      </c>
      <c r="H1906" s="12" t="s">
        <v>1025</v>
      </c>
      <c r="I1906" s="12" t="s">
        <v>1026</v>
      </c>
    </row>
    <row r="1907" spans="1:9">
      <c r="A1907" s="14">
        <v>95104</v>
      </c>
      <c r="B1907" s="14" t="s">
        <v>974</v>
      </c>
      <c r="C1907" s="12" t="s">
        <v>145</v>
      </c>
      <c r="D1907" s="15" t="str">
        <f t="shared" si="29"/>
        <v>Telephony - SUP</v>
      </c>
      <c r="E1907" s="12" t="s">
        <v>104</v>
      </c>
      <c r="F1907" s="12" t="s">
        <v>263</v>
      </c>
      <c r="G1907" s="12" t="s">
        <v>264</v>
      </c>
      <c r="H1907" s="12" t="s">
        <v>1025</v>
      </c>
      <c r="I1907" s="12" t="s">
        <v>1026</v>
      </c>
    </row>
    <row r="1908" spans="1:9">
      <c r="A1908" s="14">
        <v>12409</v>
      </c>
      <c r="B1908" s="14" t="s">
        <v>541</v>
      </c>
      <c r="C1908" s="12" t="s">
        <v>230</v>
      </c>
      <c r="D1908" s="15" t="str">
        <f t="shared" si="29"/>
        <v>Temple University - Coding - PRSP</v>
      </c>
      <c r="E1908" s="12" t="s">
        <v>126</v>
      </c>
      <c r="F1908" s="12" t="s">
        <v>237</v>
      </c>
      <c r="G1908" s="12" t="s">
        <v>238</v>
      </c>
      <c r="H1908" s="12" t="s">
        <v>1025</v>
      </c>
      <c r="I1908" s="12" t="s">
        <v>1026</v>
      </c>
    </row>
    <row r="1909" spans="1:9">
      <c r="A1909" s="14">
        <v>12409</v>
      </c>
      <c r="B1909" s="14" t="s">
        <v>541</v>
      </c>
      <c r="C1909" s="12" t="s">
        <v>145</v>
      </c>
      <c r="D1909" s="15" t="str">
        <f t="shared" si="29"/>
        <v>Temple University - Coding - SUP</v>
      </c>
      <c r="E1909" s="12" t="s">
        <v>126</v>
      </c>
      <c r="F1909" s="12" t="s">
        <v>237</v>
      </c>
      <c r="G1909" s="12" t="s">
        <v>238</v>
      </c>
      <c r="H1909" s="12" t="s">
        <v>1025</v>
      </c>
      <c r="I1909" s="12" t="s">
        <v>1026</v>
      </c>
    </row>
    <row r="1910" spans="1:9">
      <c r="A1910" s="14">
        <v>12409</v>
      </c>
      <c r="B1910" s="14" t="s">
        <v>541</v>
      </c>
      <c r="C1910" s="12" t="s">
        <v>185</v>
      </c>
      <c r="D1910" s="15" t="str">
        <f t="shared" si="29"/>
        <v>Temple University - Coding - TPS</v>
      </c>
      <c r="E1910" s="12" t="s">
        <v>126</v>
      </c>
      <c r="F1910" s="12" t="s">
        <v>237</v>
      </c>
      <c r="G1910" s="12" t="s">
        <v>238</v>
      </c>
      <c r="H1910" s="12" t="s">
        <v>1025</v>
      </c>
      <c r="I1910" s="12" t="s">
        <v>1026</v>
      </c>
    </row>
    <row r="1911" spans="1:9">
      <c r="A1911" s="14">
        <v>51243</v>
      </c>
      <c r="B1911" s="14" t="s">
        <v>743</v>
      </c>
      <c r="C1911" s="12" t="s">
        <v>193</v>
      </c>
      <c r="D1911" s="15" t="str">
        <f t="shared" si="29"/>
        <v>TFW-2112-2201-CloudPrototypeDe - DEV</v>
      </c>
      <c r="E1911" s="12" t="s">
        <v>117</v>
      </c>
      <c r="F1911" s="12" t="s">
        <v>117</v>
      </c>
      <c r="G1911" s="12" t="s">
        <v>117</v>
      </c>
      <c r="H1911" s="12" t="s">
        <v>1025</v>
      </c>
      <c r="I1911" s="12" t="s">
        <v>1026</v>
      </c>
    </row>
    <row r="1912" spans="1:9">
      <c r="A1912" s="14">
        <v>51245</v>
      </c>
      <c r="B1912" s="14" t="s">
        <v>744</v>
      </c>
      <c r="C1912" s="12" t="s">
        <v>116</v>
      </c>
      <c r="D1912" s="15" t="str">
        <f t="shared" si="29"/>
        <v>TFW-2201-2206-CloudMigrBlanket - PRD</v>
      </c>
      <c r="E1912" s="12" t="s">
        <v>117</v>
      </c>
      <c r="F1912" s="12" t="s">
        <v>117</v>
      </c>
      <c r="G1912" s="12" t="s">
        <v>117</v>
      </c>
      <c r="H1912" s="12" t="s">
        <v>1025</v>
      </c>
      <c r="I1912" s="12" t="s">
        <v>1026</v>
      </c>
    </row>
    <row r="1913" spans="1:9">
      <c r="A1913" s="14">
        <v>51431</v>
      </c>
      <c r="B1913" s="14" t="s">
        <v>785</v>
      </c>
      <c r="C1913" s="12" t="s">
        <v>116</v>
      </c>
      <c r="D1913" s="15" t="str">
        <f t="shared" si="29"/>
        <v>TFW-2201-2212-BackofficeEnhanc - PRD</v>
      </c>
      <c r="E1913" s="12" t="s">
        <v>117</v>
      </c>
      <c r="F1913" s="12" t="s">
        <v>117</v>
      </c>
      <c r="G1913" s="12" t="s">
        <v>117</v>
      </c>
      <c r="H1913" s="12" t="s">
        <v>1025</v>
      </c>
      <c r="I1913" s="12" t="s">
        <v>1026</v>
      </c>
    </row>
    <row r="1914" spans="1:9">
      <c r="A1914" s="14">
        <v>51247</v>
      </c>
      <c r="B1914" s="14" t="s">
        <v>745</v>
      </c>
      <c r="C1914" s="12" t="s">
        <v>116</v>
      </c>
      <c r="D1914" s="15" t="str">
        <f t="shared" si="29"/>
        <v>TFW-2201-2212-DevelopmentBlank - PRD</v>
      </c>
      <c r="E1914" s="12" t="s">
        <v>117</v>
      </c>
      <c r="F1914" s="12" t="s">
        <v>117</v>
      </c>
      <c r="G1914" s="12" t="s">
        <v>117</v>
      </c>
      <c r="H1914" s="12" t="s">
        <v>1025</v>
      </c>
      <c r="I1914" s="12" t="s">
        <v>1026</v>
      </c>
    </row>
    <row r="1915" spans="1:9">
      <c r="A1915" s="36">
        <v>51247</v>
      </c>
      <c r="B1915" s="43" t="s">
        <v>745</v>
      </c>
      <c r="C1915" s="12" t="s">
        <v>116</v>
      </c>
      <c r="D1915" s="15" t="str">
        <f t="shared" si="29"/>
        <v>TFW-2201-2212-DevelopmentBlank - PRD</v>
      </c>
      <c r="E1915" s="12" t="s">
        <v>117</v>
      </c>
      <c r="F1915" s="12" t="s">
        <v>117</v>
      </c>
      <c r="G1915" s="12" t="s">
        <v>117</v>
      </c>
      <c r="H1915" s="12" t="s">
        <v>1025</v>
      </c>
      <c r="I1915" s="12" t="s">
        <v>1026</v>
      </c>
    </row>
    <row r="1916" spans="1:9">
      <c r="A1916" s="14">
        <v>51247</v>
      </c>
      <c r="B1916" s="14" t="s">
        <v>745</v>
      </c>
      <c r="C1916" s="12" t="s">
        <v>145</v>
      </c>
      <c r="D1916" s="15" t="str">
        <f t="shared" si="29"/>
        <v>TFW-2201-2212-DevelopmentBlank - SUP</v>
      </c>
      <c r="E1916" s="12" t="s">
        <v>117</v>
      </c>
      <c r="F1916" s="12" t="s">
        <v>117</v>
      </c>
      <c r="G1916" s="12" t="s">
        <v>117</v>
      </c>
      <c r="H1916" s="12" t="s">
        <v>1025</v>
      </c>
      <c r="I1916" s="12" t="s">
        <v>1026</v>
      </c>
    </row>
    <row r="1917" spans="1:9">
      <c r="A1917" s="14">
        <v>51261</v>
      </c>
      <c r="B1917" s="14" t="s">
        <v>746</v>
      </c>
      <c r="C1917" s="12" t="s">
        <v>116</v>
      </c>
      <c r="D1917" s="15" t="str">
        <f t="shared" si="29"/>
        <v>TFW-2205-2212-TracpayDev-SA - PRD</v>
      </c>
      <c r="E1917" s="12" t="s">
        <v>117</v>
      </c>
      <c r="F1917" s="12" t="s">
        <v>117</v>
      </c>
      <c r="G1917" s="12" t="s">
        <v>117</v>
      </c>
      <c r="H1917" s="12" t="s">
        <v>1025</v>
      </c>
      <c r="I1917" s="12" t="s">
        <v>1026</v>
      </c>
    </row>
    <row r="1918" spans="1:9">
      <c r="A1918" s="14">
        <v>51432</v>
      </c>
      <c r="B1918" s="14" t="s">
        <v>786</v>
      </c>
      <c r="C1918" s="12" t="s">
        <v>116</v>
      </c>
      <c r="D1918" s="15" t="str">
        <f t="shared" si="29"/>
        <v>TFW-2206-2212-HomeInternet-QE - PRD</v>
      </c>
      <c r="E1918" s="12" t="s">
        <v>117</v>
      </c>
      <c r="F1918" s="12" t="s">
        <v>117</v>
      </c>
      <c r="G1918" s="12" t="s">
        <v>117</v>
      </c>
      <c r="H1918" s="12" t="s">
        <v>1025</v>
      </c>
      <c r="I1918" s="12" t="s">
        <v>1026</v>
      </c>
    </row>
    <row r="1919" spans="1:9">
      <c r="A1919" s="14">
        <v>51433</v>
      </c>
      <c r="B1919" s="14" t="s">
        <v>787</v>
      </c>
      <c r="C1919" s="12" t="s">
        <v>193</v>
      </c>
      <c r="D1919" s="15" t="str">
        <f t="shared" si="29"/>
        <v>TFW-2206-2212-TracfoneWireless - DEV</v>
      </c>
      <c r="E1919" s="12" t="s">
        <v>117</v>
      </c>
      <c r="F1919" s="12" t="s">
        <v>117</v>
      </c>
      <c r="G1919" s="12" t="s">
        <v>117</v>
      </c>
      <c r="H1919" s="12" t="s">
        <v>1025</v>
      </c>
      <c r="I1919" s="12" t="s">
        <v>1026</v>
      </c>
    </row>
    <row r="1920" spans="1:9">
      <c r="A1920" s="14">
        <v>51263</v>
      </c>
      <c r="B1920" s="14" t="s">
        <v>747</v>
      </c>
      <c r="C1920" s="12" t="s">
        <v>116</v>
      </c>
      <c r="D1920" s="15" t="str">
        <f t="shared" si="29"/>
        <v>TFW-2206-2306-Sr JavaDevinterg - PRD</v>
      </c>
      <c r="E1920" s="12" t="s">
        <v>117</v>
      </c>
      <c r="F1920" s="12" t="s">
        <v>117</v>
      </c>
      <c r="G1920" s="12" t="s">
        <v>117</v>
      </c>
      <c r="H1920" s="12" t="s">
        <v>1025</v>
      </c>
      <c r="I1920" s="12" t="s">
        <v>1026</v>
      </c>
    </row>
    <row r="1921" spans="1:9">
      <c r="A1921" s="14">
        <v>51268</v>
      </c>
      <c r="B1921" s="14" t="s">
        <v>749</v>
      </c>
      <c r="C1921" s="12" t="s">
        <v>116</v>
      </c>
      <c r="D1921" s="15" t="str">
        <f t="shared" si="29"/>
        <v>TFW-2208-2302-Seniortestanalys - PRD</v>
      </c>
      <c r="E1921" s="12" t="s">
        <v>117</v>
      </c>
      <c r="F1921" s="12" t="s">
        <v>117</v>
      </c>
      <c r="G1921" s="12" t="s">
        <v>117</v>
      </c>
      <c r="H1921" s="12" t="s">
        <v>1025</v>
      </c>
      <c r="I1921" s="12" t="s">
        <v>1026</v>
      </c>
    </row>
    <row r="1922" spans="1:9">
      <c r="A1922" s="14">
        <v>51271</v>
      </c>
      <c r="B1922" s="14" t="s">
        <v>750</v>
      </c>
      <c r="C1922" s="12" t="s">
        <v>116</v>
      </c>
      <c r="D1922" s="15" t="str">
        <f t="shared" ref="D1922:D1985" si="30">B1922&amp;" - "&amp;C1922</f>
        <v>TFW-2209-2302-QE-UbuntuMTMulti - PRD</v>
      </c>
      <c r="E1922" s="12" t="s">
        <v>117</v>
      </c>
      <c r="F1922" s="12" t="s">
        <v>117</v>
      </c>
      <c r="G1922" s="12" t="s">
        <v>117</v>
      </c>
      <c r="H1922" s="12" t="s">
        <v>1025</v>
      </c>
      <c r="I1922" s="12" t="s">
        <v>1026</v>
      </c>
    </row>
    <row r="1923" spans="1:9">
      <c r="A1923" s="14">
        <v>51435</v>
      </c>
      <c r="B1923" s="14" t="s">
        <v>788</v>
      </c>
      <c r="C1923" s="12" t="s">
        <v>116</v>
      </c>
      <c r="D1923" s="15" t="str">
        <f t="shared" si="30"/>
        <v>TFW-2210-2509-Front-WAF-API-Ga - PRD</v>
      </c>
      <c r="E1923" s="12" t="s">
        <v>117</v>
      </c>
      <c r="F1923" s="12" t="s">
        <v>117</v>
      </c>
      <c r="G1923" s="12" t="s">
        <v>117</v>
      </c>
      <c r="H1923" s="12" t="s">
        <v>1025</v>
      </c>
      <c r="I1923" s="12" t="s">
        <v>1026</v>
      </c>
    </row>
    <row r="1924" spans="1:9">
      <c r="A1924" s="14">
        <v>51438</v>
      </c>
      <c r="B1924" s="14" t="s">
        <v>791</v>
      </c>
      <c r="C1924" s="12" t="s">
        <v>116</v>
      </c>
      <c r="D1924" s="15" t="str">
        <f t="shared" si="30"/>
        <v>TFW-2210-2509-IandC-ApplIntegr - PRD</v>
      </c>
      <c r="E1924" s="12" t="s">
        <v>117</v>
      </c>
      <c r="F1924" s="12" t="s">
        <v>117</v>
      </c>
      <c r="G1924" s="12" t="s">
        <v>117</v>
      </c>
      <c r="H1924" s="12" t="s">
        <v>1025</v>
      </c>
      <c r="I1924" s="12" t="s">
        <v>1026</v>
      </c>
    </row>
    <row r="1925" spans="1:9">
      <c r="A1925" s="14">
        <v>51439</v>
      </c>
      <c r="B1925" s="14" t="s">
        <v>792</v>
      </c>
      <c r="C1925" s="12" t="s">
        <v>116</v>
      </c>
      <c r="D1925" s="15" t="str">
        <f t="shared" si="30"/>
        <v>TFW-2210-2509-IandC-DatabaseSe - PRD</v>
      </c>
      <c r="E1925" s="12" t="s">
        <v>117</v>
      </c>
      <c r="F1925" s="12" t="s">
        <v>117</v>
      </c>
      <c r="G1925" s="12" t="s">
        <v>117</v>
      </c>
      <c r="H1925" s="12" t="s">
        <v>1025</v>
      </c>
      <c r="I1925" s="12" t="s">
        <v>1026</v>
      </c>
    </row>
    <row r="1926" spans="1:9">
      <c r="A1926" s="14">
        <v>51440</v>
      </c>
      <c r="B1926" s="14" t="s">
        <v>793</v>
      </c>
      <c r="C1926" s="12" t="s">
        <v>116</v>
      </c>
      <c r="D1926" s="15" t="str">
        <f t="shared" si="30"/>
        <v>TFW-2210-2509-IandC-MiddleTier - PRD</v>
      </c>
      <c r="E1926" s="12" t="s">
        <v>117</v>
      </c>
      <c r="F1926" s="12" t="s">
        <v>117</v>
      </c>
      <c r="G1926" s="12" t="s">
        <v>117</v>
      </c>
      <c r="H1926" s="12" t="s">
        <v>1025</v>
      </c>
      <c r="I1926" s="12" t="s">
        <v>1026</v>
      </c>
    </row>
    <row r="1927" spans="1:9">
      <c r="A1927" s="14">
        <v>51441</v>
      </c>
      <c r="B1927" s="14" t="s">
        <v>794</v>
      </c>
      <c r="C1927" s="12" t="s">
        <v>116</v>
      </c>
      <c r="D1927" s="15" t="str">
        <f t="shared" si="30"/>
        <v>TFW-2210-2509-IC-Dataengineer- - PRD</v>
      </c>
      <c r="E1927" s="12" t="s">
        <v>117</v>
      </c>
      <c r="F1927" s="12" t="s">
        <v>117</v>
      </c>
      <c r="G1927" s="12" t="s">
        <v>117</v>
      </c>
      <c r="H1927" s="12" t="s">
        <v>1025</v>
      </c>
      <c r="I1927" s="12" t="s">
        <v>1026</v>
      </c>
    </row>
    <row r="1928" spans="1:9">
      <c r="A1928" s="14">
        <v>51436</v>
      </c>
      <c r="B1928" s="14" t="s">
        <v>789</v>
      </c>
      <c r="C1928" s="12" t="s">
        <v>116</v>
      </c>
      <c r="D1928" s="15" t="str">
        <f t="shared" si="30"/>
        <v>TFW-2210-2509-IC-Devops - PRD</v>
      </c>
      <c r="E1928" s="12" t="s">
        <v>117</v>
      </c>
      <c r="F1928" s="12" t="s">
        <v>117</v>
      </c>
      <c r="G1928" s="12" t="s">
        <v>117</v>
      </c>
      <c r="H1928" s="12" t="s">
        <v>1025</v>
      </c>
      <c r="I1928" s="12" t="s">
        <v>1026</v>
      </c>
    </row>
    <row r="1929" spans="1:9">
      <c r="A1929" s="14">
        <v>51276</v>
      </c>
      <c r="B1929" s="14" t="s">
        <v>751</v>
      </c>
      <c r="C1929" s="12" t="s">
        <v>116</v>
      </c>
      <c r="D1929" s="15" t="str">
        <f t="shared" si="30"/>
        <v>TFW-2210-2509-IC-IncidentManag - PRD</v>
      </c>
      <c r="E1929" s="12" t="s">
        <v>117</v>
      </c>
      <c r="F1929" s="12" t="s">
        <v>117</v>
      </c>
      <c r="G1929" s="12" t="s">
        <v>117</v>
      </c>
      <c r="H1929" s="12" t="s">
        <v>1025</v>
      </c>
      <c r="I1929" s="12" t="s">
        <v>1026</v>
      </c>
    </row>
    <row r="1930" spans="1:9">
      <c r="A1930" s="14">
        <v>51437</v>
      </c>
      <c r="B1930" s="14" t="s">
        <v>790</v>
      </c>
      <c r="C1930" s="12" t="s">
        <v>116</v>
      </c>
      <c r="D1930" s="15" t="str">
        <f t="shared" si="30"/>
        <v>TFW-2210-2509-IC-Tools - PRD</v>
      </c>
      <c r="E1930" s="12" t="s">
        <v>117</v>
      </c>
      <c r="F1930" s="12" t="s">
        <v>117</v>
      </c>
      <c r="G1930" s="12" t="s">
        <v>117</v>
      </c>
      <c r="H1930" s="12" t="s">
        <v>1025</v>
      </c>
      <c r="I1930" s="12" t="s">
        <v>1026</v>
      </c>
    </row>
    <row r="1931" spans="1:9">
      <c r="A1931" s="14">
        <v>51279</v>
      </c>
      <c r="B1931" s="14" t="s">
        <v>752</v>
      </c>
      <c r="C1931" s="12" t="s">
        <v>116</v>
      </c>
      <c r="D1931" s="15" t="str">
        <f t="shared" si="30"/>
        <v>TFW-2210-2509-ITCmpt-Net Unix - PRD</v>
      </c>
      <c r="E1931" s="12" t="s">
        <v>117</v>
      </c>
      <c r="F1931" s="12" t="s">
        <v>117</v>
      </c>
      <c r="G1931" s="12" t="s">
        <v>117</v>
      </c>
      <c r="H1931" s="12" t="s">
        <v>1025</v>
      </c>
      <c r="I1931" s="12" t="s">
        <v>1026</v>
      </c>
    </row>
    <row r="1932" spans="1:9">
      <c r="A1932" s="14">
        <v>51442</v>
      </c>
      <c r="B1932" s="14" t="s">
        <v>795</v>
      </c>
      <c r="C1932" s="12" t="s">
        <v>116</v>
      </c>
      <c r="D1932" s="15" t="str">
        <f t="shared" si="30"/>
        <v>TFW-2210-2509-Kubernetes-SRE-E - PRD</v>
      </c>
      <c r="E1932" s="12" t="s">
        <v>117</v>
      </c>
      <c r="F1932" s="12" t="s">
        <v>117</v>
      </c>
      <c r="G1932" s="12" t="s">
        <v>117</v>
      </c>
      <c r="H1932" s="12" t="s">
        <v>1025</v>
      </c>
      <c r="I1932" s="12" t="s">
        <v>1026</v>
      </c>
    </row>
    <row r="1933" spans="1:9">
      <c r="A1933" s="14">
        <v>51282</v>
      </c>
      <c r="B1933" s="14" t="s">
        <v>753</v>
      </c>
      <c r="C1933" s="12" t="s">
        <v>116</v>
      </c>
      <c r="D1933" s="15" t="str">
        <f t="shared" si="30"/>
        <v>TFW-2211-2304-QE-Testing-STMul - PRD</v>
      </c>
      <c r="E1933" s="12" t="s">
        <v>117</v>
      </c>
      <c r="F1933" s="12" t="s">
        <v>117</v>
      </c>
      <c r="G1933" s="12" t="s">
        <v>117</v>
      </c>
      <c r="H1933" s="12" t="s">
        <v>1025</v>
      </c>
      <c r="I1933" s="12" t="s">
        <v>1026</v>
      </c>
    </row>
    <row r="1934" spans="1:9">
      <c r="A1934" s="14">
        <v>51285</v>
      </c>
      <c r="B1934" s="14" t="s">
        <v>754</v>
      </c>
      <c r="C1934" s="12" t="s">
        <v>116</v>
      </c>
      <c r="D1934" s="15" t="str">
        <f t="shared" si="30"/>
        <v>TFW-2211-2310-QE-AppAgile - PRD</v>
      </c>
      <c r="E1934" s="12" t="s">
        <v>117</v>
      </c>
      <c r="F1934" s="12" t="s">
        <v>117</v>
      </c>
      <c r="G1934" s="12" t="s">
        <v>117</v>
      </c>
      <c r="H1934" s="12" t="s">
        <v>1025</v>
      </c>
      <c r="I1934" s="12" t="s">
        <v>1026</v>
      </c>
    </row>
    <row r="1935" spans="1:9">
      <c r="A1935" s="14">
        <v>51461</v>
      </c>
      <c r="B1935" s="14" t="s">
        <v>811</v>
      </c>
      <c r="C1935" s="12" t="s">
        <v>116</v>
      </c>
      <c r="D1935" s="15" t="str">
        <f t="shared" si="30"/>
        <v>TFW-2212-2311-QE-PDG-Automatio - PRD</v>
      </c>
      <c r="E1935" s="12" t="s">
        <v>117</v>
      </c>
      <c r="F1935" s="12" t="s">
        <v>117</v>
      </c>
      <c r="G1935" s="12" t="s">
        <v>117</v>
      </c>
      <c r="H1935" s="12" t="s">
        <v>1025</v>
      </c>
      <c r="I1935" s="12" t="s">
        <v>1026</v>
      </c>
    </row>
    <row r="1936" spans="1:9">
      <c r="A1936" s="14">
        <v>51289</v>
      </c>
      <c r="B1936" s="14" t="s">
        <v>755</v>
      </c>
      <c r="C1936" s="12" t="s">
        <v>116</v>
      </c>
      <c r="D1936" s="15" t="str">
        <f t="shared" si="30"/>
        <v>TFW-2212-2511-QE-PDG-Testing - PRD</v>
      </c>
      <c r="E1936" s="12" t="s">
        <v>117</v>
      </c>
      <c r="F1936" s="12" t="s">
        <v>117</v>
      </c>
      <c r="G1936" s="12" t="s">
        <v>117</v>
      </c>
      <c r="H1936" s="12" t="s">
        <v>1025</v>
      </c>
      <c r="I1936" s="12" t="s">
        <v>1026</v>
      </c>
    </row>
    <row r="1937" spans="1:9">
      <c r="A1937" s="14">
        <v>51445</v>
      </c>
      <c r="B1937" s="14" t="s">
        <v>796</v>
      </c>
      <c r="C1937" s="12" t="s">
        <v>116</v>
      </c>
      <c r="D1937" s="15" t="str">
        <f t="shared" si="30"/>
        <v>TFW-2301-2302-ADM-CCPA-Develop - PRD</v>
      </c>
      <c r="E1937" s="12" t="s">
        <v>117</v>
      </c>
      <c r="F1937" s="12" t="s">
        <v>117</v>
      </c>
      <c r="G1937" s="12" t="s">
        <v>117</v>
      </c>
      <c r="H1937" s="12" t="s">
        <v>1025</v>
      </c>
      <c r="I1937" s="12" t="s">
        <v>1026</v>
      </c>
    </row>
    <row r="1938" spans="1:9">
      <c r="A1938" s="14">
        <v>51446</v>
      </c>
      <c r="B1938" s="14" t="s">
        <v>797</v>
      </c>
      <c r="C1938" s="12" t="s">
        <v>116</v>
      </c>
      <c r="D1938" s="15" t="str">
        <f t="shared" si="30"/>
        <v>TFW-2301-2302-QE-CCPA - PRD</v>
      </c>
      <c r="E1938" s="12" t="s">
        <v>117</v>
      </c>
      <c r="F1938" s="12" t="s">
        <v>117</v>
      </c>
      <c r="G1938" s="12" t="s">
        <v>117</v>
      </c>
      <c r="H1938" s="12" t="s">
        <v>1025</v>
      </c>
      <c r="I1938" s="12" t="s">
        <v>1026</v>
      </c>
    </row>
    <row r="1939" spans="1:9">
      <c r="A1939" s="14">
        <v>51447</v>
      </c>
      <c r="B1939" s="14" t="s">
        <v>798</v>
      </c>
      <c r="C1939" s="12" t="s">
        <v>116</v>
      </c>
      <c r="D1939" s="15" t="str">
        <f t="shared" si="30"/>
        <v>TFW-2301-2302-QE-Customer-Prot - PRD</v>
      </c>
      <c r="E1939" s="12" t="s">
        <v>117</v>
      </c>
      <c r="F1939" s="12" t="s">
        <v>117</v>
      </c>
      <c r="G1939" s="12" t="s">
        <v>117</v>
      </c>
      <c r="H1939" s="12" t="s">
        <v>1025</v>
      </c>
      <c r="I1939" s="12" t="s">
        <v>1026</v>
      </c>
    </row>
    <row r="1940" spans="1:9">
      <c r="A1940" s="14">
        <v>51290</v>
      </c>
      <c r="B1940" s="14" t="s">
        <v>756</v>
      </c>
      <c r="C1940" s="12" t="s">
        <v>116</v>
      </c>
      <c r="D1940" s="15" t="str">
        <f t="shared" si="30"/>
        <v>TFW-2301-2303-QE-ST-Handset-Pr - PRD</v>
      </c>
      <c r="E1940" s="12" t="s">
        <v>117</v>
      </c>
      <c r="F1940" s="12" t="s">
        <v>117</v>
      </c>
      <c r="G1940" s="12" t="s">
        <v>117</v>
      </c>
      <c r="H1940" s="12" t="s">
        <v>1025</v>
      </c>
      <c r="I1940" s="12" t="s">
        <v>1026</v>
      </c>
    </row>
    <row r="1941" spans="1:9">
      <c r="A1941" s="14">
        <v>51293</v>
      </c>
      <c r="B1941" s="14" t="s">
        <v>757</v>
      </c>
      <c r="C1941" s="12" t="s">
        <v>198</v>
      </c>
      <c r="D1941" s="15" t="str">
        <f t="shared" si="30"/>
        <v>TFW-2301-2306-QE-Fire-Ice-3 - TEC</v>
      </c>
      <c r="E1941" s="12" t="s">
        <v>117</v>
      </c>
      <c r="F1941" s="12" t="s">
        <v>117</v>
      </c>
      <c r="G1941" s="12" t="s">
        <v>117</v>
      </c>
      <c r="H1941" s="12" t="s">
        <v>1025</v>
      </c>
      <c r="I1941" s="12" t="s">
        <v>1026</v>
      </c>
    </row>
    <row r="1942" spans="1:9">
      <c r="A1942" s="14">
        <v>51295</v>
      </c>
      <c r="B1942" s="14" t="s">
        <v>758</v>
      </c>
      <c r="C1942" s="12" t="s">
        <v>116</v>
      </c>
      <c r="D1942" s="15" t="str">
        <f t="shared" si="30"/>
        <v>TFW-2301-2312-Addndm1-IT-Dvlpm - PRD</v>
      </c>
      <c r="E1942" s="12" t="s">
        <v>117</v>
      </c>
      <c r="F1942" s="12" t="s">
        <v>117</v>
      </c>
      <c r="G1942" s="12" t="s">
        <v>117</v>
      </c>
      <c r="H1942" s="12" t="s">
        <v>1025</v>
      </c>
      <c r="I1942" s="12" t="s">
        <v>1026</v>
      </c>
    </row>
    <row r="1943" spans="1:9">
      <c r="A1943" s="14">
        <v>51448</v>
      </c>
      <c r="B1943" s="14" t="s">
        <v>799</v>
      </c>
      <c r="C1943" s="12" t="s">
        <v>116</v>
      </c>
      <c r="D1943" s="15" t="str">
        <f t="shared" si="30"/>
        <v>TFW-2301-2312-Customer-Develop - PRD</v>
      </c>
      <c r="E1943" s="12" t="s">
        <v>117</v>
      </c>
      <c r="F1943" s="12" t="s">
        <v>117</v>
      </c>
      <c r="G1943" s="12" t="s">
        <v>117</v>
      </c>
      <c r="H1943" s="12" t="s">
        <v>1025</v>
      </c>
      <c r="I1943" s="12" t="s">
        <v>1026</v>
      </c>
    </row>
    <row r="1944" spans="1:9">
      <c r="A1944" s="14">
        <v>51449</v>
      </c>
      <c r="B1944" s="14" t="s">
        <v>800</v>
      </c>
      <c r="C1944" s="12" t="s">
        <v>116</v>
      </c>
      <c r="D1944" s="15" t="str">
        <f t="shared" si="30"/>
        <v>TFW-2301-2312-Customer-Dvlpmt- - PRD</v>
      </c>
      <c r="E1944" s="12" t="s">
        <v>117</v>
      </c>
      <c r="F1944" s="12" t="s">
        <v>117</v>
      </c>
      <c r="G1944" s="12" t="s">
        <v>117</v>
      </c>
      <c r="H1944" s="12" t="s">
        <v>1025</v>
      </c>
      <c r="I1944" s="12" t="s">
        <v>1026</v>
      </c>
    </row>
    <row r="1945" spans="1:9">
      <c r="A1945" s="14">
        <v>51450</v>
      </c>
      <c r="B1945" s="14" t="s">
        <v>801</v>
      </c>
      <c r="C1945" s="12" t="s">
        <v>116</v>
      </c>
      <c r="D1945" s="15" t="str">
        <f t="shared" si="30"/>
        <v>TFW-2301-2312-PerformanceEngrM - PRD</v>
      </c>
      <c r="E1945" s="12" t="s">
        <v>117</v>
      </c>
      <c r="F1945" s="12" t="s">
        <v>117</v>
      </c>
      <c r="G1945" s="12" t="s">
        <v>117</v>
      </c>
      <c r="H1945" s="12" t="s">
        <v>1025</v>
      </c>
      <c r="I1945" s="12" t="s">
        <v>1026</v>
      </c>
    </row>
    <row r="1946" spans="1:9">
      <c r="A1946" s="14">
        <v>51298</v>
      </c>
      <c r="B1946" s="14" t="s">
        <v>759</v>
      </c>
      <c r="C1946" s="12" t="s">
        <v>116</v>
      </c>
      <c r="D1946" s="15" t="str">
        <f t="shared" si="30"/>
        <v>TFW-2301-2312-QEA-AgentR-U-QA - PRD</v>
      </c>
      <c r="E1946" s="12" t="s">
        <v>117</v>
      </c>
      <c r="F1946" s="12" t="s">
        <v>117</v>
      </c>
      <c r="G1946" s="12" t="s">
        <v>117</v>
      </c>
      <c r="H1946" s="12" t="s">
        <v>1025</v>
      </c>
      <c r="I1946" s="12" t="s">
        <v>1026</v>
      </c>
    </row>
    <row r="1947" spans="1:9">
      <c r="A1947" s="14">
        <v>51299</v>
      </c>
      <c r="B1947" s="14" t="s">
        <v>760</v>
      </c>
      <c r="C1947" s="12" t="s">
        <v>116</v>
      </c>
      <c r="D1947" s="15" t="str">
        <f t="shared" si="30"/>
        <v>TFW-2301-2312-QE-GDP - PRD</v>
      </c>
      <c r="E1947" s="12" t="s">
        <v>117</v>
      </c>
      <c r="F1947" s="12" t="s">
        <v>117</v>
      </c>
      <c r="G1947" s="12" t="s">
        <v>117</v>
      </c>
      <c r="H1947" s="12" t="s">
        <v>1025</v>
      </c>
      <c r="I1947" s="12" t="s">
        <v>1026</v>
      </c>
    </row>
    <row r="1948" spans="1:9">
      <c r="A1948" s="14">
        <v>51300</v>
      </c>
      <c r="B1948" s="14" t="s">
        <v>761</v>
      </c>
      <c r="C1948" s="12" t="s">
        <v>116</v>
      </c>
      <c r="D1948" s="15" t="str">
        <f t="shared" si="30"/>
        <v>TFW-2301-2312-QE-GDP-Automatio - PRD</v>
      </c>
      <c r="E1948" s="12" t="s">
        <v>117</v>
      </c>
      <c r="F1948" s="12" t="s">
        <v>117</v>
      </c>
      <c r="G1948" s="12" t="s">
        <v>117</v>
      </c>
      <c r="H1948" s="12" t="s">
        <v>1025</v>
      </c>
      <c r="I1948" s="12" t="s">
        <v>1026</v>
      </c>
    </row>
    <row r="1949" spans="1:9">
      <c r="A1949" s="14">
        <v>51301</v>
      </c>
      <c r="B1949" s="14" t="s">
        <v>764</v>
      </c>
      <c r="C1949" s="12" t="s">
        <v>116</v>
      </c>
      <c r="D1949" s="15" t="str">
        <f t="shared" si="30"/>
        <v>TFW-2301-2312-QE-Loyalty-Rewar - PRD</v>
      </c>
      <c r="E1949" s="12" t="s">
        <v>117</v>
      </c>
      <c r="F1949" s="12" t="s">
        <v>117</v>
      </c>
      <c r="G1949" s="12" t="s">
        <v>117</v>
      </c>
      <c r="H1949" s="12" t="s">
        <v>1025</v>
      </c>
      <c r="I1949" s="12" t="s">
        <v>1026</v>
      </c>
    </row>
    <row r="1950" spans="1:9">
      <c r="A1950" s="14">
        <v>51451</v>
      </c>
      <c r="B1950" s="14" t="s">
        <v>802</v>
      </c>
      <c r="C1950" s="12" t="s">
        <v>116</v>
      </c>
      <c r="D1950" s="15" t="str">
        <f t="shared" si="30"/>
        <v>TFW-2301-2312-QE-PEGA-Dvlpt-Te - PRD</v>
      </c>
      <c r="E1950" s="12" t="s">
        <v>117</v>
      </c>
      <c r="F1950" s="12" t="s">
        <v>117</v>
      </c>
      <c r="G1950" s="12" t="s">
        <v>117</v>
      </c>
      <c r="H1950" s="12" t="s">
        <v>1025</v>
      </c>
      <c r="I1950" s="12" t="s">
        <v>1026</v>
      </c>
    </row>
    <row r="1951" spans="1:9">
      <c r="A1951" s="14">
        <v>51306</v>
      </c>
      <c r="B1951" s="14" t="s">
        <v>765</v>
      </c>
      <c r="C1951" s="12" t="s">
        <v>116</v>
      </c>
      <c r="D1951" s="15" t="str">
        <f t="shared" si="30"/>
        <v>TFW-2302-2311-Addndm-PDG-SP-DV - PRD</v>
      </c>
      <c r="E1951" s="12" t="s">
        <v>117</v>
      </c>
      <c r="F1951" s="12" t="s">
        <v>117</v>
      </c>
      <c r="G1951" s="12" t="s">
        <v>117</v>
      </c>
      <c r="H1951" s="12" t="s">
        <v>1025</v>
      </c>
      <c r="I1951" s="12" t="s">
        <v>1026</v>
      </c>
    </row>
    <row r="1952" spans="1:9">
      <c r="A1952" s="14">
        <v>51311</v>
      </c>
      <c r="B1952" s="14" t="s">
        <v>766</v>
      </c>
      <c r="C1952" s="12" t="s">
        <v>116</v>
      </c>
      <c r="D1952" s="15" t="str">
        <f t="shared" si="30"/>
        <v>TFW-2303-2307-Pega-Enhancement - PRD</v>
      </c>
      <c r="E1952" s="12" t="s">
        <v>117</v>
      </c>
      <c r="F1952" s="12" t="s">
        <v>117</v>
      </c>
      <c r="G1952" s="12" t="s">
        <v>117</v>
      </c>
      <c r="H1952" s="12" t="s">
        <v>1025</v>
      </c>
      <c r="I1952" s="12" t="s">
        <v>1026</v>
      </c>
    </row>
    <row r="1953" spans="1:9">
      <c r="A1953" s="14">
        <v>51315</v>
      </c>
      <c r="B1953" s="14" t="s">
        <v>767</v>
      </c>
      <c r="C1953" s="12" t="s">
        <v>116</v>
      </c>
      <c r="D1953" s="15" t="str">
        <f t="shared" si="30"/>
        <v>TFW-2303-2405-SR-TestEngnr-Sai - PRD</v>
      </c>
      <c r="E1953" s="12" t="s">
        <v>117</v>
      </c>
      <c r="F1953" s="12" t="s">
        <v>117</v>
      </c>
      <c r="G1953" s="12" t="s">
        <v>117</v>
      </c>
      <c r="H1953" s="12" t="s">
        <v>1025</v>
      </c>
      <c r="I1953" s="12" t="s">
        <v>1026</v>
      </c>
    </row>
    <row r="1954" spans="1:9">
      <c r="A1954" s="14">
        <v>51483</v>
      </c>
      <c r="B1954" s="14" t="s">
        <v>815</v>
      </c>
      <c r="C1954" s="12" t="s">
        <v>116</v>
      </c>
      <c r="D1954" s="15" t="str">
        <f t="shared" si="30"/>
        <v>TFW-2304-2312-Addndm-BI-DataEn - PRD</v>
      </c>
      <c r="E1954" s="12" t="s">
        <v>117</v>
      </c>
      <c r="F1954" s="12" t="s">
        <v>117</v>
      </c>
      <c r="G1954" s="12" t="s">
        <v>117</v>
      </c>
      <c r="H1954" s="12" t="s">
        <v>1025</v>
      </c>
      <c r="I1954" s="12" t="s">
        <v>1026</v>
      </c>
    </row>
    <row r="1955" spans="1:9">
      <c r="A1955" s="14">
        <v>51324</v>
      </c>
      <c r="B1955" s="14" t="s">
        <v>768</v>
      </c>
      <c r="C1955" s="12" t="s">
        <v>116</v>
      </c>
      <c r="D1955" s="15" t="str">
        <f t="shared" si="30"/>
        <v>TFW-2304-2312-QE-PerformanceEn - PRD</v>
      </c>
      <c r="E1955" s="12" t="s">
        <v>117</v>
      </c>
      <c r="F1955" s="12" t="s">
        <v>117</v>
      </c>
      <c r="G1955" s="12" t="s">
        <v>117</v>
      </c>
      <c r="H1955" s="12" t="s">
        <v>1025</v>
      </c>
      <c r="I1955" s="12" t="s">
        <v>1026</v>
      </c>
    </row>
    <row r="1956" spans="1:9">
      <c r="A1956" s="14">
        <v>51328</v>
      </c>
      <c r="B1956" s="14" t="s">
        <v>769</v>
      </c>
      <c r="C1956" s="12" t="s">
        <v>116</v>
      </c>
      <c r="D1956" s="15" t="str">
        <f t="shared" si="30"/>
        <v>TFW-2305-2312-DNP-Phase4 - PRD</v>
      </c>
      <c r="E1956" s="12" t="s">
        <v>117</v>
      </c>
      <c r="F1956" s="12" t="s">
        <v>117</v>
      </c>
      <c r="G1956" s="12" t="s">
        <v>117</v>
      </c>
      <c r="H1956" s="12" t="s">
        <v>1025</v>
      </c>
      <c r="I1956" s="12" t="s">
        <v>1026</v>
      </c>
    </row>
    <row r="1957" spans="1:9">
      <c r="A1957" s="14">
        <v>51329</v>
      </c>
      <c r="B1957" s="14" t="s">
        <v>770</v>
      </c>
      <c r="C1957" s="12" t="s">
        <v>116</v>
      </c>
      <c r="D1957" s="15" t="str">
        <f t="shared" si="30"/>
        <v>TFW-2305-2312-Jr-TestEngnr-San - PRD</v>
      </c>
      <c r="E1957" s="12" t="s">
        <v>117</v>
      </c>
      <c r="F1957" s="12" t="s">
        <v>117</v>
      </c>
      <c r="G1957" s="12" t="s">
        <v>117</v>
      </c>
      <c r="H1957" s="12" t="s">
        <v>1025</v>
      </c>
      <c r="I1957" s="12" t="s">
        <v>1026</v>
      </c>
    </row>
    <row r="1958" spans="1:9">
      <c r="A1958" s="14">
        <v>51333</v>
      </c>
      <c r="B1958" s="14" t="s">
        <v>771</v>
      </c>
      <c r="C1958" s="12" t="s">
        <v>116</v>
      </c>
      <c r="D1958" s="15" t="str">
        <f t="shared" si="30"/>
        <v>TFW-2306-2312-DevSecOps-InfoSe - PRD</v>
      </c>
      <c r="E1958" s="12" t="s">
        <v>117</v>
      </c>
      <c r="F1958" s="12" t="s">
        <v>117</v>
      </c>
      <c r="G1958" s="12" t="s">
        <v>117</v>
      </c>
      <c r="H1958" s="12" t="s">
        <v>1025</v>
      </c>
      <c r="I1958" s="12" t="s">
        <v>1026</v>
      </c>
    </row>
    <row r="1959" spans="1:9">
      <c r="A1959" s="14">
        <v>51452</v>
      </c>
      <c r="B1959" s="14" t="s">
        <v>803</v>
      </c>
      <c r="C1959" s="12" t="s">
        <v>198</v>
      </c>
      <c r="D1959" s="15" t="str">
        <f t="shared" si="30"/>
        <v>TFW-2306-2312-SP-ServicePlans - TEC</v>
      </c>
      <c r="E1959" s="12" t="s">
        <v>117</v>
      </c>
      <c r="F1959" s="12" t="s">
        <v>117</v>
      </c>
      <c r="G1959" s="12" t="s">
        <v>117</v>
      </c>
      <c r="H1959" s="12" t="s">
        <v>1025</v>
      </c>
      <c r="I1959" s="12" t="s">
        <v>1026</v>
      </c>
    </row>
    <row r="1960" spans="1:9">
      <c r="A1960" s="14">
        <v>51475</v>
      </c>
      <c r="B1960" s="14" t="s">
        <v>813</v>
      </c>
      <c r="C1960" s="12" t="s">
        <v>116</v>
      </c>
      <c r="D1960" s="15" t="str">
        <f t="shared" si="30"/>
        <v>TFW-2307-2312-QE-Payment-Akshi - PRD</v>
      </c>
      <c r="E1960" s="12" t="s">
        <v>117</v>
      </c>
      <c r="F1960" s="12" t="s">
        <v>117</v>
      </c>
      <c r="G1960" s="12" t="s">
        <v>117</v>
      </c>
      <c r="H1960" s="12" t="s">
        <v>1025</v>
      </c>
      <c r="I1960" s="12" t="s">
        <v>1026</v>
      </c>
    </row>
    <row r="1961" spans="1:9">
      <c r="A1961" s="14">
        <v>51476</v>
      </c>
      <c r="B1961" s="14" t="s">
        <v>814</v>
      </c>
      <c r="C1961" s="12" t="s">
        <v>116</v>
      </c>
      <c r="D1961" s="15" t="str">
        <f t="shared" si="30"/>
        <v>TFW-2307-2312-ValueData-Suppor - PRD</v>
      </c>
      <c r="E1961" s="12" t="s">
        <v>117</v>
      </c>
      <c r="F1961" s="12" t="s">
        <v>117</v>
      </c>
      <c r="G1961" s="12" t="s">
        <v>117</v>
      </c>
      <c r="H1961" s="12" t="s">
        <v>1025</v>
      </c>
      <c r="I1961" s="12" t="s">
        <v>1026</v>
      </c>
    </row>
    <row r="1962" spans="1:9">
      <c r="A1962" s="14">
        <v>51491</v>
      </c>
      <c r="B1962" s="14" t="s">
        <v>817</v>
      </c>
      <c r="C1962" s="12" t="s">
        <v>116</v>
      </c>
      <c r="D1962" s="15" t="str">
        <f t="shared" si="30"/>
        <v>TFW-2308-2312-QE-ShiftLift-MS - PRD</v>
      </c>
      <c r="E1962" s="12" t="s">
        <v>117</v>
      </c>
      <c r="F1962" s="12" t="s">
        <v>117</v>
      </c>
      <c r="G1962" s="12" t="s">
        <v>117</v>
      </c>
      <c r="H1962" s="12" t="s">
        <v>1025</v>
      </c>
      <c r="I1962" s="12" t="s">
        <v>1026</v>
      </c>
    </row>
    <row r="1963" spans="1:9">
      <c r="A1963" s="14">
        <v>51496</v>
      </c>
      <c r="B1963" s="14" t="s">
        <v>820</v>
      </c>
      <c r="C1963" s="12" t="s">
        <v>193</v>
      </c>
      <c r="D1963" s="15" t="str">
        <f t="shared" si="30"/>
        <v>TFW-2308-2401-Service-plan-Opt - DEV</v>
      </c>
      <c r="E1963" s="12" t="s">
        <v>117</v>
      </c>
      <c r="F1963" s="12" t="s">
        <v>117</v>
      </c>
      <c r="G1963" s="12" t="s">
        <v>117</v>
      </c>
      <c r="H1963" s="12" t="s">
        <v>1025</v>
      </c>
      <c r="I1963" s="12" t="s">
        <v>1026</v>
      </c>
    </row>
    <row r="1964" spans="1:9">
      <c r="A1964" s="14">
        <v>51494</v>
      </c>
      <c r="B1964" s="14" t="s">
        <v>819</v>
      </c>
      <c r="C1964" s="12" t="s">
        <v>116</v>
      </c>
      <c r="D1964" s="15" t="str">
        <f t="shared" si="30"/>
        <v>TFW-2309-2312-QE-Churn-Mgmnt - PRD</v>
      </c>
      <c r="E1964" s="12" t="s">
        <v>117</v>
      </c>
      <c r="F1964" s="12" t="s">
        <v>117</v>
      </c>
      <c r="G1964" s="12" t="s">
        <v>117</v>
      </c>
      <c r="H1964" s="12" t="s">
        <v>1025</v>
      </c>
      <c r="I1964" s="12" t="s">
        <v>1026</v>
      </c>
    </row>
    <row r="1965" spans="1:9">
      <c r="A1965" s="14">
        <v>51492</v>
      </c>
      <c r="B1965" s="14" t="s">
        <v>818</v>
      </c>
      <c r="C1965" s="12" t="s">
        <v>116</v>
      </c>
      <c r="D1965" s="15" t="str">
        <f t="shared" si="30"/>
        <v>TFW-2309-2312-QE-GDP-Umbrella - PRD</v>
      </c>
      <c r="E1965" s="12" t="s">
        <v>117</v>
      </c>
      <c r="F1965" s="12" t="s">
        <v>117</v>
      </c>
      <c r="G1965" s="12" t="s">
        <v>117</v>
      </c>
      <c r="H1965" s="12" t="s">
        <v>1025</v>
      </c>
      <c r="I1965" s="12" t="s">
        <v>1026</v>
      </c>
    </row>
    <row r="1966" spans="1:9">
      <c r="A1966" s="14">
        <v>51498</v>
      </c>
      <c r="B1966" s="14" t="s">
        <v>821</v>
      </c>
      <c r="C1966" s="12" t="s">
        <v>116</v>
      </c>
      <c r="D1966" s="15" t="str">
        <f t="shared" si="30"/>
        <v>TFW-2309-2312-TAS-Logging - PRD</v>
      </c>
      <c r="E1966" s="12" t="s">
        <v>117</v>
      </c>
      <c r="F1966" s="12" t="s">
        <v>117</v>
      </c>
      <c r="G1966" s="12" t="s">
        <v>117</v>
      </c>
      <c r="H1966" s="12" t="s">
        <v>1025</v>
      </c>
      <c r="I1966" s="12" t="s">
        <v>1026</v>
      </c>
    </row>
    <row r="1967" spans="1:9">
      <c r="A1967" s="14">
        <v>12164</v>
      </c>
      <c r="B1967" s="14" t="s">
        <v>524</v>
      </c>
      <c r="C1967" s="12" t="s">
        <v>111</v>
      </c>
      <c r="D1967" s="15" t="str">
        <f t="shared" si="30"/>
        <v>The Govt. of Bermuda - TPA - QLY</v>
      </c>
      <c r="E1967" s="12" t="s">
        <v>112</v>
      </c>
      <c r="F1967" s="12" t="s">
        <v>113</v>
      </c>
      <c r="G1967" s="12" t="s">
        <v>114</v>
      </c>
      <c r="H1967" s="12" t="s">
        <v>1025</v>
      </c>
      <c r="I1967" s="12" t="s">
        <v>1026</v>
      </c>
    </row>
    <row r="1968" spans="1:9">
      <c r="A1968" s="14">
        <v>12164</v>
      </c>
      <c r="B1968" s="14" t="s">
        <v>524</v>
      </c>
      <c r="C1968" s="12" t="s">
        <v>180</v>
      </c>
      <c r="D1968" s="15" t="str">
        <f t="shared" si="30"/>
        <v>The Govt. of Bermuda - TPA - TMG</v>
      </c>
      <c r="E1968" s="12" t="s">
        <v>126</v>
      </c>
      <c r="F1968" s="12" t="s">
        <v>163</v>
      </c>
      <c r="G1968" s="12" t="s">
        <v>164</v>
      </c>
      <c r="H1968" s="12" t="s">
        <v>1025</v>
      </c>
      <c r="I1968" s="12" t="s">
        <v>1026</v>
      </c>
    </row>
    <row r="1969" spans="1:9">
      <c r="A1969" s="14">
        <v>12164</v>
      </c>
      <c r="B1969" s="14" t="s">
        <v>524</v>
      </c>
      <c r="C1969" s="12" t="s">
        <v>185</v>
      </c>
      <c r="D1969" s="15" t="str">
        <f t="shared" si="30"/>
        <v>The Govt. of Bermuda - TPA - TPS</v>
      </c>
      <c r="E1969" s="12" t="s">
        <v>126</v>
      </c>
      <c r="F1969" s="12" t="s">
        <v>163</v>
      </c>
      <c r="G1969" s="12" t="s">
        <v>164</v>
      </c>
      <c r="H1969" s="12" t="s">
        <v>1025</v>
      </c>
      <c r="I1969" s="12" t="s">
        <v>1026</v>
      </c>
    </row>
    <row r="1970" spans="1:9">
      <c r="A1970" s="14">
        <v>95504</v>
      </c>
      <c r="B1970" s="14" t="s">
        <v>983</v>
      </c>
      <c r="C1970" s="12" t="s">
        <v>129</v>
      </c>
      <c r="D1970" s="15" t="str">
        <f t="shared" si="30"/>
        <v>Threat, Vulnerablity &amp; Inciden - MGT</v>
      </c>
      <c r="E1970" s="12" t="s">
        <v>117</v>
      </c>
      <c r="F1970" s="12" t="s">
        <v>117</v>
      </c>
      <c r="G1970" s="12" t="s">
        <v>117</v>
      </c>
      <c r="H1970" s="12" t="s">
        <v>1025</v>
      </c>
      <c r="I1970" s="12" t="s">
        <v>1026</v>
      </c>
    </row>
    <row r="1971" spans="1:9">
      <c r="A1971" s="14">
        <v>95504</v>
      </c>
      <c r="B1971" s="14" t="s">
        <v>983</v>
      </c>
      <c r="C1971" s="12" t="s">
        <v>134</v>
      </c>
      <c r="D1971" s="15" t="str">
        <f t="shared" si="30"/>
        <v>Threat, Vulnerablity &amp; Inciden - SEC</v>
      </c>
      <c r="E1971" s="12" t="s">
        <v>117</v>
      </c>
      <c r="F1971" s="12" t="s">
        <v>117</v>
      </c>
      <c r="G1971" s="12" t="s">
        <v>117</v>
      </c>
      <c r="H1971" s="12" t="s">
        <v>1025</v>
      </c>
      <c r="I1971" s="12" t="s">
        <v>1026</v>
      </c>
    </row>
    <row r="1972" spans="1:9">
      <c r="A1972" s="14">
        <v>95504</v>
      </c>
      <c r="B1972" s="14" t="s">
        <v>983</v>
      </c>
      <c r="C1972" s="12" t="s">
        <v>145</v>
      </c>
      <c r="D1972" s="15" t="str">
        <f t="shared" si="30"/>
        <v>Threat, Vulnerablity &amp; Inciden - SUP</v>
      </c>
      <c r="E1972" s="12" t="s">
        <v>117</v>
      </c>
      <c r="F1972" s="12" t="s">
        <v>117</v>
      </c>
      <c r="G1972" s="12" t="s">
        <v>117</v>
      </c>
      <c r="H1972" s="12" t="s">
        <v>1025</v>
      </c>
      <c r="I1972" s="12" t="s">
        <v>1026</v>
      </c>
    </row>
    <row r="1973" spans="1:9">
      <c r="A1973" s="14">
        <v>95504</v>
      </c>
      <c r="B1973" s="14" t="s">
        <v>983</v>
      </c>
      <c r="C1973" s="12" t="s">
        <v>180</v>
      </c>
      <c r="D1973" s="15" t="str">
        <f t="shared" si="30"/>
        <v>Threat, Vulnerablity &amp; Inciden - TMG</v>
      </c>
      <c r="E1973" s="12" t="s">
        <v>117</v>
      </c>
      <c r="F1973" s="12" t="s">
        <v>117</v>
      </c>
      <c r="G1973" s="12" t="s">
        <v>117</v>
      </c>
      <c r="H1973" s="12" t="s">
        <v>1025</v>
      </c>
      <c r="I1973" s="12" t="s">
        <v>1026</v>
      </c>
    </row>
    <row r="1974" spans="1:9">
      <c r="A1974" s="14">
        <v>10905</v>
      </c>
      <c r="B1974" s="14" t="s">
        <v>450</v>
      </c>
      <c r="C1974" s="12" t="s">
        <v>161</v>
      </c>
      <c r="D1974" s="15" t="str">
        <f t="shared" si="30"/>
        <v>T-Mobile Messaging - Chennai - ECC</v>
      </c>
      <c r="E1974" s="12" t="s">
        <v>126</v>
      </c>
      <c r="F1974" s="12" t="s">
        <v>178</v>
      </c>
      <c r="G1974" s="12" t="s">
        <v>128</v>
      </c>
      <c r="H1974" s="12" t="s">
        <v>1025</v>
      </c>
      <c r="I1974" s="12" t="s">
        <v>1026</v>
      </c>
    </row>
    <row r="1975" spans="1:9">
      <c r="A1975" s="14">
        <v>89008</v>
      </c>
      <c r="B1975" s="14" t="s">
        <v>922</v>
      </c>
      <c r="C1975" s="12" t="s">
        <v>161</v>
      </c>
      <c r="D1975" s="15" t="str">
        <f t="shared" si="30"/>
        <v>Tracfone wireless Inc - ECC</v>
      </c>
      <c r="E1975" s="12" t="s">
        <v>117</v>
      </c>
      <c r="F1975" s="12" t="s">
        <v>117</v>
      </c>
      <c r="G1975" s="12" t="s">
        <v>117</v>
      </c>
      <c r="H1975" s="12" t="s">
        <v>1025</v>
      </c>
      <c r="I1975" s="12" t="s">
        <v>1026</v>
      </c>
    </row>
    <row r="1976" spans="1:9">
      <c r="A1976" s="14">
        <v>89008</v>
      </c>
      <c r="B1976" s="14" t="s">
        <v>922</v>
      </c>
      <c r="C1976" s="12" t="s">
        <v>145</v>
      </c>
      <c r="D1976" s="15" t="str">
        <f t="shared" si="30"/>
        <v>Tracfone wireless Inc - SUP</v>
      </c>
      <c r="E1976" s="12" t="s">
        <v>117</v>
      </c>
      <c r="F1976" s="12" t="s">
        <v>117</v>
      </c>
      <c r="G1976" s="12" t="s">
        <v>117</v>
      </c>
      <c r="H1976" s="12" t="s">
        <v>1025</v>
      </c>
      <c r="I1976" s="12" t="s">
        <v>1026</v>
      </c>
    </row>
    <row r="1977" spans="1:9">
      <c r="A1977" s="14">
        <v>51339</v>
      </c>
      <c r="B1977" s="14" t="s">
        <v>772</v>
      </c>
      <c r="C1977" s="12" t="s">
        <v>116</v>
      </c>
      <c r="D1977" s="15" t="str">
        <f t="shared" si="30"/>
        <v>Tracfone_DataMonetization - PRD</v>
      </c>
      <c r="E1977" s="12" t="s">
        <v>117</v>
      </c>
      <c r="F1977" s="12" t="s">
        <v>117</v>
      </c>
      <c r="G1977" s="12" t="s">
        <v>117</v>
      </c>
      <c r="H1977" s="12" t="s">
        <v>1025</v>
      </c>
      <c r="I1977" s="12" t="s">
        <v>1026</v>
      </c>
    </row>
    <row r="1978" spans="1:9">
      <c r="A1978" s="14">
        <v>51340</v>
      </c>
      <c r="B1978" s="14" t="s">
        <v>773</v>
      </c>
      <c r="C1978" s="12" t="s">
        <v>116</v>
      </c>
      <c r="D1978" s="15" t="str">
        <f t="shared" si="30"/>
        <v>Tracfone-AccountingAutomation - PRD</v>
      </c>
      <c r="E1978" s="12" t="s">
        <v>117</v>
      </c>
      <c r="F1978" s="12" t="s">
        <v>117</v>
      </c>
      <c r="G1978" s="12" t="s">
        <v>117</v>
      </c>
      <c r="H1978" s="12" t="s">
        <v>1025</v>
      </c>
      <c r="I1978" s="12" t="s">
        <v>1026</v>
      </c>
    </row>
    <row r="1979" spans="1:9">
      <c r="A1979" s="14">
        <v>51453</v>
      </c>
      <c r="B1979" s="14" t="s">
        <v>804</v>
      </c>
      <c r="C1979" s="12" t="s">
        <v>116</v>
      </c>
      <c r="D1979" s="15" t="str">
        <f t="shared" si="30"/>
        <v>TracFone-BAU - PRD</v>
      </c>
      <c r="E1979" s="12" t="s">
        <v>117</v>
      </c>
      <c r="F1979" s="12" t="s">
        <v>117</v>
      </c>
      <c r="G1979" s="12" t="s">
        <v>117</v>
      </c>
      <c r="H1979" s="12" t="s">
        <v>1025</v>
      </c>
      <c r="I1979" s="12" t="s">
        <v>1026</v>
      </c>
    </row>
    <row r="1980" spans="1:9">
      <c r="A1980" s="14">
        <v>51341</v>
      </c>
      <c r="B1980" s="14" t="s">
        <v>774</v>
      </c>
      <c r="C1980" s="12" t="s">
        <v>116</v>
      </c>
      <c r="D1980" s="15" t="str">
        <f t="shared" si="30"/>
        <v>Tracfone-BlanketSOW-2 - PRD</v>
      </c>
      <c r="E1980" s="12" t="s">
        <v>117</v>
      </c>
      <c r="F1980" s="12" t="s">
        <v>117</v>
      </c>
      <c r="G1980" s="12" t="s">
        <v>117</v>
      </c>
      <c r="H1980" s="12" t="s">
        <v>1025</v>
      </c>
      <c r="I1980" s="12" t="s">
        <v>1026</v>
      </c>
    </row>
    <row r="1981" spans="1:9">
      <c r="A1981" s="14">
        <v>51455</v>
      </c>
      <c r="B1981" s="14" t="s">
        <v>805</v>
      </c>
      <c r="C1981" s="12" t="s">
        <v>193</v>
      </c>
      <c r="D1981" s="15" t="str">
        <f t="shared" si="30"/>
        <v>Tracfone-PDGandServicePlans - DEV</v>
      </c>
      <c r="E1981" s="12" t="s">
        <v>117</v>
      </c>
      <c r="F1981" s="12" t="s">
        <v>117</v>
      </c>
      <c r="G1981" s="12" t="s">
        <v>117</v>
      </c>
      <c r="H1981" s="12" t="s">
        <v>1025</v>
      </c>
      <c r="I1981" s="12" t="s">
        <v>1026</v>
      </c>
    </row>
    <row r="1982" spans="1:9">
      <c r="A1982" s="14">
        <v>51346</v>
      </c>
      <c r="B1982" s="14" t="s">
        <v>775</v>
      </c>
      <c r="C1982" s="12" t="s">
        <v>116</v>
      </c>
      <c r="D1982" s="15" t="str">
        <f t="shared" si="30"/>
        <v>Tracfone-QAIncognitos - PRD</v>
      </c>
      <c r="E1982" s="12" t="s">
        <v>117</v>
      </c>
      <c r="F1982" s="12" t="s">
        <v>117</v>
      </c>
      <c r="G1982" s="12" t="s">
        <v>117</v>
      </c>
      <c r="H1982" s="12" t="s">
        <v>1025</v>
      </c>
      <c r="I1982" s="12" t="s">
        <v>1026</v>
      </c>
    </row>
    <row r="1983" spans="1:9">
      <c r="A1983" s="14">
        <v>51456</v>
      </c>
      <c r="B1983" s="14" t="s">
        <v>806</v>
      </c>
      <c r="C1983" s="12" t="s">
        <v>116</v>
      </c>
      <c r="D1983" s="15" t="str">
        <f t="shared" si="30"/>
        <v>TracFone-QE1ManagedServices - PRD</v>
      </c>
      <c r="E1983" s="12" t="s">
        <v>117</v>
      </c>
      <c r="F1983" s="12" t="s">
        <v>117</v>
      </c>
      <c r="G1983" s="12" t="s">
        <v>117</v>
      </c>
      <c r="H1983" s="12" t="s">
        <v>1025</v>
      </c>
      <c r="I1983" s="12" t="s">
        <v>1026</v>
      </c>
    </row>
    <row r="1984" spans="1:9">
      <c r="A1984" s="12">
        <v>51457</v>
      </c>
      <c r="B1984" s="14" t="s">
        <v>807</v>
      </c>
      <c r="C1984" s="12" t="s">
        <v>193</v>
      </c>
      <c r="D1984" s="15" t="str">
        <f t="shared" si="30"/>
        <v>TracFone-QE2ManagedServices - DEV</v>
      </c>
      <c r="E1984" s="12" t="s">
        <v>117</v>
      </c>
      <c r="F1984" s="12" t="s">
        <v>117</v>
      </c>
      <c r="G1984" s="12" t="s">
        <v>117</v>
      </c>
      <c r="H1984" s="12" t="s">
        <v>1025</v>
      </c>
      <c r="I1984" s="12" t="s">
        <v>1026</v>
      </c>
    </row>
    <row r="1985" spans="1:9">
      <c r="A1985" s="14">
        <v>51457</v>
      </c>
      <c r="B1985" s="14" t="s">
        <v>807</v>
      </c>
      <c r="C1985" s="12" t="s">
        <v>193</v>
      </c>
      <c r="D1985" s="15" t="str">
        <f t="shared" si="30"/>
        <v>TracFone-QE2ManagedServices - DEV</v>
      </c>
      <c r="E1985" s="12" t="s">
        <v>117</v>
      </c>
      <c r="F1985" s="12" t="s">
        <v>117</v>
      </c>
      <c r="G1985" s="12" t="s">
        <v>117</v>
      </c>
      <c r="H1985" s="12" t="s">
        <v>1025</v>
      </c>
      <c r="I1985" s="12" t="s">
        <v>1026</v>
      </c>
    </row>
    <row r="1986" spans="1:9">
      <c r="A1986" s="14">
        <v>51419</v>
      </c>
      <c r="B1986" s="14" t="s">
        <v>782</v>
      </c>
      <c r="C1986" s="12" t="s">
        <v>116</v>
      </c>
      <c r="D1986" s="15" t="str">
        <f t="shared" ref="D1986:D2049" si="31">B1986&amp;" - "&amp;C1986</f>
        <v>Tracfone-Sailpoint - PRD</v>
      </c>
      <c r="E1986" s="12" t="s">
        <v>117</v>
      </c>
      <c r="F1986" s="12" t="s">
        <v>117</v>
      </c>
      <c r="G1986" s="12" t="s">
        <v>117</v>
      </c>
      <c r="H1986" s="12" t="s">
        <v>1025</v>
      </c>
      <c r="I1986" s="12" t="s">
        <v>1026</v>
      </c>
    </row>
    <row r="1987" spans="1:9">
      <c r="A1987" s="14">
        <v>51349</v>
      </c>
      <c r="B1987" s="14" t="s">
        <v>776</v>
      </c>
      <c r="C1987" s="12" t="s">
        <v>116</v>
      </c>
      <c r="D1987" s="15" t="str">
        <f t="shared" si="31"/>
        <v>Tracfone-ServiceTransfer - PRD</v>
      </c>
      <c r="E1987" s="12" t="s">
        <v>117</v>
      </c>
      <c r="F1987" s="12" t="s">
        <v>117</v>
      </c>
      <c r="G1987" s="12" t="s">
        <v>117</v>
      </c>
      <c r="H1987" s="12" t="s">
        <v>1025</v>
      </c>
      <c r="I1987" s="12" t="s">
        <v>1026</v>
      </c>
    </row>
    <row r="1988" spans="1:9">
      <c r="A1988" s="14">
        <v>97300</v>
      </c>
      <c r="B1988" s="14" t="s">
        <v>984</v>
      </c>
      <c r="C1988" s="12" t="s">
        <v>133</v>
      </c>
      <c r="D1988" s="15" t="str">
        <f t="shared" si="31"/>
        <v>Training - COL - AMG</v>
      </c>
      <c r="E1988" s="12" t="s">
        <v>104</v>
      </c>
      <c r="F1988" s="12" t="s">
        <v>370</v>
      </c>
      <c r="G1988" s="12" t="s">
        <v>205</v>
      </c>
      <c r="H1988" s="12" t="s">
        <v>1025</v>
      </c>
      <c r="I1988" s="12" t="s">
        <v>1026</v>
      </c>
    </row>
    <row r="1989" spans="1:9">
      <c r="A1989" s="14">
        <v>97300</v>
      </c>
      <c r="B1989" s="14" t="s">
        <v>984</v>
      </c>
      <c r="C1989" s="12" t="s">
        <v>352</v>
      </c>
      <c r="D1989" s="15" t="str">
        <f t="shared" si="31"/>
        <v>Training - COL - EAT</v>
      </c>
      <c r="E1989" s="12" t="s">
        <v>104</v>
      </c>
      <c r="F1989" s="12" t="s">
        <v>370</v>
      </c>
      <c r="G1989" s="12" t="s">
        <v>205</v>
      </c>
      <c r="H1989" s="12" t="s">
        <v>1025</v>
      </c>
      <c r="I1989" s="12" t="s">
        <v>1026</v>
      </c>
    </row>
    <row r="1990" spans="1:9">
      <c r="A1990" s="14">
        <v>97300</v>
      </c>
      <c r="B1990" s="14" t="s">
        <v>984</v>
      </c>
      <c r="C1990" s="12" t="s">
        <v>129</v>
      </c>
      <c r="D1990" s="15" t="str">
        <f t="shared" si="31"/>
        <v>Training - COL - MGT</v>
      </c>
      <c r="E1990" s="12" t="s">
        <v>104</v>
      </c>
      <c r="F1990" s="12" t="s">
        <v>370</v>
      </c>
      <c r="G1990" s="12" t="s">
        <v>205</v>
      </c>
      <c r="H1990" s="12" t="s">
        <v>1025</v>
      </c>
      <c r="I1990" s="12" t="s">
        <v>1026</v>
      </c>
    </row>
    <row r="1991" spans="1:9">
      <c r="A1991" s="14">
        <v>97300</v>
      </c>
      <c r="B1991" s="14" t="s">
        <v>984</v>
      </c>
      <c r="C1991" s="12" t="s">
        <v>116</v>
      </c>
      <c r="D1991" s="15" t="str">
        <f t="shared" si="31"/>
        <v>Training - COL - PRD</v>
      </c>
      <c r="E1991" s="12" t="s">
        <v>104</v>
      </c>
      <c r="F1991" s="12" t="s">
        <v>370</v>
      </c>
      <c r="G1991" s="12" t="s">
        <v>205</v>
      </c>
      <c r="H1991" s="12" t="s">
        <v>1025</v>
      </c>
      <c r="I1991" s="12" t="s">
        <v>1026</v>
      </c>
    </row>
    <row r="1992" spans="1:9">
      <c r="A1992" s="14">
        <v>97300</v>
      </c>
      <c r="B1992" s="14" t="s">
        <v>984</v>
      </c>
      <c r="C1992" s="12" t="s">
        <v>139</v>
      </c>
      <c r="D1992" s="15" t="str">
        <f t="shared" si="31"/>
        <v>Training - COL - SMGT</v>
      </c>
      <c r="E1992" s="12" t="s">
        <v>104</v>
      </c>
      <c r="F1992" s="12" t="s">
        <v>370</v>
      </c>
      <c r="G1992" s="12" t="s">
        <v>205</v>
      </c>
      <c r="H1992" s="12" t="s">
        <v>1025</v>
      </c>
      <c r="I1992" s="12" t="s">
        <v>1026</v>
      </c>
    </row>
    <row r="1993" spans="1:9">
      <c r="A1993" s="14">
        <v>97300</v>
      </c>
      <c r="B1993" s="14" t="s">
        <v>984</v>
      </c>
      <c r="C1993" s="12" t="s">
        <v>145</v>
      </c>
      <c r="D1993" s="15" t="str">
        <f t="shared" si="31"/>
        <v>Training - COL - SUP</v>
      </c>
      <c r="E1993" s="12" t="s">
        <v>104</v>
      </c>
      <c r="F1993" s="12" t="s">
        <v>370</v>
      </c>
      <c r="G1993" s="12" t="s">
        <v>205</v>
      </c>
      <c r="H1993" s="12" t="s">
        <v>1025</v>
      </c>
      <c r="I1993" s="12" t="s">
        <v>1026</v>
      </c>
    </row>
    <row r="1994" spans="1:9">
      <c r="A1994" s="14">
        <v>97300</v>
      </c>
      <c r="B1994" s="14" t="s">
        <v>984</v>
      </c>
      <c r="C1994" s="12" t="s">
        <v>198</v>
      </c>
      <c r="D1994" s="15" t="str">
        <f t="shared" si="31"/>
        <v>Training - COL - TEC</v>
      </c>
      <c r="E1994" s="12" t="s">
        <v>104</v>
      </c>
      <c r="F1994" s="12" t="s">
        <v>370</v>
      </c>
      <c r="G1994" s="12" t="s">
        <v>205</v>
      </c>
      <c r="H1994" s="12" t="s">
        <v>1025</v>
      </c>
      <c r="I1994" s="12" t="s">
        <v>1026</v>
      </c>
    </row>
    <row r="1995" spans="1:9">
      <c r="A1995" s="14">
        <v>97300</v>
      </c>
      <c r="B1995" s="14" t="s">
        <v>984</v>
      </c>
      <c r="C1995" s="12" t="s">
        <v>180</v>
      </c>
      <c r="D1995" s="15" t="str">
        <f t="shared" si="31"/>
        <v>Training - COL - TMG</v>
      </c>
      <c r="E1995" s="12" t="s">
        <v>104</v>
      </c>
      <c r="F1995" s="12" t="s">
        <v>370</v>
      </c>
      <c r="G1995" s="12" t="s">
        <v>205</v>
      </c>
      <c r="H1995" s="12" t="s">
        <v>1025</v>
      </c>
      <c r="I1995" s="12" t="s">
        <v>1026</v>
      </c>
    </row>
    <row r="1996" spans="1:9">
      <c r="A1996" s="14">
        <v>97300</v>
      </c>
      <c r="B1996" s="14" t="s">
        <v>984</v>
      </c>
      <c r="C1996" s="12" t="s">
        <v>203</v>
      </c>
      <c r="D1996" s="15" t="str">
        <f t="shared" si="31"/>
        <v>Training - COL - TRG</v>
      </c>
      <c r="E1996" s="12" t="s">
        <v>104</v>
      </c>
      <c r="F1996" s="12" t="s">
        <v>370</v>
      </c>
      <c r="G1996" s="12" t="s">
        <v>205</v>
      </c>
      <c r="H1996" s="12" t="s">
        <v>1025</v>
      </c>
      <c r="I1996" s="12" t="s">
        <v>1026</v>
      </c>
    </row>
    <row r="1997" spans="1:9">
      <c r="A1997" s="14">
        <v>97300</v>
      </c>
      <c r="B1997" s="14" t="s">
        <v>984</v>
      </c>
      <c r="C1997" s="12" t="s">
        <v>546</v>
      </c>
      <c r="D1997" s="15" t="str">
        <f t="shared" si="31"/>
        <v>Training - COL - TRN</v>
      </c>
      <c r="E1997" s="12" t="s">
        <v>104</v>
      </c>
      <c r="F1997" s="12" t="s">
        <v>370</v>
      </c>
      <c r="G1997" s="12" t="s">
        <v>205</v>
      </c>
      <c r="H1997" s="12" t="s">
        <v>1025</v>
      </c>
      <c r="I1997" s="12" t="s">
        <v>1026</v>
      </c>
    </row>
    <row r="1998" spans="1:9">
      <c r="A1998" s="14">
        <v>97300</v>
      </c>
      <c r="B1998" s="14" t="s">
        <v>984</v>
      </c>
      <c r="C1998" s="12" t="s">
        <v>208</v>
      </c>
      <c r="D1998" s="15" t="str">
        <f t="shared" si="31"/>
        <v>Training - COL - TTR</v>
      </c>
      <c r="E1998" s="12" t="s">
        <v>104</v>
      </c>
      <c r="F1998" s="12" t="s">
        <v>370</v>
      </c>
      <c r="G1998" s="12" t="s">
        <v>205</v>
      </c>
      <c r="H1998" s="12" t="s">
        <v>1025</v>
      </c>
      <c r="I1998" s="12" t="s">
        <v>1026</v>
      </c>
    </row>
    <row r="1999" spans="1:9">
      <c r="A1999" s="14">
        <v>97302</v>
      </c>
      <c r="B1999" s="14" t="s">
        <v>987</v>
      </c>
      <c r="C1999" s="12" t="s">
        <v>129</v>
      </c>
      <c r="D1999" s="15" t="str">
        <f t="shared" si="31"/>
        <v>Training - Corporate - MGT</v>
      </c>
      <c r="E1999" s="12" t="s">
        <v>104</v>
      </c>
      <c r="F1999" s="12" t="s">
        <v>204</v>
      </c>
      <c r="G1999" s="12" t="s">
        <v>205</v>
      </c>
      <c r="H1999" s="12" t="s">
        <v>1025</v>
      </c>
      <c r="I1999" s="12" t="s">
        <v>1026</v>
      </c>
    </row>
    <row r="2000" spans="1:9">
      <c r="A2000" s="14">
        <v>97302</v>
      </c>
      <c r="B2000" s="14" t="s">
        <v>987</v>
      </c>
      <c r="C2000" s="12" t="s">
        <v>139</v>
      </c>
      <c r="D2000" s="15" t="str">
        <f t="shared" si="31"/>
        <v>Training - Corporate - SMGT</v>
      </c>
      <c r="E2000" s="12" t="s">
        <v>104</v>
      </c>
      <c r="F2000" s="12" t="s">
        <v>204</v>
      </c>
      <c r="G2000" s="12" t="s">
        <v>205</v>
      </c>
      <c r="H2000" s="12" t="s">
        <v>1025</v>
      </c>
      <c r="I2000" s="12" t="s">
        <v>1026</v>
      </c>
    </row>
    <row r="2001" spans="1:9">
      <c r="A2001" s="14">
        <v>97302</v>
      </c>
      <c r="B2001" s="14" t="s">
        <v>987</v>
      </c>
      <c r="C2001" s="12" t="s">
        <v>145</v>
      </c>
      <c r="D2001" s="15" t="str">
        <f t="shared" si="31"/>
        <v>Training - Corporate - SUP</v>
      </c>
      <c r="E2001" s="12" t="s">
        <v>104</v>
      </c>
      <c r="F2001" s="12" t="s">
        <v>204</v>
      </c>
      <c r="G2001" s="12" t="s">
        <v>205</v>
      </c>
      <c r="H2001" s="12" t="s">
        <v>1025</v>
      </c>
      <c r="I2001" s="12" t="s">
        <v>1026</v>
      </c>
    </row>
    <row r="2002" spans="1:9">
      <c r="A2002" s="14">
        <v>97302</v>
      </c>
      <c r="B2002" s="14" t="s">
        <v>987</v>
      </c>
      <c r="C2002" s="12" t="s">
        <v>863</v>
      </c>
      <c r="D2002" s="15" t="str">
        <f t="shared" si="31"/>
        <v>Training - Corporate - TRA</v>
      </c>
      <c r="E2002" s="12" t="s">
        <v>104</v>
      </c>
      <c r="F2002" s="12" t="s">
        <v>204</v>
      </c>
      <c r="G2002" s="12" t="s">
        <v>205</v>
      </c>
      <c r="H2002" s="12" t="s">
        <v>1025</v>
      </c>
      <c r="I2002" s="12" t="s">
        <v>1026</v>
      </c>
    </row>
    <row r="2003" spans="1:9">
      <c r="A2003" s="14">
        <v>97302</v>
      </c>
      <c r="B2003" s="14" t="s">
        <v>987</v>
      </c>
      <c r="C2003" s="12" t="s">
        <v>203</v>
      </c>
      <c r="D2003" s="15" t="str">
        <f t="shared" si="31"/>
        <v>Training - Corporate - TRG</v>
      </c>
      <c r="E2003" s="12" t="s">
        <v>104</v>
      </c>
      <c r="F2003" s="12" t="s">
        <v>204</v>
      </c>
      <c r="G2003" s="12" t="s">
        <v>205</v>
      </c>
      <c r="H2003" s="12" t="s">
        <v>1025</v>
      </c>
      <c r="I2003" s="12" t="s">
        <v>1026</v>
      </c>
    </row>
    <row r="2004" spans="1:9">
      <c r="A2004" s="14">
        <v>97302</v>
      </c>
      <c r="B2004" s="14" t="s">
        <v>987</v>
      </c>
      <c r="C2004" s="12" t="s">
        <v>208</v>
      </c>
      <c r="D2004" s="15" t="str">
        <f t="shared" si="31"/>
        <v>Training - Corporate - TTR</v>
      </c>
      <c r="E2004" s="12" t="s">
        <v>104</v>
      </c>
      <c r="F2004" s="12" t="s">
        <v>204</v>
      </c>
      <c r="G2004" s="12" t="s">
        <v>205</v>
      </c>
      <c r="H2004" s="12" t="s">
        <v>1025</v>
      </c>
      <c r="I2004" s="12" t="s">
        <v>1026</v>
      </c>
    </row>
    <row r="2005" spans="1:9">
      <c r="A2005" s="14">
        <v>97316</v>
      </c>
      <c r="B2005" s="14" t="s">
        <v>1010</v>
      </c>
      <c r="C2005" s="12" t="s">
        <v>129</v>
      </c>
      <c r="D2005" s="15" t="str">
        <f t="shared" si="31"/>
        <v>Training - Enterprise - MGT</v>
      </c>
      <c r="E2005" s="12" t="s">
        <v>104</v>
      </c>
      <c r="F2005" s="12" t="s">
        <v>204</v>
      </c>
      <c r="G2005" s="12" t="s">
        <v>205</v>
      </c>
      <c r="H2005" s="12" t="s">
        <v>1025</v>
      </c>
      <c r="I2005" s="12" t="s">
        <v>1026</v>
      </c>
    </row>
    <row r="2006" spans="1:9">
      <c r="A2006" s="14">
        <v>97316</v>
      </c>
      <c r="B2006" s="14" t="s">
        <v>1010</v>
      </c>
      <c r="C2006" s="12" t="s">
        <v>203</v>
      </c>
      <c r="D2006" s="15" t="str">
        <f t="shared" si="31"/>
        <v>Training - Enterprise - TRG</v>
      </c>
      <c r="E2006" s="12" t="s">
        <v>104</v>
      </c>
      <c r="F2006" s="12" t="s">
        <v>204</v>
      </c>
      <c r="G2006" s="12" t="s">
        <v>205</v>
      </c>
      <c r="H2006" s="12" t="s">
        <v>1025</v>
      </c>
      <c r="I2006" s="12" t="s">
        <v>1026</v>
      </c>
    </row>
    <row r="2007" spans="1:9">
      <c r="A2007" s="14">
        <v>97316</v>
      </c>
      <c r="B2007" s="14" t="s">
        <v>1010</v>
      </c>
      <c r="C2007" s="12" t="s">
        <v>546</v>
      </c>
      <c r="D2007" s="15" t="str">
        <f t="shared" si="31"/>
        <v>Training - Enterprise - TRN</v>
      </c>
      <c r="E2007" s="12" t="s">
        <v>104</v>
      </c>
      <c r="F2007" s="12" t="s">
        <v>204</v>
      </c>
      <c r="G2007" s="12" t="s">
        <v>205</v>
      </c>
      <c r="H2007" s="12" t="s">
        <v>1025</v>
      </c>
      <c r="I2007" s="12" t="s">
        <v>1026</v>
      </c>
    </row>
    <row r="2008" spans="1:9">
      <c r="A2008" s="14">
        <v>97316</v>
      </c>
      <c r="B2008" s="14" t="s">
        <v>1010</v>
      </c>
      <c r="C2008" s="12" t="s">
        <v>208</v>
      </c>
      <c r="D2008" s="15" t="str">
        <f t="shared" si="31"/>
        <v>Training - Enterprise - TTR</v>
      </c>
      <c r="E2008" s="12" t="s">
        <v>104</v>
      </c>
      <c r="F2008" s="12" t="s">
        <v>204</v>
      </c>
      <c r="G2008" s="12" t="s">
        <v>205</v>
      </c>
      <c r="H2008" s="12" t="s">
        <v>1025</v>
      </c>
      <c r="I2008" s="12" t="s">
        <v>1026</v>
      </c>
    </row>
    <row r="2009" spans="1:9">
      <c r="A2009" s="14">
        <v>10655</v>
      </c>
      <c r="B2009" s="14" t="s">
        <v>289</v>
      </c>
      <c r="C2009" s="12" t="s">
        <v>133</v>
      </c>
      <c r="D2009" s="15" t="str">
        <f t="shared" si="31"/>
        <v>Transform holding Malad - AMG</v>
      </c>
      <c r="E2009" s="12" t="s">
        <v>126</v>
      </c>
      <c r="F2009" s="12" t="s">
        <v>127</v>
      </c>
      <c r="G2009" s="12" t="s">
        <v>128</v>
      </c>
      <c r="H2009" s="12" t="s">
        <v>1025</v>
      </c>
      <c r="I2009" s="12" t="s">
        <v>1026</v>
      </c>
    </row>
    <row r="2010" spans="1:9">
      <c r="A2010" s="14">
        <v>10655</v>
      </c>
      <c r="B2010" s="14" t="s">
        <v>289</v>
      </c>
      <c r="C2010" s="12" t="s">
        <v>116</v>
      </c>
      <c r="D2010" s="15" t="str">
        <f t="shared" si="31"/>
        <v>Transform holding Malad - PRD</v>
      </c>
      <c r="E2010" s="12" t="s">
        <v>126</v>
      </c>
      <c r="F2010" s="12" t="s">
        <v>127</v>
      </c>
      <c r="G2010" s="12" t="s">
        <v>128</v>
      </c>
      <c r="H2010" s="12" t="s">
        <v>1025</v>
      </c>
      <c r="I2010" s="12" t="s">
        <v>1026</v>
      </c>
    </row>
    <row r="2011" spans="1:9">
      <c r="A2011" s="14">
        <v>10655</v>
      </c>
      <c r="B2011" s="14" t="s">
        <v>289</v>
      </c>
      <c r="C2011" s="12" t="s">
        <v>230</v>
      </c>
      <c r="D2011" s="15" t="str">
        <f t="shared" si="31"/>
        <v>Transform holding Malad - PRSP</v>
      </c>
      <c r="E2011" s="12" t="s">
        <v>126</v>
      </c>
      <c r="F2011" s="12" t="s">
        <v>127</v>
      </c>
      <c r="G2011" s="12" t="s">
        <v>128</v>
      </c>
      <c r="H2011" s="12" t="s">
        <v>1025</v>
      </c>
      <c r="I2011" s="12" t="s">
        <v>1026</v>
      </c>
    </row>
    <row r="2012" spans="1:9">
      <c r="A2012" s="14">
        <v>10655</v>
      </c>
      <c r="B2012" s="14" t="s">
        <v>289</v>
      </c>
      <c r="C2012" s="12" t="s">
        <v>451</v>
      </c>
      <c r="D2012" s="15" t="str">
        <f t="shared" si="31"/>
        <v>Transform holding Malad - SLS</v>
      </c>
      <c r="E2012" s="12" t="s">
        <v>126</v>
      </c>
      <c r="F2012" s="12" t="s">
        <v>127</v>
      </c>
      <c r="G2012" s="12" t="s">
        <v>128</v>
      </c>
      <c r="H2012" s="12" t="s">
        <v>1025</v>
      </c>
      <c r="I2012" s="12" t="s">
        <v>1026</v>
      </c>
    </row>
    <row r="2013" spans="1:9">
      <c r="A2013" s="14">
        <v>10655</v>
      </c>
      <c r="B2013" s="14" t="s">
        <v>289</v>
      </c>
      <c r="C2013" s="12" t="s">
        <v>172</v>
      </c>
      <c r="D2013" s="15" t="str">
        <f t="shared" si="31"/>
        <v>Transform holding Malad - SME</v>
      </c>
      <c r="E2013" s="12" t="s">
        <v>126</v>
      </c>
      <c r="F2013" s="12" t="s">
        <v>127</v>
      </c>
      <c r="G2013" s="12" t="s">
        <v>128</v>
      </c>
      <c r="H2013" s="12" t="s">
        <v>1025</v>
      </c>
      <c r="I2013" s="12" t="s">
        <v>1026</v>
      </c>
    </row>
    <row r="2014" spans="1:9">
      <c r="A2014" s="14">
        <v>10655</v>
      </c>
      <c r="B2014" s="14" t="s">
        <v>289</v>
      </c>
      <c r="C2014" s="12" t="s">
        <v>145</v>
      </c>
      <c r="D2014" s="15" t="str">
        <f t="shared" si="31"/>
        <v>Transform holding Malad - SUP</v>
      </c>
      <c r="E2014" s="12" t="s">
        <v>126</v>
      </c>
      <c r="F2014" s="12" t="s">
        <v>127</v>
      </c>
      <c r="G2014" s="12" t="s">
        <v>128</v>
      </c>
      <c r="H2014" s="12" t="s">
        <v>1025</v>
      </c>
      <c r="I2014" s="12" t="s">
        <v>1026</v>
      </c>
    </row>
    <row r="2015" spans="1:9">
      <c r="A2015" s="14">
        <v>10655</v>
      </c>
      <c r="B2015" s="14" t="s">
        <v>289</v>
      </c>
      <c r="C2015" s="12" t="s">
        <v>180</v>
      </c>
      <c r="D2015" s="15" t="str">
        <f t="shared" si="31"/>
        <v>Transform holding Malad - TMG</v>
      </c>
      <c r="E2015" s="12" t="s">
        <v>126</v>
      </c>
      <c r="F2015" s="12" t="s">
        <v>127</v>
      </c>
      <c r="G2015" s="12" t="s">
        <v>128</v>
      </c>
      <c r="H2015" s="12" t="s">
        <v>1025</v>
      </c>
      <c r="I2015" s="12" t="s">
        <v>1026</v>
      </c>
    </row>
    <row r="2016" spans="1:9">
      <c r="A2016" s="14">
        <v>10655</v>
      </c>
      <c r="B2016" s="14" t="s">
        <v>289</v>
      </c>
      <c r="C2016" s="12" t="s">
        <v>657</v>
      </c>
      <c r="D2016" s="15" t="str">
        <f t="shared" si="31"/>
        <v>Transform holding Malad - TRAINR</v>
      </c>
      <c r="E2016" s="12" t="s">
        <v>112</v>
      </c>
      <c r="F2016" s="12" t="s">
        <v>204</v>
      </c>
      <c r="G2016" s="12" t="s">
        <v>205</v>
      </c>
      <c r="H2016" s="12" t="s">
        <v>1025</v>
      </c>
      <c r="I2016" s="12" t="s">
        <v>1026</v>
      </c>
    </row>
    <row r="2017" spans="1:9">
      <c r="A2017" s="14">
        <v>82014</v>
      </c>
      <c r="B2017" s="14" t="s">
        <v>870</v>
      </c>
      <c r="C2017" s="12" t="s">
        <v>145</v>
      </c>
      <c r="D2017" s="15" t="str">
        <f t="shared" si="31"/>
        <v>Translation Product - SUP</v>
      </c>
      <c r="E2017" s="12" t="s">
        <v>104</v>
      </c>
      <c r="F2017" s="12" t="s">
        <v>117</v>
      </c>
      <c r="G2017" s="12" t="s">
        <v>117</v>
      </c>
      <c r="H2017" s="12" t="s">
        <v>1025</v>
      </c>
      <c r="I2017" s="12" t="s">
        <v>1026</v>
      </c>
    </row>
    <row r="2018" spans="1:9">
      <c r="A2018" s="14">
        <v>10691</v>
      </c>
      <c r="B2018" s="14" t="s">
        <v>309</v>
      </c>
      <c r="C2018" s="12" t="s">
        <v>138</v>
      </c>
      <c r="D2018" s="15" t="str">
        <f t="shared" si="31"/>
        <v>Transom Capital Digital Fin - BOS</v>
      </c>
      <c r="E2018" s="12" t="s">
        <v>126</v>
      </c>
      <c r="F2018" s="12" t="s">
        <v>163</v>
      </c>
      <c r="G2018" s="12" t="s">
        <v>164</v>
      </c>
      <c r="H2018" s="12" t="s">
        <v>1025</v>
      </c>
      <c r="I2018" s="12" t="s">
        <v>1026</v>
      </c>
    </row>
    <row r="2019" spans="1:9">
      <c r="A2019" s="14">
        <v>10691</v>
      </c>
      <c r="B2019" s="14" t="s">
        <v>309</v>
      </c>
      <c r="C2019" s="12" t="s">
        <v>306</v>
      </c>
      <c r="D2019" s="15" t="str">
        <f t="shared" si="31"/>
        <v>Transom Capital Digital Fin - FAO</v>
      </c>
      <c r="E2019" s="12" t="s">
        <v>126</v>
      </c>
      <c r="F2019" s="12" t="s">
        <v>163</v>
      </c>
      <c r="G2019" s="12" t="s">
        <v>164</v>
      </c>
      <c r="H2019" s="12" t="s">
        <v>1025</v>
      </c>
      <c r="I2019" s="12" t="s">
        <v>1026</v>
      </c>
    </row>
    <row r="2020" spans="1:9">
      <c r="A2020" s="14">
        <v>10691</v>
      </c>
      <c r="B2020" s="14" t="s">
        <v>309</v>
      </c>
      <c r="C2020" s="12" t="s">
        <v>185</v>
      </c>
      <c r="D2020" s="15" t="str">
        <f t="shared" si="31"/>
        <v>Transom Capital Digital Fin - TPS</v>
      </c>
      <c r="E2020" s="12" t="s">
        <v>126</v>
      </c>
      <c r="F2020" s="12" t="s">
        <v>163</v>
      </c>
      <c r="G2020" s="12" t="s">
        <v>164</v>
      </c>
      <c r="H2020" s="12" t="s">
        <v>1025</v>
      </c>
      <c r="I2020" s="12" t="s">
        <v>1026</v>
      </c>
    </row>
    <row r="2021" spans="1:9">
      <c r="A2021" s="14">
        <v>88029</v>
      </c>
      <c r="B2021" s="14" t="s">
        <v>910</v>
      </c>
      <c r="C2021" s="12" t="s">
        <v>133</v>
      </c>
      <c r="D2021" s="15" t="str">
        <f t="shared" si="31"/>
        <v>Travel Common - AMG</v>
      </c>
      <c r="E2021" s="12" t="s">
        <v>126</v>
      </c>
      <c r="F2021" s="12" t="s">
        <v>163</v>
      </c>
      <c r="G2021" s="12" t="s">
        <v>164</v>
      </c>
      <c r="H2021" s="12" t="s">
        <v>1025</v>
      </c>
      <c r="I2021" s="12" t="s">
        <v>1026</v>
      </c>
    </row>
    <row r="2022" spans="1:9">
      <c r="A2022" s="14">
        <v>88029</v>
      </c>
      <c r="B2022" s="14" t="s">
        <v>910</v>
      </c>
      <c r="C2022" s="12" t="s">
        <v>129</v>
      </c>
      <c r="D2022" s="15" t="str">
        <f t="shared" si="31"/>
        <v>Travel Common - MGT</v>
      </c>
      <c r="E2022" s="12" t="s">
        <v>126</v>
      </c>
      <c r="F2022" s="12" t="s">
        <v>163</v>
      </c>
      <c r="G2022" s="12" t="s">
        <v>164</v>
      </c>
      <c r="H2022" s="12" t="s">
        <v>1025</v>
      </c>
      <c r="I2022" s="12" t="s">
        <v>1026</v>
      </c>
    </row>
    <row r="2023" spans="1:9">
      <c r="A2023" s="14">
        <v>88029</v>
      </c>
      <c r="B2023" s="14" t="s">
        <v>910</v>
      </c>
      <c r="C2023" s="12" t="s">
        <v>116</v>
      </c>
      <c r="D2023" s="15" t="str">
        <f t="shared" si="31"/>
        <v>Travel Common - PRD</v>
      </c>
      <c r="E2023" s="12" t="s">
        <v>126</v>
      </c>
      <c r="F2023" s="12" t="s">
        <v>163</v>
      </c>
      <c r="G2023" s="12" t="s">
        <v>164</v>
      </c>
      <c r="H2023" s="12" t="s">
        <v>1025</v>
      </c>
      <c r="I2023" s="12" t="s">
        <v>1026</v>
      </c>
    </row>
    <row r="2024" spans="1:9">
      <c r="A2024" s="14">
        <v>88029</v>
      </c>
      <c r="B2024" s="14" t="s">
        <v>910</v>
      </c>
      <c r="C2024" s="12" t="s">
        <v>230</v>
      </c>
      <c r="D2024" s="15" t="str">
        <f t="shared" si="31"/>
        <v>Travel Common - PRSP</v>
      </c>
      <c r="E2024" s="12" t="s">
        <v>126</v>
      </c>
      <c r="F2024" s="12" t="s">
        <v>163</v>
      </c>
      <c r="G2024" s="12" t="s">
        <v>164</v>
      </c>
      <c r="H2024" s="12" t="s">
        <v>1025</v>
      </c>
      <c r="I2024" s="12" t="s">
        <v>1026</v>
      </c>
    </row>
    <row r="2025" spans="1:9">
      <c r="A2025" s="14">
        <v>88029</v>
      </c>
      <c r="B2025" s="14" t="s">
        <v>910</v>
      </c>
      <c r="C2025" s="12" t="s">
        <v>111</v>
      </c>
      <c r="D2025" s="15" t="str">
        <f t="shared" si="31"/>
        <v>Travel Common - QLY</v>
      </c>
      <c r="E2025" s="12" t="s">
        <v>112</v>
      </c>
      <c r="F2025" s="12" t="s">
        <v>113</v>
      </c>
      <c r="G2025" s="12" t="s">
        <v>114</v>
      </c>
      <c r="H2025" s="12" t="s">
        <v>1025</v>
      </c>
      <c r="I2025" s="12" t="s">
        <v>1026</v>
      </c>
    </row>
    <row r="2026" spans="1:9">
      <c r="A2026" s="14">
        <v>88029</v>
      </c>
      <c r="B2026" s="14" t="s">
        <v>910</v>
      </c>
      <c r="C2026" s="12" t="s">
        <v>139</v>
      </c>
      <c r="D2026" s="15" t="str">
        <f t="shared" si="31"/>
        <v>Travel Common - SMGT</v>
      </c>
      <c r="E2026" s="12" t="s">
        <v>126</v>
      </c>
      <c r="F2026" s="12" t="s">
        <v>163</v>
      </c>
      <c r="G2026" s="12" t="s">
        <v>164</v>
      </c>
      <c r="H2026" s="12" t="s">
        <v>1025</v>
      </c>
      <c r="I2026" s="12" t="s">
        <v>1026</v>
      </c>
    </row>
    <row r="2027" spans="1:9">
      <c r="A2027" s="14">
        <v>88029</v>
      </c>
      <c r="B2027" s="14" t="s">
        <v>910</v>
      </c>
      <c r="C2027" s="12" t="s">
        <v>145</v>
      </c>
      <c r="D2027" s="15" t="str">
        <f t="shared" si="31"/>
        <v>Travel Common - SUP</v>
      </c>
      <c r="E2027" s="12" t="s">
        <v>126</v>
      </c>
      <c r="F2027" s="12" t="s">
        <v>163</v>
      </c>
      <c r="G2027" s="12" t="s">
        <v>164</v>
      </c>
      <c r="H2027" s="12" t="s">
        <v>1025</v>
      </c>
      <c r="I2027" s="12" t="s">
        <v>1026</v>
      </c>
    </row>
    <row r="2028" spans="1:9">
      <c r="A2028" s="14">
        <v>88029</v>
      </c>
      <c r="B2028" s="14" t="s">
        <v>910</v>
      </c>
      <c r="C2028" s="12" t="s">
        <v>180</v>
      </c>
      <c r="D2028" s="15" t="str">
        <f t="shared" si="31"/>
        <v>Travel Common - TMG</v>
      </c>
      <c r="E2028" s="12" t="s">
        <v>126</v>
      </c>
      <c r="F2028" s="12" t="s">
        <v>163</v>
      </c>
      <c r="G2028" s="12" t="s">
        <v>164</v>
      </c>
      <c r="H2028" s="12" t="s">
        <v>1025</v>
      </c>
      <c r="I2028" s="12" t="s">
        <v>1026</v>
      </c>
    </row>
    <row r="2029" spans="1:9">
      <c r="A2029" s="14">
        <v>88029</v>
      </c>
      <c r="B2029" s="14" t="s">
        <v>910</v>
      </c>
      <c r="C2029" s="12" t="s">
        <v>185</v>
      </c>
      <c r="D2029" s="15" t="str">
        <f t="shared" si="31"/>
        <v>Travel Common - TPS</v>
      </c>
      <c r="E2029" s="12" t="s">
        <v>126</v>
      </c>
      <c r="F2029" s="12" t="s">
        <v>163</v>
      </c>
      <c r="G2029" s="12" t="s">
        <v>164</v>
      </c>
      <c r="H2029" s="12" t="s">
        <v>1025</v>
      </c>
      <c r="I2029" s="12" t="s">
        <v>1026</v>
      </c>
    </row>
    <row r="2030" spans="1:9">
      <c r="A2030" s="14">
        <v>88029</v>
      </c>
      <c r="B2030" s="14" t="s">
        <v>910</v>
      </c>
      <c r="C2030" s="12" t="s">
        <v>203</v>
      </c>
      <c r="D2030" s="15" t="str">
        <f t="shared" si="31"/>
        <v>Travel Common - TRG</v>
      </c>
      <c r="E2030" s="12" t="s">
        <v>112</v>
      </c>
      <c r="F2030" s="12" t="s">
        <v>204</v>
      </c>
      <c r="G2030" s="12" t="s">
        <v>205</v>
      </c>
      <c r="H2030" s="12" t="s">
        <v>1025</v>
      </c>
      <c r="I2030" s="12" t="s">
        <v>1026</v>
      </c>
    </row>
    <row r="2031" spans="1:9">
      <c r="A2031" s="14">
        <v>88029</v>
      </c>
      <c r="B2031" s="14" t="s">
        <v>910</v>
      </c>
      <c r="C2031" s="12" t="s">
        <v>208</v>
      </c>
      <c r="D2031" s="15" t="str">
        <f t="shared" si="31"/>
        <v>Travel Common - TTR</v>
      </c>
      <c r="E2031" s="12" t="s">
        <v>112</v>
      </c>
      <c r="F2031" s="12" t="s">
        <v>204</v>
      </c>
      <c r="G2031" s="12" t="s">
        <v>205</v>
      </c>
      <c r="H2031" s="12" t="s">
        <v>1025</v>
      </c>
      <c r="I2031" s="12" t="s">
        <v>1026</v>
      </c>
    </row>
    <row r="2032" spans="1:9">
      <c r="A2032" s="14">
        <v>93563</v>
      </c>
      <c r="B2032" s="14" t="s">
        <v>960</v>
      </c>
      <c r="C2032" s="12" t="s">
        <v>129</v>
      </c>
      <c r="D2032" s="15" t="str">
        <f t="shared" si="31"/>
        <v>Travel Sales - MGT</v>
      </c>
      <c r="E2032" s="12" t="s">
        <v>104</v>
      </c>
      <c r="F2032" s="12" t="s">
        <v>303</v>
      </c>
      <c r="G2032" s="12" t="s">
        <v>114</v>
      </c>
      <c r="H2032" s="12" t="s">
        <v>1025</v>
      </c>
      <c r="I2032" s="12" t="s">
        <v>1026</v>
      </c>
    </row>
    <row r="2033" spans="1:9">
      <c r="A2033" s="14">
        <v>93563</v>
      </c>
      <c r="B2033" s="14" t="s">
        <v>960</v>
      </c>
      <c r="C2033" s="12" t="s">
        <v>139</v>
      </c>
      <c r="D2033" s="15" t="str">
        <f t="shared" si="31"/>
        <v>Travel Sales - SMGT</v>
      </c>
      <c r="E2033" s="12" t="s">
        <v>104</v>
      </c>
      <c r="F2033" s="12" t="s">
        <v>303</v>
      </c>
      <c r="G2033" s="12" t="s">
        <v>114</v>
      </c>
      <c r="H2033" s="12" t="s">
        <v>1025</v>
      </c>
      <c r="I2033" s="12" t="s">
        <v>1026</v>
      </c>
    </row>
    <row r="2034" spans="1:9">
      <c r="A2034" s="14">
        <v>82300</v>
      </c>
      <c r="B2034" s="14" t="s">
        <v>877</v>
      </c>
      <c r="C2034" s="12" t="s">
        <v>145</v>
      </c>
      <c r="D2034" s="15" t="str">
        <f t="shared" si="31"/>
        <v>Travel Suite - SUP</v>
      </c>
      <c r="E2034" s="12" t="s">
        <v>104</v>
      </c>
      <c r="F2034" s="12" t="s">
        <v>117</v>
      </c>
      <c r="G2034" s="12" t="s">
        <v>117</v>
      </c>
      <c r="H2034" s="12" t="s">
        <v>1025</v>
      </c>
      <c r="I2034" s="12" t="s">
        <v>1026</v>
      </c>
    </row>
    <row r="2035" spans="1:9">
      <c r="A2035" s="14">
        <v>91118</v>
      </c>
      <c r="B2035" s="14" t="s">
        <v>939</v>
      </c>
      <c r="C2035" s="12" t="s">
        <v>348</v>
      </c>
      <c r="D2035" s="15" t="str">
        <f t="shared" si="31"/>
        <v>Travel Vertical - ADM</v>
      </c>
      <c r="E2035" s="12" t="s">
        <v>117</v>
      </c>
      <c r="F2035" s="12" t="s">
        <v>117</v>
      </c>
      <c r="G2035" s="12" t="s">
        <v>117</v>
      </c>
      <c r="H2035" s="12" t="s">
        <v>1025</v>
      </c>
      <c r="I2035" s="12" t="s">
        <v>1026</v>
      </c>
    </row>
    <row r="2036" spans="1:9">
      <c r="A2036" s="14">
        <v>91118</v>
      </c>
      <c r="B2036" s="14" t="s">
        <v>939</v>
      </c>
      <c r="C2036" s="12" t="s">
        <v>129</v>
      </c>
      <c r="D2036" s="15" t="str">
        <f t="shared" si="31"/>
        <v>Travel Vertical - MGT</v>
      </c>
      <c r="E2036" s="12" t="s">
        <v>117</v>
      </c>
      <c r="F2036" s="12" t="s">
        <v>117</v>
      </c>
      <c r="G2036" s="12" t="s">
        <v>117</v>
      </c>
      <c r="H2036" s="12" t="s">
        <v>1025</v>
      </c>
      <c r="I2036" s="12" t="s">
        <v>1026</v>
      </c>
    </row>
    <row r="2037" spans="1:9">
      <c r="A2037" s="14">
        <v>91118</v>
      </c>
      <c r="B2037" s="14" t="s">
        <v>939</v>
      </c>
      <c r="C2037" s="12" t="s">
        <v>139</v>
      </c>
      <c r="D2037" s="15" t="str">
        <f t="shared" si="31"/>
        <v>Travel Vertical - SMGT</v>
      </c>
      <c r="E2037" s="12" t="s">
        <v>117</v>
      </c>
      <c r="F2037" s="12" t="s">
        <v>117</v>
      </c>
      <c r="G2037" s="12" t="s">
        <v>117</v>
      </c>
      <c r="H2037" s="12" t="s">
        <v>1025</v>
      </c>
      <c r="I2037" s="12" t="s">
        <v>1026</v>
      </c>
    </row>
    <row r="2038" spans="1:9">
      <c r="A2038" s="14">
        <v>91118</v>
      </c>
      <c r="B2038" s="14" t="s">
        <v>939</v>
      </c>
      <c r="C2038" s="12" t="s">
        <v>145</v>
      </c>
      <c r="D2038" s="15" t="str">
        <f t="shared" si="31"/>
        <v>Travel Vertical - SUP</v>
      </c>
      <c r="E2038" s="12" t="s">
        <v>117</v>
      </c>
      <c r="F2038" s="12" t="s">
        <v>117</v>
      </c>
      <c r="G2038" s="12" t="s">
        <v>117</v>
      </c>
      <c r="H2038" s="12" t="s">
        <v>1025</v>
      </c>
      <c r="I2038" s="12" t="s">
        <v>1026</v>
      </c>
    </row>
    <row r="2039" spans="1:9">
      <c r="A2039" s="14">
        <v>10499</v>
      </c>
      <c r="B2039" s="14" t="s">
        <v>252</v>
      </c>
      <c r="C2039" s="12" t="s">
        <v>145</v>
      </c>
      <c r="D2039" s="15" t="str">
        <f t="shared" si="31"/>
        <v>Travel_CX_Audit - SUP</v>
      </c>
      <c r="E2039" s="12" t="s">
        <v>126</v>
      </c>
      <c r="F2039" s="12" t="s">
        <v>163</v>
      </c>
      <c r="G2039" s="12" t="s">
        <v>164</v>
      </c>
      <c r="H2039" s="12" t="s">
        <v>1025</v>
      </c>
      <c r="I2039" s="12" t="s">
        <v>1026</v>
      </c>
    </row>
    <row r="2040" spans="1:9">
      <c r="A2040" s="14">
        <v>10499</v>
      </c>
      <c r="B2040" s="14" t="s">
        <v>252</v>
      </c>
      <c r="C2040" s="12" t="s">
        <v>185</v>
      </c>
      <c r="D2040" s="15" t="str">
        <f t="shared" si="31"/>
        <v>Travel_CX_Audit - TPS</v>
      </c>
      <c r="E2040" s="12" t="s">
        <v>126</v>
      </c>
      <c r="F2040" s="12" t="s">
        <v>163</v>
      </c>
      <c r="G2040" s="12" t="s">
        <v>164</v>
      </c>
      <c r="H2040" s="12" t="s">
        <v>1025</v>
      </c>
      <c r="I2040" s="12" t="s">
        <v>1026</v>
      </c>
    </row>
    <row r="2041" spans="1:9">
      <c r="A2041" s="14">
        <v>40134</v>
      </c>
      <c r="B2041" s="14" t="s">
        <v>674</v>
      </c>
      <c r="C2041" s="12" t="s">
        <v>230</v>
      </c>
      <c r="D2041" s="15" t="str">
        <f t="shared" si="31"/>
        <v>Travel_WY_BIDT - PRSP</v>
      </c>
      <c r="E2041" s="12" t="s">
        <v>126</v>
      </c>
      <c r="F2041" s="12" t="s">
        <v>127</v>
      </c>
      <c r="G2041" s="12" t="s">
        <v>128</v>
      </c>
      <c r="H2041" s="12" t="s">
        <v>1025</v>
      </c>
      <c r="I2041" s="12" t="s">
        <v>1026</v>
      </c>
    </row>
    <row r="2042" spans="1:9">
      <c r="A2042" s="14">
        <v>40134</v>
      </c>
      <c r="B2042" s="14" t="s">
        <v>674</v>
      </c>
      <c r="C2042" s="12" t="s">
        <v>185</v>
      </c>
      <c r="D2042" s="15" t="str">
        <f t="shared" si="31"/>
        <v>Travel_WY_BIDT - TPS</v>
      </c>
      <c r="E2042" s="12" t="s">
        <v>126</v>
      </c>
      <c r="F2042" s="12" t="s">
        <v>127</v>
      </c>
      <c r="G2042" s="12" t="s">
        <v>128</v>
      </c>
      <c r="H2042" s="12" t="s">
        <v>1025</v>
      </c>
      <c r="I2042" s="12" t="s">
        <v>1026</v>
      </c>
    </row>
    <row r="2043" spans="1:9">
      <c r="A2043" s="14">
        <v>96107</v>
      </c>
      <c r="B2043" s="14" t="s">
        <v>994</v>
      </c>
      <c r="C2043" s="12" t="s">
        <v>121</v>
      </c>
      <c r="D2043" s="15" t="str">
        <f t="shared" si="31"/>
        <v>Treasury - F&amp;A</v>
      </c>
      <c r="E2043" s="12" t="s">
        <v>104</v>
      </c>
      <c r="F2043" s="12" t="s">
        <v>994</v>
      </c>
      <c r="G2043" s="12" t="s">
        <v>114</v>
      </c>
      <c r="H2043" s="12" t="s">
        <v>1025</v>
      </c>
      <c r="I2043" s="12" t="s">
        <v>1026</v>
      </c>
    </row>
    <row r="2044" spans="1:9">
      <c r="A2044" s="14">
        <v>96107</v>
      </c>
      <c r="B2044" s="14" t="s">
        <v>994</v>
      </c>
      <c r="C2044" s="12" t="s">
        <v>129</v>
      </c>
      <c r="D2044" s="15" t="str">
        <f t="shared" si="31"/>
        <v>Treasury - MGT</v>
      </c>
      <c r="E2044" s="12" t="s">
        <v>104</v>
      </c>
      <c r="F2044" s="12" t="s">
        <v>994</v>
      </c>
      <c r="G2044" s="12" t="s">
        <v>114</v>
      </c>
      <c r="H2044" s="12" t="s">
        <v>1025</v>
      </c>
      <c r="I2044" s="12" t="s">
        <v>1026</v>
      </c>
    </row>
    <row r="2045" spans="1:9">
      <c r="A2045" s="14">
        <v>96107</v>
      </c>
      <c r="B2045" s="14" t="s">
        <v>994</v>
      </c>
      <c r="C2045" s="12" t="s">
        <v>139</v>
      </c>
      <c r="D2045" s="15" t="str">
        <f t="shared" si="31"/>
        <v>Treasury - SMGT</v>
      </c>
      <c r="E2045" s="12" t="s">
        <v>104</v>
      </c>
      <c r="F2045" s="12" t="s">
        <v>994</v>
      </c>
      <c r="G2045" s="12" t="s">
        <v>114</v>
      </c>
      <c r="H2045" s="12" t="s">
        <v>1025</v>
      </c>
      <c r="I2045" s="12" t="s">
        <v>1026</v>
      </c>
    </row>
    <row r="2046" spans="1:9">
      <c r="A2046" s="14">
        <v>96107</v>
      </c>
      <c r="B2046" s="14" t="s">
        <v>994</v>
      </c>
      <c r="C2046" s="12" t="s">
        <v>145</v>
      </c>
      <c r="D2046" s="15" t="str">
        <f t="shared" si="31"/>
        <v>Treasury - SUP</v>
      </c>
      <c r="E2046" s="12" t="s">
        <v>104</v>
      </c>
      <c r="F2046" s="12" t="s">
        <v>994</v>
      </c>
      <c r="G2046" s="12" t="s">
        <v>114</v>
      </c>
      <c r="H2046" s="12" t="s">
        <v>1025</v>
      </c>
      <c r="I2046" s="12" t="s">
        <v>1026</v>
      </c>
    </row>
    <row r="2047" spans="1:9">
      <c r="A2047" s="14">
        <v>10091</v>
      </c>
      <c r="B2047" s="14" t="s">
        <v>211</v>
      </c>
      <c r="C2047" s="12" t="s">
        <v>129</v>
      </c>
      <c r="D2047" s="15" t="str">
        <f t="shared" si="31"/>
        <v>Trove-Backoffice - MGT</v>
      </c>
      <c r="E2047" s="12" t="s">
        <v>126</v>
      </c>
      <c r="F2047" s="12" t="s">
        <v>373</v>
      </c>
      <c r="G2047" s="12" t="s">
        <v>114</v>
      </c>
      <c r="H2047" s="12" t="s">
        <v>1025</v>
      </c>
      <c r="I2047" s="12" t="s">
        <v>1026</v>
      </c>
    </row>
    <row r="2048" spans="1:9">
      <c r="A2048" s="14">
        <v>51352</v>
      </c>
      <c r="B2048" s="14" t="s">
        <v>777</v>
      </c>
      <c r="C2048" s="12" t="s">
        <v>116</v>
      </c>
      <c r="D2048" s="15" t="str">
        <f t="shared" si="31"/>
        <v>Trueblue-2302-2408-CloudTestr- - PRD</v>
      </c>
      <c r="E2048" s="12" t="s">
        <v>117</v>
      </c>
      <c r="F2048" s="12" t="s">
        <v>117</v>
      </c>
      <c r="G2048" s="12" t="s">
        <v>117</v>
      </c>
      <c r="H2048" s="12" t="s">
        <v>1025</v>
      </c>
      <c r="I2048" s="12" t="s">
        <v>1026</v>
      </c>
    </row>
    <row r="2049" spans="1:9">
      <c r="A2049" s="14">
        <v>51353</v>
      </c>
      <c r="B2049" s="14" t="s">
        <v>778</v>
      </c>
      <c r="C2049" s="12" t="s">
        <v>116</v>
      </c>
      <c r="D2049" s="15" t="str">
        <f t="shared" si="31"/>
        <v>TrueBlue-CloudTestr-HCM-ERP-EP - PRD</v>
      </c>
      <c r="E2049" s="12" t="s">
        <v>117</v>
      </c>
      <c r="F2049" s="12" t="s">
        <v>117</v>
      </c>
      <c r="G2049" s="12" t="s">
        <v>117</v>
      </c>
      <c r="H2049" s="12" t="s">
        <v>1025</v>
      </c>
      <c r="I2049" s="12" t="s">
        <v>1026</v>
      </c>
    </row>
    <row r="2050" spans="1:9">
      <c r="A2050" s="14">
        <v>10102</v>
      </c>
      <c r="B2050" s="14" t="s">
        <v>214</v>
      </c>
      <c r="C2050" s="12" t="s">
        <v>150</v>
      </c>
      <c r="D2050" s="15" t="str">
        <f t="shared" ref="D2050:D2113" si="32">B2050&amp;" - "&amp;C2050</f>
        <v>Trustpilot - CoMo Kochi - CCS</v>
      </c>
      <c r="E2050" s="12" t="s">
        <v>126</v>
      </c>
      <c r="F2050" s="12" t="s">
        <v>127</v>
      </c>
      <c r="G2050" s="12" t="s">
        <v>128</v>
      </c>
      <c r="H2050" s="12" t="s">
        <v>1025</v>
      </c>
      <c r="I2050" s="12" t="s">
        <v>1026</v>
      </c>
    </row>
    <row r="2051" spans="1:9">
      <c r="A2051" s="14">
        <v>95702</v>
      </c>
      <c r="B2051" s="14" t="s">
        <v>995</v>
      </c>
      <c r="C2051" s="12" t="s">
        <v>262</v>
      </c>
      <c r="D2051" s="15" t="str">
        <f t="shared" si="32"/>
        <v>Unified Communication - GSI</v>
      </c>
      <c r="E2051" s="12" t="s">
        <v>104</v>
      </c>
      <c r="F2051" s="12" t="s">
        <v>263</v>
      </c>
      <c r="G2051" s="12" t="s">
        <v>264</v>
      </c>
      <c r="H2051" s="12" t="s">
        <v>1025</v>
      </c>
      <c r="I2051" s="12" t="s">
        <v>1026</v>
      </c>
    </row>
    <row r="2052" spans="1:9">
      <c r="A2052" s="14">
        <v>95702</v>
      </c>
      <c r="B2052" s="14" t="s">
        <v>995</v>
      </c>
      <c r="C2052" s="12" t="s">
        <v>145</v>
      </c>
      <c r="D2052" s="15" t="str">
        <f t="shared" si="32"/>
        <v>Unified Communication - SUP</v>
      </c>
      <c r="E2052" s="12" t="s">
        <v>104</v>
      </c>
      <c r="F2052" s="12" t="s">
        <v>263</v>
      </c>
      <c r="G2052" s="12" t="s">
        <v>264</v>
      </c>
      <c r="H2052" s="12" t="s">
        <v>1025</v>
      </c>
      <c r="I2052" s="12" t="s">
        <v>1026</v>
      </c>
    </row>
    <row r="2053" spans="1:9">
      <c r="A2053" s="14">
        <v>12408</v>
      </c>
      <c r="B2053" s="14" t="s">
        <v>540</v>
      </c>
      <c r="C2053" s="12" t="s">
        <v>230</v>
      </c>
      <c r="D2053" s="15" t="str">
        <f t="shared" si="32"/>
        <v>University of Illinois-Coding - PRSP</v>
      </c>
      <c r="E2053" s="12" t="s">
        <v>126</v>
      </c>
      <c r="F2053" s="12" t="s">
        <v>237</v>
      </c>
      <c r="G2053" s="12" t="s">
        <v>238</v>
      </c>
      <c r="H2053" s="12" t="s">
        <v>1025</v>
      </c>
      <c r="I2053" s="12" t="s">
        <v>1026</v>
      </c>
    </row>
    <row r="2054" spans="1:9">
      <c r="A2054" s="14">
        <v>12408</v>
      </c>
      <c r="B2054" s="14" t="s">
        <v>540</v>
      </c>
      <c r="C2054" s="12" t="s">
        <v>145</v>
      </c>
      <c r="D2054" s="15" t="str">
        <f t="shared" si="32"/>
        <v>University of Illinois-Coding - SUP</v>
      </c>
      <c r="E2054" s="12" t="s">
        <v>126</v>
      </c>
      <c r="F2054" s="12" t="s">
        <v>237</v>
      </c>
      <c r="G2054" s="12" t="s">
        <v>238</v>
      </c>
      <c r="H2054" s="12" t="s">
        <v>1025</v>
      </c>
      <c r="I2054" s="12" t="s">
        <v>1026</v>
      </c>
    </row>
    <row r="2055" spans="1:9">
      <c r="A2055" s="14">
        <v>12408</v>
      </c>
      <c r="B2055" s="14" t="s">
        <v>540</v>
      </c>
      <c r="C2055" s="12" t="s">
        <v>185</v>
      </c>
      <c r="D2055" s="15" t="str">
        <f t="shared" si="32"/>
        <v>University of Illinois-Coding - TPS</v>
      </c>
      <c r="E2055" s="12" t="s">
        <v>126</v>
      </c>
      <c r="F2055" s="12" t="s">
        <v>237</v>
      </c>
      <c r="G2055" s="12" t="s">
        <v>238</v>
      </c>
      <c r="H2055" s="12" t="s">
        <v>1025</v>
      </c>
      <c r="I2055" s="12" t="s">
        <v>1026</v>
      </c>
    </row>
    <row r="2056" spans="1:9">
      <c r="A2056" s="14">
        <v>27110</v>
      </c>
      <c r="B2056" s="14" t="s">
        <v>653</v>
      </c>
      <c r="C2056" s="12" t="s">
        <v>150</v>
      </c>
      <c r="D2056" s="15" t="str">
        <f t="shared" si="32"/>
        <v>Unum Contact Center - CCS</v>
      </c>
      <c r="E2056" s="12" t="s">
        <v>126</v>
      </c>
      <c r="F2056" s="12" t="s">
        <v>163</v>
      </c>
      <c r="G2056" s="12" t="s">
        <v>164</v>
      </c>
      <c r="H2056" s="12" t="s">
        <v>1025</v>
      </c>
      <c r="I2056" s="12" t="s">
        <v>1026</v>
      </c>
    </row>
    <row r="2057" spans="1:9">
      <c r="A2057" s="14">
        <v>51411</v>
      </c>
      <c r="B2057" s="14" t="s">
        <v>781</v>
      </c>
      <c r="C2057" s="12" t="s">
        <v>116</v>
      </c>
      <c r="D2057" s="15" t="str">
        <f t="shared" si="32"/>
        <v>UPES-UPES_101 - PRD</v>
      </c>
      <c r="E2057" s="12" t="s">
        <v>117</v>
      </c>
      <c r="F2057" s="12" t="s">
        <v>117</v>
      </c>
      <c r="G2057" s="12" t="s">
        <v>117</v>
      </c>
      <c r="H2057" s="12" t="s">
        <v>1025</v>
      </c>
      <c r="I2057" s="12" t="s">
        <v>1026</v>
      </c>
    </row>
    <row r="2058" spans="1:9">
      <c r="A2058" s="14">
        <v>23025</v>
      </c>
      <c r="B2058" s="14" t="s">
        <v>647</v>
      </c>
      <c r="C2058" s="12" t="s">
        <v>306</v>
      </c>
      <c r="D2058" s="15" t="str">
        <f t="shared" si="32"/>
        <v>UPS EMEA CX FNA - Egypt - FAO</v>
      </c>
      <c r="E2058" s="12" t="s">
        <v>126</v>
      </c>
      <c r="F2058" s="12" t="s">
        <v>163</v>
      </c>
      <c r="G2058" s="12" t="s">
        <v>164</v>
      </c>
      <c r="H2058" s="12" t="s">
        <v>1025</v>
      </c>
      <c r="I2058" s="12" t="s">
        <v>1026</v>
      </c>
    </row>
    <row r="2059" spans="1:9">
      <c r="A2059" s="14">
        <v>23025</v>
      </c>
      <c r="B2059" s="14" t="s">
        <v>647</v>
      </c>
      <c r="C2059" s="12" t="s">
        <v>250</v>
      </c>
      <c r="D2059" s="15" t="str">
        <f t="shared" si="32"/>
        <v>UPS EMEA CX FNA - Egypt - LED</v>
      </c>
      <c r="E2059" s="12" t="s">
        <v>126</v>
      </c>
      <c r="F2059" s="12" t="s">
        <v>163</v>
      </c>
      <c r="G2059" s="12" t="s">
        <v>164</v>
      </c>
      <c r="H2059" s="12" t="s">
        <v>1025</v>
      </c>
      <c r="I2059" s="12" t="s">
        <v>1026</v>
      </c>
    </row>
    <row r="2060" spans="1:9">
      <c r="A2060" s="14">
        <v>23025</v>
      </c>
      <c r="B2060" s="14" t="s">
        <v>647</v>
      </c>
      <c r="C2060" s="12" t="s">
        <v>180</v>
      </c>
      <c r="D2060" s="15" t="str">
        <f t="shared" si="32"/>
        <v>UPS EMEA CX FNA - Egypt - TMG</v>
      </c>
      <c r="E2060" s="12" t="s">
        <v>126</v>
      </c>
      <c r="F2060" s="12" t="s">
        <v>163</v>
      </c>
      <c r="G2060" s="12" t="s">
        <v>164</v>
      </c>
      <c r="H2060" s="12" t="s">
        <v>1025</v>
      </c>
      <c r="I2060" s="12" t="s">
        <v>1026</v>
      </c>
    </row>
    <row r="2061" spans="1:9">
      <c r="A2061" s="14">
        <v>96727</v>
      </c>
      <c r="B2061" s="14" t="s">
        <v>999</v>
      </c>
      <c r="C2061" s="12" t="s">
        <v>129</v>
      </c>
      <c r="D2061" s="15" t="str">
        <f t="shared" si="32"/>
        <v>Vertical Business Finance - MGT</v>
      </c>
      <c r="E2061" s="12" t="s">
        <v>104</v>
      </c>
      <c r="F2061" s="12" t="s">
        <v>122</v>
      </c>
      <c r="G2061" s="12" t="s">
        <v>114</v>
      </c>
      <c r="H2061" s="12" t="s">
        <v>1025</v>
      </c>
      <c r="I2061" s="12" t="s">
        <v>1026</v>
      </c>
    </row>
    <row r="2062" spans="1:9">
      <c r="A2062" s="14">
        <v>96727</v>
      </c>
      <c r="B2062" s="14" t="s">
        <v>999</v>
      </c>
      <c r="C2062" s="12" t="s">
        <v>139</v>
      </c>
      <c r="D2062" s="15" t="str">
        <f t="shared" si="32"/>
        <v>Vertical Business Finance - SMGT</v>
      </c>
      <c r="E2062" s="12" t="s">
        <v>104</v>
      </c>
      <c r="F2062" s="12" t="s">
        <v>122</v>
      </c>
      <c r="G2062" s="12" t="s">
        <v>114</v>
      </c>
      <c r="H2062" s="12" t="s">
        <v>1025</v>
      </c>
      <c r="I2062" s="12" t="s">
        <v>1026</v>
      </c>
    </row>
    <row r="2063" spans="1:9">
      <c r="A2063" s="14">
        <v>96727</v>
      </c>
      <c r="B2063" s="14" t="s">
        <v>999</v>
      </c>
      <c r="C2063" s="12" t="s">
        <v>145</v>
      </c>
      <c r="D2063" s="15" t="str">
        <f t="shared" si="32"/>
        <v>Vertical Business Finance - SUP</v>
      </c>
      <c r="E2063" s="12" t="s">
        <v>104</v>
      </c>
      <c r="F2063" s="12" t="s">
        <v>122</v>
      </c>
      <c r="G2063" s="12" t="s">
        <v>114</v>
      </c>
      <c r="H2063" s="12" t="s">
        <v>1025</v>
      </c>
      <c r="I2063" s="12" t="s">
        <v>1026</v>
      </c>
    </row>
    <row r="2064" spans="1:9">
      <c r="A2064" s="14">
        <v>12446</v>
      </c>
      <c r="B2064" s="14" t="s">
        <v>552</v>
      </c>
      <c r="C2064" s="12" t="s">
        <v>116</v>
      </c>
      <c r="D2064" s="15" t="str">
        <f t="shared" si="32"/>
        <v>Virence - PRD</v>
      </c>
      <c r="E2064" s="12" t="s">
        <v>117</v>
      </c>
      <c r="F2064" s="12" t="s">
        <v>117</v>
      </c>
      <c r="G2064" s="12" t="s">
        <v>117</v>
      </c>
      <c r="H2064" s="12" t="s">
        <v>1025</v>
      </c>
      <c r="I2064" s="12" t="s">
        <v>1026</v>
      </c>
    </row>
    <row r="2065" spans="1:9">
      <c r="A2065" s="14">
        <v>12446</v>
      </c>
      <c r="B2065" s="14" t="s">
        <v>552</v>
      </c>
      <c r="C2065" s="12" t="s">
        <v>145</v>
      </c>
      <c r="D2065" s="15" t="str">
        <f t="shared" si="32"/>
        <v>Virence - SUP</v>
      </c>
      <c r="E2065" s="12" t="s">
        <v>117</v>
      </c>
      <c r="F2065" s="12" t="s">
        <v>117</v>
      </c>
      <c r="G2065" s="12" t="s">
        <v>117</v>
      </c>
      <c r="H2065" s="12" t="s">
        <v>1025</v>
      </c>
      <c r="I2065" s="12" t="s">
        <v>1026</v>
      </c>
    </row>
    <row r="2066" spans="1:9">
      <c r="A2066" s="14">
        <v>10046</v>
      </c>
      <c r="B2066" s="14" t="s">
        <v>195</v>
      </c>
      <c r="C2066" s="12" t="s">
        <v>145</v>
      </c>
      <c r="D2066" s="15" t="str">
        <f t="shared" si="32"/>
        <v>Wayfair CS India - SUP</v>
      </c>
      <c r="E2066" s="12" t="s">
        <v>126</v>
      </c>
      <c r="F2066" s="12" t="s">
        <v>360</v>
      </c>
      <c r="G2066" s="12" t="s">
        <v>361</v>
      </c>
      <c r="H2066" s="12" t="s">
        <v>1025</v>
      </c>
      <c r="I2066" s="12" t="s">
        <v>1026</v>
      </c>
    </row>
    <row r="2067" spans="1:9">
      <c r="A2067" s="14">
        <v>10919</v>
      </c>
      <c r="B2067" s="14" t="s">
        <v>465</v>
      </c>
      <c r="C2067" s="12" t="s">
        <v>145</v>
      </c>
      <c r="D2067" s="15" t="str">
        <f t="shared" si="32"/>
        <v>Wayfair_Supplier Experience - SUP</v>
      </c>
      <c r="E2067" s="12" t="s">
        <v>126</v>
      </c>
      <c r="F2067" s="12" t="s">
        <v>360</v>
      </c>
      <c r="G2067" s="12" t="s">
        <v>361</v>
      </c>
      <c r="H2067" s="12" t="s">
        <v>1025</v>
      </c>
      <c r="I2067" s="12" t="s">
        <v>1026</v>
      </c>
    </row>
    <row r="2068" spans="1:9">
      <c r="A2068" s="14">
        <v>10024</v>
      </c>
      <c r="B2068" s="14" t="s">
        <v>173</v>
      </c>
      <c r="C2068" s="12" t="s">
        <v>145</v>
      </c>
      <c r="D2068" s="15" t="str">
        <f t="shared" si="32"/>
        <v>WestField - SUP</v>
      </c>
      <c r="E2068" s="12" t="s">
        <v>117</v>
      </c>
      <c r="F2068" s="12" t="s">
        <v>117</v>
      </c>
      <c r="G2068" s="12" t="s">
        <v>117</v>
      </c>
      <c r="H2068" s="12" t="s">
        <v>1025</v>
      </c>
      <c r="I2068" s="12" t="s">
        <v>1026</v>
      </c>
    </row>
    <row r="2069" spans="1:9">
      <c r="A2069" s="14">
        <v>10922</v>
      </c>
      <c r="B2069" s="14" t="s">
        <v>467</v>
      </c>
      <c r="C2069" s="12" t="s">
        <v>431</v>
      </c>
      <c r="D2069" s="15" t="str">
        <f t="shared" si="32"/>
        <v>Westfield Insurance - AGA</v>
      </c>
      <c r="E2069" s="12" t="s">
        <v>126</v>
      </c>
      <c r="F2069" s="12" t="s">
        <v>163</v>
      </c>
      <c r="G2069" s="12" t="s">
        <v>164</v>
      </c>
      <c r="H2069" s="12" t="s">
        <v>1025</v>
      </c>
      <c r="I2069" s="12" t="s">
        <v>1026</v>
      </c>
    </row>
    <row r="2070" spans="1:9">
      <c r="A2070" s="14">
        <v>10922</v>
      </c>
      <c r="B2070" s="14" t="s">
        <v>467</v>
      </c>
      <c r="C2070" s="12" t="s">
        <v>721</v>
      </c>
      <c r="D2070" s="15" t="str">
        <f t="shared" si="32"/>
        <v>Westfield Insurance - AGC</v>
      </c>
      <c r="E2070" s="12" t="s">
        <v>126</v>
      </c>
      <c r="F2070" s="12" t="s">
        <v>163</v>
      </c>
      <c r="G2070" s="12" t="s">
        <v>164</v>
      </c>
      <c r="H2070" s="12" t="s">
        <v>1025</v>
      </c>
      <c r="I2070" s="12" t="s">
        <v>1026</v>
      </c>
    </row>
    <row r="2071" spans="1:9">
      <c r="A2071" s="14">
        <v>25608</v>
      </c>
      <c r="B2071" s="14" t="s">
        <v>652</v>
      </c>
      <c r="C2071" s="12" t="s">
        <v>150</v>
      </c>
      <c r="D2071" s="15" t="str">
        <f t="shared" si="32"/>
        <v>Wex Customer Care - CCS</v>
      </c>
      <c r="E2071" s="12" t="s">
        <v>126</v>
      </c>
      <c r="F2071" s="12" t="s">
        <v>980</v>
      </c>
      <c r="G2071" s="12" t="s">
        <v>981</v>
      </c>
      <c r="H2071" s="12" t="s">
        <v>1025</v>
      </c>
      <c r="I2071" s="12" t="s">
        <v>1026</v>
      </c>
    </row>
    <row r="2072" spans="1:9">
      <c r="A2072" s="14">
        <v>10941</v>
      </c>
      <c r="B2072" s="14" t="s">
        <v>482</v>
      </c>
      <c r="C2072" s="12" t="s">
        <v>150</v>
      </c>
      <c r="D2072" s="15" t="str">
        <f t="shared" si="32"/>
        <v>Wex_CustomerCare - CCS</v>
      </c>
      <c r="E2072" s="12" t="s">
        <v>126</v>
      </c>
      <c r="F2072" s="12" t="s">
        <v>980</v>
      </c>
      <c r="G2072" s="12" t="s">
        <v>981</v>
      </c>
      <c r="H2072" s="12" t="s">
        <v>1025</v>
      </c>
      <c r="I2072" s="12" t="s">
        <v>1026</v>
      </c>
    </row>
    <row r="2073" spans="1:9">
      <c r="A2073" s="14">
        <v>10941</v>
      </c>
      <c r="B2073" s="14" t="s">
        <v>482</v>
      </c>
      <c r="C2073" s="12" t="s">
        <v>172</v>
      </c>
      <c r="D2073" s="15" t="str">
        <f t="shared" si="32"/>
        <v>Wex_CustomerCare - SME</v>
      </c>
      <c r="E2073" s="12" t="s">
        <v>126</v>
      </c>
      <c r="F2073" s="12" t="s">
        <v>980</v>
      </c>
      <c r="G2073" s="12" t="s">
        <v>981</v>
      </c>
      <c r="H2073" s="12" t="s">
        <v>1025</v>
      </c>
      <c r="I2073" s="12" t="s">
        <v>1026</v>
      </c>
    </row>
    <row r="2074" spans="1:9">
      <c r="A2074" s="14">
        <v>10941</v>
      </c>
      <c r="B2074" s="14" t="s">
        <v>482</v>
      </c>
      <c r="C2074" s="12" t="s">
        <v>180</v>
      </c>
      <c r="D2074" s="15" t="str">
        <f t="shared" si="32"/>
        <v>Wex_CustomerCare - TMG</v>
      </c>
      <c r="E2074" s="12" t="s">
        <v>126</v>
      </c>
      <c r="F2074" s="12" t="s">
        <v>980</v>
      </c>
      <c r="G2074" s="12" t="s">
        <v>981</v>
      </c>
      <c r="H2074" s="12" t="s">
        <v>1025</v>
      </c>
      <c r="I2074" s="12" t="s">
        <v>1026</v>
      </c>
    </row>
    <row r="2075" spans="1:9">
      <c r="A2075" s="14">
        <v>10941</v>
      </c>
      <c r="B2075" s="14" t="s">
        <v>482</v>
      </c>
      <c r="C2075" s="12" t="s">
        <v>185</v>
      </c>
      <c r="D2075" s="15" t="str">
        <f t="shared" si="32"/>
        <v>Wex_CustomerCare - TPS</v>
      </c>
      <c r="E2075" s="12" t="s">
        <v>126</v>
      </c>
      <c r="F2075" s="12" t="s">
        <v>980</v>
      </c>
      <c r="G2075" s="12" t="s">
        <v>981</v>
      </c>
      <c r="H2075" s="12" t="s">
        <v>1025</v>
      </c>
      <c r="I2075" s="12" t="s">
        <v>1026</v>
      </c>
    </row>
    <row r="2076" spans="1:9">
      <c r="A2076" s="14">
        <v>86209</v>
      </c>
      <c r="B2076" s="14" t="s">
        <v>886</v>
      </c>
      <c r="C2076" s="12" t="s">
        <v>129</v>
      </c>
      <c r="D2076" s="15" t="str">
        <f t="shared" si="32"/>
        <v>WFM - Capacity Planning - MGT</v>
      </c>
      <c r="E2076" s="12" t="s">
        <v>112</v>
      </c>
      <c r="F2076" s="12" t="s">
        <v>867</v>
      </c>
      <c r="G2076" s="12" t="s">
        <v>114</v>
      </c>
      <c r="H2076" s="12" t="s">
        <v>1025</v>
      </c>
      <c r="I2076" s="12" t="s">
        <v>1026</v>
      </c>
    </row>
    <row r="2077" spans="1:9">
      <c r="A2077" s="14">
        <v>86209</v>
      </c>
      <c r="B2077" s="14" t="s">
        <v>886</v>
      </c>
      <c r="C2077" s="12" t="s">
        <v>177</v>
      </c>
      <c r="D2077" s="15" t="str">
        <f t="shared" si="32"/>
        <v>WFM - Capacity Planning - OPS</v>
      </c>
      <c r="E2077" s="12" t="s">
        <v>112</v>
      </c>
      <c r="F2077" s="12" t="s">
        <v>867</v>
      </c>
      <c r="G2077" s="12" t="s">
        <v>114</v>
      </c>
      <c r="H2077" s="12" t="s">
        <v>1025</v>
      </c>
      <c r="I2077" s="12" t="s">
        <v>1026</v>
      </c>
    </row>
    <row r="2078" spans="1:9">
      <c r="A2078" s="14">
        <v>86209</v>
      </c>
      <c r="B2078" s="14" t="s">
        <v>886</v>
      </c>
      <c r="C2078" s="12" t="s">
        <v>145</v>
      </c>
      <c r="D2078" s="15" t="str">
        <f t="shared" si="32"/>
        <v>WFM - Capacity Planning - SUP</v>
      </c>
      <c r="E2078" s="12" t="s">
        <v>112</v>
      </c>
      <c r="F2078" s="12" t="s">
        <v>867</v>
      </c>
      <c r="G2078" s="12" t="s">
        <v>114</v>
      </c>
      <c r="H2078" s="12" t="s">
        <v>1025</v>
      </c>
      <c r="I2078" s="12" t="s">
        <v>1026</v>
      </c>
    </row>
    <row r="2079" spans="1:9">
      <c r="A2079" s="14">
        <v>86210</v>
      </c>
      <c r="B2079" s="14" t="s">
        <v>888</v>
      </c>
      <c r="C2079" s="12" t="s">
        <v>150</v>
      </c>
      <c r="D2079" s="15" t="str">
        <f t="shared" si="32"/>
        <v>WFM - Program WFM Leads - CCS</v>
      </c>
      <c r="E2079" s="12" t="s">
        <v>112</v>
      </c>
      <c r="F2079" s="12" t="s">
        <v>867</v>
      </c>
      <c r="G2079" s="12" t="s">
        <v>114</v>
      </c>
      <c r="H2079" s="12" t="s">
        <v>1025</v>
      </c>
      <c r="I2079" s="12" t="s">
        <v>1026</v>
      </c>
    </row>
    <row r="2080" spans="1:9">
      <c r="A2080" s="14">
        <v>86210</v>
      </c>
      <c r="B2080" s="14" t="s">
        <v>888</v>
      </c>
      <c r="C2080" s="12" t="s">
        <v>129</v>
      </c>
      <c r="D2080" s="15" t="str">
        <f t="shared" si="32"/>
        <v>WFM - Program WFM Leads - MGT</v>
      </c>
      <c r="E2080" s="12" t="s">
        <v>112</v>
      </c>
      <c r="F2080" s="12" t="s">
        <v>867</v>
      </c>
      <c r="G2080" s="12" t="s">
        <v>114</v>
      </c>
      <c r="H2080" s="12" t="s">
        <v>1025</v>
      </c>
      <c r="I2080" s="12" t="s">
        <v>1026</v>
      </c>
    </row>
    <row r="2081" spans="1:9">
      <c r="A2081" s="14">
        <v>86210</v>
      </c>
      <c r="B2081" s="14" t="s">
        <v>888</v>
      </c>
      <c r="C2081" s="12" t="s">
        <v>177</v>
      </c>
      <c r="D2081" s="15" t="str">
        <f t="shared" si="32"/>
        <v>WFM - Program WFM Leads - OPS</v>
      </c>
      <c r="E2081" s="12" t="s">
        <v>112</v>
      </c>
      <c r="F2081" s="12" t="s">
        <v>867</v>
      </c>
      <c r="G2081" s="12" t="s">
        <v>114</v>
      </c>
      <c r="H2081" s="12" t="s">
        <v>1025</v>
      </c>
      <c r="I2081" s="12" t="s">
        <v>1026</v>
      </c>
    </row>
    <row r="2082" spans="1:9">
      <c r="A2082" s="14">
        <v>86210</v>
      </c>
      <c r="B2082" s="14" t="s">
        <v>888</v>
      </c>
      <c r="C2082" s="12" t="s">
        <v>139</v>
      </c>
      <c r="D2082" s="15" t="str">
        <f t="shared" si="32"/>
        <v>WFM - Program WFM Leads - SMGT</v>
      </c>
      <c r="E2082" s="12" t="s">
        <v>112</v>
      </c>
      <c r="F2082" s="12" t="s">
        <v>867</v>
      </c>
      <c r="G2082" s="12" t="s">
        <v>114</v>
      </c>
      <c r="H2082" s="12" t="s">
        <v>1025</v>
      </c>
      <c r="I2082" s="12" t="s">
        <v>1026</v>
      </c>
    </row>
    <row r="2083" spans="1:9">
      <c r="A2083" s="14">
        <v>86210</v>
      </c>
      <c r="B2083" s="14" t="s">
        <v>888</v>
      </c>
      <c r="C2083" s="12" t="s">
        <v>145</v>
      </c>
      <c r="D2083" s="15" t="str">
        <f t="shared" si="32"/>
        <v>WFM - Program WFM Leads - SUP</v>
      </c>
      <c r="E2083" s="12" t="s">
        <v>112</v>
      </c>
      <c r="F2083" s="12" t="s">
        <v>867</v>
      </c>
      <c r="G2083" s="12" t="s">
        <v>114</v>
      </c>
      <c r="H2083" s="12" t="s">
        <v>1025</v>
      </c>
      <c r="I2083" s="12" t="s">
        <v>1026</v>
      </c>
    </row>
    <row r="2084" spans="1:9">
      <c r="A2084" s="14">
        <v>86210</v>
      </c>
      <c r="B2084" s="14" t="s">
        <v>888</v>
      </c>
      <c r="C2084" s="12" t="s">
        <v>180</v>
      </c>
      <c r="D2084" s="15" t="str">
        <f t="shared" si="32"/>
        <v>WFM - Program WFM Leads - TMG</v>
      </c>
      <c r="E2084" s="12" t="s">
        <v>112</v>
      </c>
      <c r="F2084" s="12" t="s">
        <v>867</v>
      </c>
      <c r="G2084" s="12" t="s">
        <v>114</v>
      </c>
      <c r="H2084" s="12" t="s">
        <v>1025</v>
      </c>
      <c r="I2084" s="12" t="s">
        <v>1026</v>
      </c>
    </row>
    <row r="2085" spans="1:9">
      <c r="A2085" s="14">
        <v>86205</v>
      </c>
      <c r="B2085" s="14" t="s">
        <v>882</v>
      </c>
      <c r="C2085" s="12" t="s">
        <v>129</v>
      </c>
      <c r="D2085" s="15" t="str">
        <f t="shared" si="32"/>
        <v>WFM - Resource Planning - MGT</v>
      </c>
      <c r="E2085" s="12" t="s">
        <v>112</v>
      </c>
      <c r="F2085" s="12" t="s">
        <v>867</v>
      </c>
      <c r="G2085" s="12" t="s">
        <v>114</v>
      </c>
      <c r="H2085" s="12" t="s">
        <v>1025</v>
      </c>
      <c r="I2085" s="12" t="s">
        <v>1026</v>
      </c>
    </row>
    <row r="2086" spans="1:9">
      <c r="A2086" s="14">
        <v>86205</v>
      </c>
      <c r="B2086" s="14" t="s">
        <v>882</v>
      </c>
      <c r="C2086" s="12" t="s">
        <v>177</v>
      </c>
      <c r="D2086" s="15" t="str">
        <f t="shared" si="32"/>
        <v>WFM - Resource Planning - OPS</v>
      </c>
      <c r="E2086" s="12" t="s">
        <v>112</v>
      </c>
      <c r="F2086" s="12" t="s">
        <v>867</v>
      </c>
      <c r="G2086" s="12" t="s">
        <v>114</v>
      </c>
      <c r="H2086" s="12" t="s">
        <v>1025</v>
      </c>
      <c r="I2086" s="12" t="s">
        <v>1026</v>
      </c>
    </row>
    <row r="2087" spans="1:9">
      <c r="A2087" s="14">
        <v>86205</v>
      </c>
      <c r="B2087" s="14" t="s">
        <v>882</v>
      </c>
      <c r="C2087" s="12" t="s">
        <v>172</v>
      </c>
      <c r="D2087" s="15" t="str">
        <f t="shared" si="32"/>
        <v>WFM - Resource Planning - SME</v>
      </c>
      <c r="E2087" s="12" t="s">
        <v>112</v>
      </c>
      <c r="F2087" s="12" t="s">
        <v>867</v>
      </c>
      <c r="G2087" s="12" t="s">
        <v>114</v>
      </c>
      <c r="H2087" s="12" t="s">
        <v>1025</v>
      </c>
      <c r="I2087" s="12" t="s">
        <v>1026</v>
      </c>
    </row>
    <row r="2088" spans="1:9">
      <c r="A2088" s="14">
        <v>86205</v>
      </c>
      <c r="B2088" s="14" t="s">
        <v>882</v>
      </c>
      <c r="C2088" s="12" t="s">
        <v>145</v>
      </c>
      <c r="D2088" s="15" t="str">
        <f t="shared" si="32"/>
        <v>WFM - Resource Planning - SUP</v>
      </c>
      <c r="E2088" s="12" t="s">
        <v>112</v>
      </c>
      <c r="F2088" s="12" t="s">
        <v>867</v>
      </c>
      <c r="G2088" s="12" t="s">
        <v>114</v>
      </c>
      <c r="H2088" s="12" t="s">
        <v>1025</v>
      </c>
      <c r="I2088" s="12" t="s">
        <v>1026</v>
      </c>
    </row>
    <row r="2089" spans="1:9">
      <c r="A2089" s="14">
        <v>86205</v>
      </c>
      <c r="B2089" s="14" t="s">
        <v>882</v>
      </c>
      <c r="C2089" s="12" t="s">
        <v>180</v>
      </c>
      <c r="D2089" s="15" t="str">
        <f t="shared" si="32"/>
        <v>WFM - Resource Planning - TMG</v>
      </c>
      <c r="E2089" s="12" t="s">
        <v>112</v>
      </c>
      <c r="F2089" s="12" t="s">
        <v>867</v>
      </c>
      <c r="G2089" s="12" t="s">
        <v>114</v>
      </c>
      <c r="H2089" s="12" t="s">
        <v>1025</v>
      </c>
      <c r="I2089" s="12" t="s">
        <v>1026</v>
      </c>
    </row>
    <row r="2090" spans="1:9">
      <c r="A2090" s="14">
        <v>86207</v>
      </c>
      <c r="B2090" s="14" t="s">
        <v>885</v>
      </c>
      <c r="C2090" s="12" t="s">
        <v>144</v>
      </c>
      <c r="D2090" s="15" t="str">
        <f t="shared" si="32"/>
        <v>WFM - RTA/ CCOD - CCOD</v>
      </c>
      <c r="E2090" s="12" t="s">
        <v>112</v>
      </c>
      <c r="F2090" s="12" t="s">
        <v>1021</v>
      </c>
      <c r="G2090" s="12" t="s">
        <v>114</v>
      </c>
      <c r="H2090" s="12" t="s">
        <v>1025</v>
      </c>
      <c r="I2090" s="12" t="s">
        <v>1026</v>
      </c>
    </row>
    <row r="2091" spans="1:9">
      <c r="A2091" s="14">
        <v>86207</v>
      </c>
      <c r="B2091" s="14" t="s">
        <v>885</v>
      </c>
      <c r="C2091" s="12" t="s">
        <v>150</v>
      </c>
      <c r="D2091" s="15" t="str">
        <f t="shared" si="32"/>
        <v>WFM - RTA/ CCOD - CCS</v>
      </c>
      <c r="E2091" s="12" t="s">
        <v>112</v>
      </c>
      <c r="F2091" s="12" t="s">
        <v>1021</v>
      </c>
      <c r="G2091" s="12" t="s">
        <v>114</v>
      </c>
      <c r="H2091" s="12" t="s">
        <v>1025</v>
      </c>
      <c r="I2091" s="12" t="s">
        <v>1026</v>
      </c>
    </row>
    <row r="2092" spans="1:9">
      <c r="A2092" s="14">
        <v>86207</v>
      </c>
      <c r="B2092" s="14" t="s">
        <v>885</v>
      </c>
      <c r="C2092" s="12" t="s">
        <v>161</v>
      </c>
      <c r="D2092" s="15" t="str">
        <f t="shared" si="32"/>
        <v>WFM - RTA/ CCOD - ECC</v>
      </c>
      <c r="E2092" s="12" t="s">
        <v>112</v>
      </c>
      <c r="F2092" s="12" t="s">
        <v>1021</v>
      </c>
      <c r="G2092" s="12" t="s">
        <v>114</v>
      </c>
      <c r="H2092" s="12" t="s">
        <v>1025</v>
      </c>
      <c r="I2092" s="12" t="s">
        <v>1026</v>
      </c>
    </row>
    <row r="2093" spans="1:9">
      <c r="A2093" s="14">
        <v>86207</v>
      </c>
      <c r="B2093" s="14" t="s">
        <v>885</v>
      </c>
      <c r="C2093" s="12" t="s">
        <v>171</v>
      </c>
      <c r="D2093" s="15" t="str">
        <f t="shared" si="32"/>
        <v>WFM - RTA/ CCOD - ETE</v>
      </c>
      <c r="E2093" s="12" t="s">
        <v>112</v>
      </c>
      <c r="F2093" s="12" t="s">
        <v>1021</v>
      </c>
      <c r="G2093" s="12" t="s">
        <v>114</v>
      </c>
      <c r="H2093" s="12" t="s">
        <v>1025</v>
      </c>
      <c r="I2093" s="12" t="s">
        <v>1026</v>
      </c>
    </row>
    <row r="2094" spans="1:9">
      <c r="A2094" s="14">
        <v>86207</v>
      </c>
      <c r="B2094" s="14" t="s">
        <v>885</v>
      </c>
      <c r="C2094" s="12" t="s">
        <v>129</v>
      </c>
      <c r="D2094" s="15" t="str">
        <f t="shared" si="32"/>
        <v>WFM - RTA/ CCOD - MGT</v>
      </c>
      <c r="E2094" s="12" t="s">
        <v>112</v>
      </c>
      <c r="F2094" s="12" t="s">
        <v>1021</v>
      </c>
      <c r="G2094" s="12" t="s">
        <v>114</v>
      </c>
      <c r="H2094" s="12" t="s">
        <v>1025</v>
      </c>
      <c r="I2094" s="12" t="s">
        <v>1026</v>
      </c>
    </row>
    <row r="2095" spans="1:9">
      <c r="A2095" s="14">
        <v>86207</v>
      </c>
      <c r="B2095" s="14" t="s">
        <v>885</v>
      </c>
      <c r="C2095" s="12" t="s">
        <v>177</v>
      </c>
      <c r="D2095" s="15" t="str">
        <f t="shared" si="32"/>
        <v>WFM - RTA/ CCOD - OPS</v>
      </c>
      <c r="E2095" s="12" t="s">
        <v>112</v>
      </c>
      <c r="F2095" s="12" t="s">
        <v>1021</v>
      </c>
      <c r="G2095" s="12" t="s">
        <v>114</v>
      </c>
      <c r="H2095" s="12" t="s">
        <v>1025</v>
      </c>
      <c r="I2095" s="12" t="s">
        <v>1026</v>
      </c>
    </row>
    <row r="2096" spans="1:9">
      <c r="A2096" s="14">
        <v>86207</v>
      </c>
      <c r="B2096" s="14" t="s">
        <v>885</v>
      </c>
      <c r="C2096" s="12" t="s">
        <v>172</v>
      </c>
      <c r="D2096" s="15" t="str">
        <f t="shared" si="32"/>
        <v>WFM - RTA/ CCOD - SME</v>
      </c>
      <c r="E2096" s="12" t="s">
        <v>112</v>
      </c>
      <c r="F2096" s="12" t="s">
        <v>1021</v>
      </c>
      <c r="G2096" s="12" t="s">
        <v>114</v>
      </c>
      <c r="H2096" s="12" t="s">
        <v>1025</v>
      </c>
      <c r="I2096" s="12" t="s">
        <v>1026</v>
      </c>
    </row>
    <row r="2097" spans="1:9">
      <c r="A2097" s="14">
        <v>86207</v>
      </c>
      <c r="B2097" s="14" t="s">
        <v>885</v>
      </c>
      <c r="C2097" s="12" t="s">
        <v>145</v>
      </c>
      <c r="D2097" s="15" t="str">
        <f t="shared" si="32"/>
        <v>WFM - RTA/ CCOD - SUP</v>
      </c>
      <c r="E2097" s="12" t="s">
        <v>112</v>
      </c>
      <c r="F2097" s="12" t="s">
        <v>1021</v>
      </c>
      <c r="G2097" s="12" t="s">
        <v>114</v>
      </c>
      <c r="H2097" s="12" t="s">
        <v>1025</v>
      </c>
      <c r="I2097" s="12" t="s">
        <v>1026</v>
      </c>
    </row>
    <row r="2098" spans="1:9">
      <c r="A2098" s="14">
        <v>86207</v>
      </c>
      <c r="B2098" s="14" t="s">
        <v>885</v>
      </c>
      <c r="C2098" s="12" t="s">
        <v>196</v>
      </c>
      <c r="D2098" s="15" t="str">
        <f t="shared" si="32"/>
        <v>WFM - RTA/ CCOD - SUT</v>
      </c>
      <c r="E2098" s="12" t="s">
        <v>112</v>
      </c>
      <c r="F2098" s="12" t="s">
        <v>1021</v>
      </c>
      <c r="G2098" s="12" t="s">
        <v>114</v>
      </c>
      <c r="H2098" s="12" t="s">
        <v>1025</v>
      </c>
      <c r="I2098" s="12" t="s">
        <v>1026</v>
      </c>
    </row>
    <row r="2099" spans="1:9">
      <c r="A2099" s="14">
        <v>86207</v>
      </c>
      <c r="B2099" s="14" t="s">
        <v>885</v>
      </c>
      <c r="C2099" s="12" t="s">
        <v>198</v>
      </c>
      <c r="D2099" s="15" t="str">
        <f t="shared" si="32"/>
        <v>WFM - RTA/ CCOD - TEC</v>
      </c>
      <c r="E2099" s="12" t="s">
        <v>112</v>
      </c>
      <c r="F2099" s="12" t="s">
        <v>1021</v>
      </c>
      <c r="G2099" s="12" t="s">
        <v>114</v>
      </c>
      <c r="H2099" s="12" t="s">
        <v>1025</v>
      </c>
      <c r="I2099" s="12" t="s">
        <v>1026</v>
      </c>
    </row>
    <row r="2100" spans="1:9">
      <c r="A2100" s="14">
        <v>86207</v>
      </c>
      <c r="B2100" s="14" t="s">
        <v>885</v>
      </c>
      <c r="C2100" s="12" t="s">
        <v>180</v>
      </c>
      <c r="D2100" s="15" t="str">
        <f t="shared" si="32"/>
        <v>WFM - RTA/ CCOD - TMG</v>
      </c>
      <c r="E2100" s="12" t="s">
        <v>112</v>
      </c>
      <c r="F2100" s="12" t="s">
        <v>1021</v>
      </c>
      <c r="G2100" s="12" t="s">
        <v>114</v>
      </c>
      <c r="H2100" s="12" t="s">
        <v>1025</v>
      </c>
      <c r="I2100" s="12" t="s">
        <v>1026</v>
      </c>
    </row>
    <row r="2101" spans="1:9">
      <c r="A2101" s="14">
        <v>86218</v>
      </c>
      <c r="B2101" s="14" t="s">
        <v>889</v>
      </c>
      <c r="C2101" s="12" t="s">
        <v>129</v>
      </c>
      <c r="D2101" s="15" t="str">
        <f t="shared" si="32"/>
        <v>WFM Leads and &amp; Account Leads - MGT</v>
      </c>
      <c r="E2101" s="12" t="s">
        <v>112</v>
      </c>
      <c r="F2101" s="12" t="s">
        <v>1006</v>
      </c>
      <c r="G2101" s="12" t="s">
        <v>114</v>
      </c>
      <c r="H2101" s="12" t="s">
        <v>1025</v>
      </c>
      <c r="I2101" s="12" t="s">
        <v>1026</v>
      </c>
    </row>
    <row r="2102" spans="1:9">
      <c r="A2102" s="14">
        <v>86218</v>
      </c>
      <c r="B2102" s="14" t="s">
        <v>889</v>
      </c>
      <c r="C2102" s="12" t="s">
        <v>177</v>
      </c>
      <c r="D2102" s="15" t="str">
        <f t="shared" si="32"/>
        <v>WFM Leads and &amp; Account Leads - OPS</v>
      </c>
      <c r="E2102" s="12" t="s">
        <v>112</v>
      </c>
      <c r="F2102" s="12" t="s">
        <v>1006</v>
      </c>
      <c r="G2102" s="12" t="s">
        <v>114</v>
      </c>
      <c r="H2102" s="12" t="s">
        <v>1025</v>
      </c>
      <c r="I2102" s="12" t="s">
        <v>1026</v>
      </c>
    </row>
    <row r="2103" spans="1:9">
      <c r="A2103" s="14">
        <v>86218</v>
      </c>
      <c r="B2103" s="14" t="s">
        <v>889</v>
      </c>
      <c r="C2103" s="12" t="s">
        <v>145</v>
      </c>
      <c r="D2103" s="15" t="str">
        <f t="shared" si="32"/>
        <v>WFM Leads and &amp; Account Leads - SUP</v>
      </c>
      <c r="E2103" s="12" t="s">
        <v>112</v>
      </c>
      <c r="F2103" s="12" t="s">
        <v>1006</v>
      </c>
      <c r="G2103" s="12" t="s">
        <v>114</v>
      </c>
      <c r="H2103" s="12" t="s">
        <v>1025</v>
      </c>
      <c r="I2103" s="12" t="s">
        <v>1026</v>
      </c>
    </row>
    <row r="2104" spans="1:9">
      <c r="A2104" s="14">
        <v>86206</v>
      </c>
      <c r="B2104" s="14" t="s">
        <v>884</v>
      </c>
      <c r="C2104" s="12" t="s">
        <v>348</v>
      </c>
      <c r="D2104" s="15" t="str">
        <f t="shared" si="32"/>
        <v>WFM- WFM/Scheduling - ADM</v>
      </c>
      <c r="E2104" s="12" t="s">
        <v>112</v>
      </c>
      <c r="F2104" s="12" t="s">
        <v>1021</v>
      </c>
      <c r="G2104" s="12" t="s">
        <v>114</v>
      </c>
      <c r="H2104" s="12" t="s">
        <v>1025</v>
      </c>
      <c r="I2104" s="12" t="s">
        <v>1026</v>
      </c>
    </row>
    <row r="2105" spans="1:9">
      <c r="A2105" s="14">
        <v>86206</v>
      </c>
      <c r="B2105" s="14" t="s">
        <v>884</v>
      </c>
      <c r="C2105" s="12" t="s">
        <v>129</v>
      </c>
      <c r="D2105" s="15" t="str">
        <f t="shared" si="32"/>
        <v>WFM- WFM/Scheduling - MGT</v>
      </c>
      <c r="E2105" s="12" t="s">
        <v>112</v>
      </c>
      <c r="F2105" s="12" t="s">
        <v>1021</v>
      </c>
      <c r="G2105" s="12" t="s">
        <v>114</v>
      </c>
      <c r="H2105" s="12" t="s">
        <v>1025</v>
      </c>
      <c r="I2105" s="12" t="s">
        <v>1026</v>
      </c>
    </row>
    <row r="2106" spans="1:9">
      <c r="A2106" s="14">
        <v>86206</v>
      </c>
      <c r="B2106" s="14" t="s">
        <v>884</v>
      </c>
      <c r="C2106" s="12" t="s">
        <v>177</v>
      </c>
      <c r="D2106" s="15" t="str">
        <f t="shared" si="32"/>
        <v>WFM- WFM/Scheduling - OPS</v>
      </c>
      <c r="E2106" s="12" t="s">
        <v>112</v>
      </c>
      <c r="F2106" s="12" t="s">
        <v>1021</v>
      </c>
      <c r="G2106" s="12" t="s">
        <v>114</v>
      </c>
      <c r="H2106" s="12" t="s">
        <v>1025</v>
      </c>
      <c r="I2106" s="12" t="s">
        <v>1026</v>
      </c>
    </row>
    <row r="2107" spans="1:9">
      <c r="A2107" s="14">
        <v>86206</v>
      </c>
      <c r="B2107" s="14" t="s">
        <v>884</v>
      </c>
      <c r="C2107" s="12" t="s">
        <v>145</v>
      </c>
      <c r="D2107" s="15" t="str">
        <f t="shared" si="32"/>
        <v>WFM- WFM/Scheduling - SUP</v>
      </c>
      <c r="E2107" s="12" t="s">
        <v>112</v>
      </c>
      <c r="F2107" s="12" t="s">
        <v>1021</v>
      </c>
      <c r="G2107" s="12" t="s">
        <v>114</v>
      </c>
      <c r="H2107" s="12" t="s">
        <v>1025</v>
      </c>
      <c r="I2107" s="12" t="s">
        <v>1026</v>
      </c>
    </row>
    <row r="2108" spans="1:9">
      <c r="A2108" s="14">
        <v>51458</v>
      </c>
      <c r="B2108" s="14" t="s">
        <v>809</v>
      </c>
      <c r="C2108" s="12" t="s">
        <v>116</v>
      </c>
      <c r="D2108" s="15" t="str">
        <f t="shared" si="32"/>
        <v>WFS-2212-2304-EBS-WFS-Support - PRD</v>
      </c>
      <c r="E2108" s="12" t="s">
        <v>117</v>
      </c>
      <c r="F2108" s="12" t="s">
        <v>117</v>
      </c>
      <c r="G2108" s="12" t="s">
        <v>117</v>
      </c>
      <c r="H2108" s="12" t="s">
        <v>1025</v>
      </c>
      <c r="I2108" s="12" t="s">
        <v>1026</v>
      </c>
    </row>
    <row r="2109" spans="1:9">
      <c r="A2109" s="14">
        <v>40208</v>
      </c>
      <c r="B2109" s="14" t="s">
        <v>682</v>
      </c>
      <c r="C2109" s="12" t="s">
        <v>185</v>
      </c>
      <c r="D2109" s="15" t="str">
        <f t="shared" si="32"/>
        <v>Widroe Airlines - TPS</v>
      </c>
      <c r="E2109" s="12" t="s">
        <v>126</v>
      </c>
      <c r="F2109" s="12" t="s">
        <v>163</v>
      </c>
      <c r="G2109" s="12" t="s">
        <v>164</v>
      </c>
      <c r="H2109" s="12" t="s">
        <v>1025</v>
      </c>
      <c r="I2109" s="12" t="s">
        <v>1026</v>
      </c>
    </row>
    <row r="2110" spans="1:9">
      <c r="A2110" s="14">
        <v>10040</v>
      </c>
      <c r="B2110" s="14" t="s">
        <v>186</v>
      </c>
      <c r="C2110" s="12" t="s">
        <v>138</v>
      </c>
      <c r="D2110" s="15" t="str">
        <f t="shared" si="32"/>
        <v>Windstream Order Management - BOS</v>
      </c>
      <c r="E2110" s="12" t="s">
        <v>126</v>
      </c>
      <c r="F2110" s="12" t="s">
        <v>163</v>
      </c>
      <c r="G2110" s="12" t="s">
        <v>164</v>
      </c>
      <c r="H2110" s="12" t="s">
        <v>1025</v>
      </c>
      <c r="I2110" s="12" t="s">
        <v>1026</v>
      </c>
    </row>
    <row r="2111" spans="1:9">
      <c r="A2111" s="14">
        <v>10040</v>
      </c>
      <c r="B2111" s="14" t="s">
        <v>186</v>
      </c>
      <c r="C2111" s="12" t="s">
        <v>306</v>
      </c>
      <c r="D2111" s="15" t="str">
        <f t="shared" si="32"/>
        <v>Windstream Order Management - FAO</v>
      </c>
      <c r="E2111" s="12" t="s">
        <v>126</v>
      </c>
      <c r="F2111" s="12" t="s">
        <v>163</v>
      </c>
      <c r="G2111" s="12" t="s">
        <v>164</v>
      </c>
      <c r="H2111" s="12" t="s">
        <v>1025</v>
      </c>
      <c r="I2111" s="12" t="s">
        <v>1026</v>
      </c>
    </row>
    <row r="2112" spans="1:9">
      <c r="A2112" s="14">
        <v>10040</v>
      </c>
      <c r="B2112" s="14" t="s">
        <v>186</v>
      </c>
      <c r="C2112" s="12" t="s">
        <v>180</v>
      </c>
      <c r="D2112" s="15" t="str">
        <f t="shared" si="32"/>
        <v>Windstream Order Management - TMG</v>
      </c>
      <c r="E2112" s="12" t="s">
        <v>126</v>
      </c>
      <c r="F2112" s="12" t="s">
        <v>163</v>
      </c>
      <c r="G2112" s="12" t="s">
        <v>164</v>
      </c>
      <c r="H2112" s="12" t="s">
        <v>1025</v>
      </c>
      <c r="I2112" s="12" t="s">
        <v>1026</v>
      </c>
    </row>
    <row r="2113" spans="1:9">
      <c r="A2113" s="14">
        <v>18069</v>
      </c>
      <c r="B2113" s="14" t="s">
        <v>630</v>
      </c>
      <c r="C2113" s="12" t="s">
        <v>185</v>
      </c>
      <c r="D2113" s="15" t="str">
        <f t="shared" si="32"/>
        <v>Xperience Title Search Analyst - TPS</v>
      </c>
      <c r="E2113" s="12" t="s">
        <v>126</v>
      </c>
      <c r="F2113" s="12" t="s">
        <v>163</v>
      </c>
      <c r="G2113" s="12" t="s">
        <v>164</v>
      </c>
      <c r="H2113" s="12" t="s">
        <v>1025</v>
      </c>
      <c r="I2113" s="12" t="s">
        <v>1026</v>
      </c>
    </row>
    <row r="2114" spans="1:9">
      <c r="A2114" s="14">
        <v>40138</v>
      </c>
      <c r="B2114" s="14" t="s">
        <v>675</v>
      </c>
      <c r="C2114" s="12" t="s">
        <v>180</v>
      </c>
      <c r="D2114" s="15" t="str">
        <f t="shared" ref="D2114:D2177" si="33">B2114&amp;" - "&amp;C2114</f>
        <v>YES_BANK_CASA - TMG</v>
      </c>
      <c r="E2114" s="12" t="s">
        <v>126</v>
      </c>
      <c r="F2114" s="12" t="s">
        <v>163</v>
      </c>
      <c r="G2114" s="12" t="s">
        <v>164</v>
      </c>
      <c r="H2114" s="12" t="s">
        <v>1025</v>
      </c>
      <c r="I2114" s="12" t="s">
        <v>1026</v>
      </c>
    </row>
    <row r="2115" spans="1:9">
      <c r="A2115" s="14">
        <v>40138</v>
      </c>
      <c r="B2115" s="14" t="s">
        <v>675</v>
      </c>
      <c r="C2115" s="12" t="s">
        <v>185</v>
      </c>
      <c r="D2115" s="15" t="str">
        <f t="shared" si="33"/>
        <v>YES_BANK_CASA - TPS</v>
      </c>
      <c r="E2115" s="12" t="s">
        <v>126</v>
      </c>
      <c r="F2115" s="12" t="s">
        <v>163</v>
      </c>
      <c r="G2115" s="12" t="s">
        <v>164</v>
      </c>
      <c r="H2115" s="12" t="s">
        <v>1025</v>
      </c>
      <c r="I2115" s="12" t="s">
        <v>1026</v>
      </c>
    </row>
    <row r="2116" spans="1:9">
      <c r="A2116" s="32">
        <v>10090</v>
      </c>
      <c r="B2116" s="14" t="s">
        <v>210</v>
      </c>
      <c r="C2116" s="12" t="s">
        <v>150</v>
      </c>
      <c r="D2116" s="15" t="str">
        <f t="shared" si="33"/>
        <v>Wayfair LPS Support Ind - CCS</v>
      </c>
      <c r="E2116" s="12" t="s">
        <v>126</v>
      </c>
      <c r="F2116" s="12" t="s">
        <v>360</v>
      </c>
      <c r="G2116" s="12" t="s">
        <v>361</v>
      </c>
      <c r="H2116" s="12" t="s">
        <v>1025</v>
      </c>
      <c r="I2116" s="12" t="s">
        <v>1026</v>
      </c>
    </row>
    <row r="2117" spans="1:9">
      <c r="A2117" s="32">
        <v>10109</v>
      </c>
      <c r="B2117" s="14" t="s">
        <v>222</v>
      </c>
      <c r="C2117" s="12" t="s">
        <v>116</v>
      </c>
      <c r="D2117" s="15" t="str">
        <f t="shared" si="33"/>
        <v>expedia WFM - PRD</v>
      </c>
      <c r="E2117" s="12" t="s">
        <v>126</v>
      </c>
      <c r="F2117" s="12" t="s">
        <v>163</v>
      </c>
      <c r="G2117" s="12" t="s">
        <v>164</v>
      </c>
      <c r="H2117" s="12" t="s">
        <v>1025</v>
      </c>
      <c r="I2117" s="12" t="s">
        <v>1026</v>
      </c>
    </row>
    <row r="2118" spans="1:9">
      <c r="A2118" s="14">
        <v>10122</v>
      </c>
      <c r="B2118" s="14" t="s">
        <v>231</v>
      </c>
      <c r="C2118" s="12" t="s">
        <v>161</v>
      </c>
      <c r="D2118" s="15" t="str">
        <f t="shared" si="33"/>
        <v>Amazon MHLS - ECC</v>
      </c>
      <c r="E2118" s="12" t="s">
        <v>126</v>
      </c>
      <c r="F2118" s="12" t="s">
        <v>178</v>
      </c>
      <c r="G2118" s="12" t="s">
        <v>128</v>
      </c>
      <c r="H2118" s="12" t="s">
        <v>1025</v>
      </c>
      <c r="I2118" s="12" t="s">
        <v>1026</v>
      </c>
    </row>
    <row r="2119" spans="1:9">
      <c r="A2119" s="35">
        <v>91024</v>
      </c>
      <c r="B2119" s="32" t="s">
        <v>933</v>
      </c>
      <c r="C2119" s="12" t="s">
        <v>180</v>
      </c>
      <c r="D2119" s="15" t="str">
        <f t="shared" si="33"/>
        <v>Organizational Excellence - TMG</v>
      </c>
      <c r="E2119" s="12" t="s">
        <v>104</v>
      </c>
      <c r="F2119" s="12" t="s">
        <v>401</v>
      </c>
      <c r="G2119" s="12" t="s">
        <v>114</v>
      </c>
      <c r="H2119" s="12" t="s">
        <v>1025</v>
      </c>
      <c r="I2119" s="12" t="s">
        <v>1026</v>
      </c>
    </row>
    <row r="2120" spans="1:9">
      <c r="A2120" s="14">
        <v>92116</v>
      </c>
      <c r="B2120" s="14" t="s">
        <v>452</v>
      </c>
      <c r="C2120" s="12" t="s">
        <v>145</v>
      </c>
      <c r="D2120" s="15" t="str">
        <f t="shared" si="33"/>
        <v>DES-1_ Facilities - SUP</v>
      </c>
      <c r="E2120" s="12" t="s">
        <v>104</v>
      </c>
      <c r="F2120" s="12" t="s">
        <v>349</v>
      </c>
      <c r="G2120" s="12" t="s">
        <v>350</v>
      </c>
      <c r="H2120" s="12" t="s">
        <v>1025</v>
      </c>
      <c r="I2120" s="12" t="s">
        <v>1026</v>
      </c>
    </row>
    <row r="2121" spans="1:9">
      <c r="A2121" s="14">
        <v>51003</v>
      </c>
      <c r="B2121" s="14" t="s">
        <v>115</v>
      </c>
      <c r="C2121" s="12" t="s">
        <v>116</v>
      </c>
      <c r="D2121" s="15" t="str">
        <f t="shared" si="33"/>
        <v>2021_Atkins_FixedBid_ManagedSe - PRD</v>
      </c>
      <c r="E2121" s="12" t="s">
        <v>117</v>
      </c>
      <c r="F2121" s="12" t="s">
        <v>117</v>
      </c>
      <c r="G2121" s="12" t="s">
        <v>117</v>
      </c>
      <c r="H2121" s="12" t="s">
        <v>1025</v>
      </c>
      <c r="I2121" s="12" t="s">
        <v>87</v>
      </c>
    </row>
    <row r="2122" spans="1:9">
      <c r="A2122" s="14">
        <v>96102</v>
      </c>
      <c r="B2122" s="14" t="s">
        <v>120</v>
      </c>
      <c r="C2122" s="12" t="s">
        <v>121</v>
      </c>
      <c r="D2122" s="15" t="str">
        <f t="shared" si="33"/>
        <v>Accounting Local - F&amp;A</v>
      </c>
      <c r="E2122" s="12" t="s">
        <v>118</v>
      </c>
      <c r="F2122" s="12" t="s">
        <v>122</v>
      </c>
      <c r="G2122" s="12" t="s">
        <v>114</v>
      </c>
      <c r="H2122" s="12" t="s">
        <v>1025</v>
      </c>
      <c r="I2122" s="12" t="s">
        <v>87</v>
      </c>
    </row>
    <row r="2123" spans="1:9">
      <c r="A2123" s="14">
        <v>96102</v>
      </c>
      <c r="B2123" s="14" t="s">
        <v>120</v>
      </c>
      <c r="C2123" s="12" t="s">
        <v>129</v>
      </c>
      <c r="D2123" s="15" t="str">
        <f t="shared" si="33"/>
        <v>Accounting Local - MGT</v>
      </c>
      <c r="E2123" s="12" t="s">
        <v>118</v>
      </c>
      <c r="F2123" s="12" t="s">
        <v>122</v>
      </c>
      <c r="G2123" s="12" t="s">
        <v>114</v>
      </c>
      <c r="H2123" s="12" t="s">
        <v>1025</v>
      </c>
      <c r="I2123" s="12" t="s">
        <v>87</v>
      </c>
    </row>
    <row r="2124" spans="1:9">
      <c r="A2124" s="14">
        <v>96102</v>
      </c>
      <c r="B2124" s="14" t="s">
        <v>120</v>
      </c>
      <c r="C2124" s="12" t="s">
        <v>134</v>
      </c>
      <c r="D2124" s="15" t="str">
        <f t="shared" si="33"/>
        <v>Accounting Local - SEC</v>
      </c>
      <c r="E2124" s="12" t="s">
        <v>118</v>
      </c>
      <c r="F2124" s="12" t="s">
        <v>122</v>
      </c>
      <c r="G2124" s="12" t="s">
        <v>114</v>
      </c>
      <c r="H2124" s="12" t="s">
        <v>1025</v>
      </c>
      <c r="I2124" s="12" t="s">
        <v>87</v>
      </c>
    </row>
    <row r="2125" spans="1:9">
      <c r="A2125" s="14">
        <v>96102</v>
      </c>
      <c r="B2125" s="14" t="s">
        <v>120</v>
      </c>
      <c r="C2125" s="12" t="s">
        <v>139</v>
      </c>
      <c r="D2125" s="15" t="str">
        <f t="shared" si="33"/>
        <v>Accounting Local - SMGT</v>
      </c>
      <c r="E2125" s="12" t="s">
        <v>118</v>
      </c>
      <c r="F2125" s="12" t="s">
        <v>122</v>
      </c>
      <c r="G2125" s="12" t="s">
        <v>114</v>
      </c>
      <c r="H2125" s="12" t="s">
        <v>1025</v>
      </c>
      <c r="I2125" s="12" t="s">
        <v>87</v>
      </c>
    </row>
    <row r="2126" spans="1:9">
      <c r="A2126" s="14">
        <v>96102</v>
      </c>
      <c r="B2126" s="14" t="s">
        <v>120</v>
      </c>
      <c r="C2126" s="12" t="s">
        <v>145</v>
      </c>
      <c r="D2126" s="15" t="str">
        <f t="shared" si="33"/>
        <v>Accounting Local - SUP</v>
      </c>
      <c r="E2126" s="12" t="s">
        <v>118</v>
      </c>
      <c r="F2126" s="12" t="s">
        <v>122</v>
      </c>
      <c r="G2126" s="12" t="s">
        <v>114</v>
      </c>
      <c r="H2126" s="12" t="s">
        <v>1025</v>
      </c>
      <c r="I2126" s="12" t="s">
        <v>87</v>
      </c>
    </row>
    <row r="2127" spans="1:9">
      <c r="A2127" s="14">
        <v>96122</v>
      </c>
      <c r="B2127" s="14" t="s">
        <v>151</v>
      </c>
      <c r="C2127" s="12" t="s">
        <v>121</v>
      </c>
      <c r="D2127" s="15" t="str">
        <f t="shared" si="33"/>
        <v>Accounting-Global - F&amp;A</v>
      </c>
      <c r="E2127" s="12" t="s">
        <v>118</v>
      </c>
      <c r="F2127" s="12" t="s">
        <v>122</v>
      </c>
      <c r="G2127" s="12" t="s">
        <v>114</v>
      </c>
      <c r="H2127" s="12" t="s">
        <v>1025</v>
      </c>
      <c r="I2127" s="12" t="s">
        <v>87</v>
      </c>
    </row>
    <row r="2128" spans="1:9">
      <c r="A2128" s="14">
        <v>96122</v>
      </c>
      <c r="B2128" s="14" t="s">
        <v>151</v>
      </c>
      <c r="C2128" s="12" t="s">
        <v>145</v>
      </c>
      <c r="D2128" s="15" t="str">
        <f t="shared" si="33"/>
        <v>Accounting-Global - SUP</v>
      </c>
      <c r="E2128" s="12" t="s">
        <v>118</v>
      </c>
      <c r="F2128" s="12" t="s">
        <v>122</v>
      </c>
      <c r="G2128" s="12" t="s">
        <v>114</v>
      </c>
      <c r="H2128" s="12" t="s">
        <v>1025</v>
      </c>
      <c r="I2128" s="12" t="s">
        <v>87</v>
      </c>
    </row>
    <row r="2129" spans="1:9">
      <c r="A2129" s="14">
        <v>12457</v>
      </c>
      <c r="B2129" s="14" t="s">
        <v>162</v>
      </c>
      <c r="C2129" s="12" t="s">
        <v>129</v>
      </c>
      <c r="D2129" s="15" t="str">
        <f t="shared" si="33"/>
        <v>ADNIC - Claims Operations - MGT</v>
      </c>
      <c r="E2129" s="12" t="s">
        <v>141</v>
      </c>
      <c r="F2129" s="12" t="s">
        <v>163</v>
      </c>
      <c r="G2129" s="12" t="s">
        <v>164</v>
      </c>
      <c r="H2129" s="12" t="s">
        <v>1025</v>
      </c>
      <c r="I2129" s="12" t="s">
        <v>87</v>
      </c>
    </row>
    <row r="2130" spans="1:9">
      <c r="A2130" s="14">
        <v>12457</v>
      </c>
      <c r="B2130" s="14" t="s">
        <v>162</v>
      </c>
      <c r="C2130" s="12" t="s">
        <v>116</v>
      </c>
      <c r="D2130" s="15" t="str">
        <f t="shared" si="33"/>
        <v>ADNIC - Claims Operations - PRD</v>
      </c>
      <c r="E2130" s="12" t="s">
        <v>141</v>
      </c>
      <c r="F2130" s="12" t="s">
        <v>163</v>
      </c>
      <c r="G2130" s="12" t="s">
        <v>164</v>
      </c>
      <c r="H2130" s="12" t="s">
        <v>1025</v>
      </c>
      <c r="I2130" s="12" t="s">
        <v>87</v>
      </c>
    </row>
    <row r="2131" spans="1:9">
      <c r="A2131" s="14">
        <v>12457</v>
      </c>
      <c r="B2131" s="14" t="s">
        <v>162</v>
      </c>
      <c r="C2131" s="12" t="s">
        <v>172</v>
      </c>
      <c r="D2131" s="15" t="str">
        <f t="shared" si="33"/>
        <v>ADNIC - Claims Operations - SME</v>
      </c>
      <c r="E2131" s="12" t="s">
        <v>141</v>
      </c>
      <c r="F2131" s="12" t="s">
        <v>163</v>
      </c>
      <c r="G2131" s="12" t="s">
        <v>164</v>
      </c>
      <c r="H2131" s="12" t="s">
        <v>1025</v>
      </c>
      <c r="I2131" s="12" t="s">
        <v>87</v>
      </c>
    </row>
    <row r="2132" spans="1:9">
      <c r="A2132" s="14">
        <v>12457</v>
      </c>
      <c r="B2132" s="14" t="s">
        <v>162</v>
      </c>
      <c r="C2132" s="12" t="s">
        <v>139</v>
      </c>
      <c r="D2132" s="15" t="str">
        <f t="shared" si="33"/>
        <v>ADNIC - Claims Operations - SMGT</v>
      </c>
      <c r="E2132" s="12" t="s">
        <v>141</v>
      </c>
      <c r="F2132" s="12" t="s">
        <v>163</v>
      </c>
      <c r="G2132" s="12" t="s">
        <v>164</v>
      </c>
      <c r="H2132" s="12" t="s">
        <v>1025</v>
      </c>
      <c r="I2132" s="12" t="s">
        <v>87</v>
      </c>
    </row>
    <row r="2133" spans="1:9">
      <c r="A2133" s="14">
        <v>12457</v>
      </c>
      <c r="B2133" s="14" t="s">
        <v>162</v>
      </c>
      <c r="C2133" s="12" t="s">
        <v>145</v>
      </c>
      <c r="D2133" s="15" t="str">
        <f t="shared" si="33"/>
        <v>ADNIC - Claims Operations - SUP</v>
      </c>
      <c r="E2133" s="12" t="s">
        <v>141</v>
      </c>
      <c r="F2133" s="12" t="s">
        <v>163</v>
      </c>
      <c r="G2133" s="12" t="s">
        <v>164</v>
      </c>
      <c r="H2133" s="12" t="s">
        <v>1025</v>
      </c>
      <c r="I2133" s="12" t="s">
        <v>87</v>
      </c>
    </row>
    <row r="2134" spans="1:9">
      <c r="A2134" s="14">
        <v>12457</v>
      </c>
      <c r="B2134" s="14" t="s">
        <v>162</v>
      </c>
      <c r="C2134" s="12" t="s">
        <v>180</v>
      </c>
      <c r="D2134" s="15" t="str">
        <f t="shared" si="33"/>
        <v>ADNIC - Claims Operations - TMG</v>
      </c>
      <c r="E2134" s="12" t="s">
        <v>141</v>
      </c>
      <c r="F2134" s="12" t="s">
        <v>163</v>
      </c>
      <c r="G2134" s="12" t="s">
        <v>164</v>
      </c>
      <c r="H2134" s="12" t="s">
        <v>1025</v>
      </c>
      <c r="I2134" s="12" t="s">
        <v>87</v>
      </c>
    </row>
    <row r="2135" spans="1:9">
      <c r="A2135" s="14">
        <v>12457</v>
      </c>
      <c r="B2135" s="14" t="s">
        <v>162</v>
      </c>
      <c r="C2135" s="12" t="s">
        <v>185</v>
      </c>
      <c r="D2135" s="15" t="str">
        <f t="shared" si="33"/>
        <v>ADNIC - Claims Operations - TPS</v>
      </c>
      <c r="E2135" s="12" t="s">
        <v>141</v>
      </c>
      <c r="F2135" s="12" t="s">
        <v>163</v>
      </c>
      <c r="G2135" s="12" t="s">
        <v>164</v>
      </c>
      <c r="H2135" s="12" t="s">
        <v>1025</v>
      </c>
      <c r="I2135" s="12" t="s">
        <v>87</v>
      </c>
    </row>
    <row r="2136" spans="1:9">
      <c r="A2136" s="14">
        <v>10773</v>
      </c>
      <c r="B2136" s="14" t="s">
        <v>192</v>
      </c>
      <c r="C2136" s="12" t="s">
        <v>193</v>
      </c>
      <c r="D2136" s="15" t="str">
        <f t="shared" si="33"/>
        <v>ADNIC L2L3 App Support India - DEV</v>
      </c>
      <c r="E2136" s="12" t="s">
        <v>117</v>
      </c>
      <c r="F2136" s="12" t="s">
        <v>117</v>
      </c>
      <c r="G2136" s="12" t="s">
        <v>117</v>
      </c>
      <c r="H2136" s="12" t="s">
        <v>1025</v>
      </c>
      <c r="I2136" s="12" t="s">
        <v>87</v>
      </c>
    </row>
    <row r="2137" spans="1:9">
      <c r="A2137" s="14">
        <v>10773</v>
      </c>
      <c r="B2137" s="14" t="s">
        <v>192</v>
      </c>
      <c r="C2137" s="12" t="s">
        <v>129</v>
      </c>
      <c r="D2137" s="15" t="str">
        <f t="shared" si="33"/>
        <v>ADNIC L2L3 App Support India - MGT</v>
      </c>
      <c r="E2137" s="12" t="s">
        <v>117</v>
      </c>
      <c r="F2137" s="12" t="s">
        <v>117</v>
      </c>
      <c r="G2137" s="12" t="s">
        <v>117</v>
      </c>
      <c r="H2137" s="12" t="s">
        <v>1025</v>
      </c>
      <c r="I2137" s="12" t="s">
        <v>87</v>
      </c>
    </row>
    <row r="2138" spans="1:9">
      <c r="A2138" s="14">
        <v>10773</v>
      </c>
      <c r="B2138" s="14" t="s">
        <v>192</v>
      </c>
      <c r="C2138" s="12" t="s">
        <v>116</v>
      </c>
      <c r="D2138" s="15" t="str">
        <f t="shared" si="33"/>
        <v>ADNIC L2L3 App Support India - PRD</v>
      </c>
      <c r="E2138" s="12" t="s">
        <v>117</v>
      </c>
      <c r="F2138" s="12" t="s">
        <v>117</v>
      </c>
      <c r="G2138" s="12" t="s">
        <v>117</v>
      </c>
      <c r="H2138" s="12" t="s">
        <v>1025</v>
      </c>
      <c r="I2138" s="12" t="s">
        <v>87</v>
      </c>
    </row>
    <row r="2139" spans="1:9">
      <c r="A2139" s="14">
        <v>10773</v>
      </c>
      <c r="B2139" s="14" t="s">
        <v>192</v>
      </c>
      <c r="C2139" s="12" t="s">
        <v>145</v>
      </c>
      <c r="D2139" s="15" t="str">
        <f t="shared" si="33"/>
        <v>ADNIC L2L3 App Support India - SUP</v>
      </c>
      <c r="E2139" s="12" t="s">
        <v>117</v>
      </c>
      <c r="F2139" s="12" t="s">
        <v>117</v>
      </c>
      <c r="G2139" s="12" t="s">
        <v>117</v>
      </c>
      <c r="H2139" s="12" t="s">
        <v>1025</v>
      </c>
      <c r="I2139" s="12" t="s">
        <v>87</v>
      </c>
    </row>
    <row r="2140" spans="1:9">
      <c r="A2140" s="14">
        <v>10773</v>
      </c>
      <c r="B2140" s="14" t="s">
        <v>192</v>
      </c>
      <c r="C2140" s="12" t="s">
        <v>185</v>
      </c>
      <c r="D2140" s="15" t="str">
        <f t="shared" si="33"/>
        <v>ADNIC L2L3 App Support India - TPS</v>
      </c>
      <c r="E2140" s="12" t="s">
        <v>117</v>
      </c>
      <c r="F2140" s="12" t="s">
        <v>117</v>
      </c>
      <c r="G2140" s="12" t="s">
        <v>117</v>
      </c>
      <c r="H2140" s="12" t="s">
        <v>1025</v>
      </c>
      <c r="I2140" s="12" t="s">
        <v>87</v>
      </c>
    </row>
    <row r="2141" spans="1:9">
      <c r="A2141" s="14">
        <v>40251</v>
      </c>
      <c r="B2141" s="14" t="s">
        <v>201</v>
      </c>
      <c r="C2141" s="12" t="s">
        <v>116</v>
      </c>
      <c r="D2141" s="15" t="str">
        <f t="shared" si="33"/>
        <v>ADNICL2L3AppSupport AbuDhabi - PRD</v>
      </c>
      <c r="E2141" s="12" t="s">
        <v>117</v>
      </c>
      <c r="F2141" s="12" t="s">
        <v>117</v>
      </c>
      <c r="G2141" s="12" t="s">
        <v>117</v>
      </c>
      <c r="H2141" s="12" t="s">
        <v>1025</v>
      </c>
      <c r="I2141" s="12" t="s">
        <v>87</v>
      </c>
    </row>
    <row r="2142" spans="1:9">
      <c r="A2142" s="14">
        <v>88146</v>
      </c>
      <c r="B2142" s="14" t="s">
        <v>206</v>
      </c>
      <c r="C2142" s="12" t="s">
        <v>145</v>
      </c>
      <c r="D2142" s="15" t="str">
        <f t="shared" si="33"/>
        <v>Advance Hiring - ITS - SUP</v>
      </c>
      <c r="E2142" s="12" t="s">
        <v>117</v>
      </c>
      <c r="F2142" s="12" t="s">
        <v>117</v>
      </c>
      <c r="G2142" s="12" t="s">
        <v>117</v>
      </c>
      <c r="H2142" s="12" t="s">
        <v>1025</v>
      </c>
      <c r="I2142" s="12" t="s">
        <v>87</v>
      </c>
    </row>
    <row r="2143" spans="1:9">
      <c r="A2143" s="14">
        <v>12351</v>
      </c>
      <c r="B2143" s="14" t="s">
        <v>209</v>
      </c>
      <c r="C2143" s="12" t="s">
        <v>133</v>
      </c>
      <c r="D2143" s="15" t="str">
        <f t="shared" si="33"/>
        <v>Aetna - CPD/LNCPD - AMG</v>
      </c>
      <c r="E2143" s="12" t="s">
        <v>141</v>
      </c>
      <c r="F2143" s="12" t="s">
        <v>163</v>
      </c>
      <c r="G2143" s="12" t="s">
        <v>164</v>
      </c>
      <c r="H2143" s="12" t="s">
        <v>1025</v>
      </c>
      <c r="I2143" s="12" t="s">
        <v>87</v>
      </c>
    </row>
    <row r="2144" spans="1:9">
      <c r="A2144" s="14">
        <v>12351</v>
      </c>
      <c r="B2144" s="14" t="s">
        <v>209</v>
      </c>
      <c r="C2144" s="12" t="s">
        <v>116</v>
      </c>
      <c r="D2144" s="15" t="str">
        <f t="shared" si="33"/>
        <v>Aetna - CPD/LNCPD - PRD</v>
      </c>
      <c r="E2144" s="12" t="s">
        <v>141</v>
      </c>
      <c r="F2144" s="12" t="s">
        <v>163</v>
      </c>
      <c r="G2144" s="12" t="s">
        <v>164</v>
      </c>
      <c r="H2144" s="12" t="s">
        <v>1025</v>
      </c>
      <c r="I2144" s="12" t="s">
        <v>87</v>
      </c>
    </row>
    <row r="2145" spans="1:9">
      <c r="A2145" s="14">
        <v>12351</v>
      </c>
      <c r="B2145" s="14" t="s">
        <v>209</v>
      </c>
      <c r="C2145" s="12" t="s">
        <v>172</v>
      </c>
      <c r="D2145" s="15" t="str">
        <f t="shared" si="33"/>
        <v>Aetna - CPD/LNCPD - SME</v>
      </c>
      <c r="E2145" s="12" t="s">
        <v>141</v>
      </c>
      <c r="F2145" s="12" t="s">
        <v>163</v>
      </c>
      <c r="G2145" s="12" t="s">
        <v>164</v>
      </c>
      <c r="H2145" s="12" t="s">
        <v>1025</v>
      </c>
      <c r="I2145" s="12" t="s">
        <v>87</v>
      </c>
    </row>
    <row r="2146" spans="1:9">
      <c r="A2146" s="14">
        <v>12351</v>
      </c>
      <c r="B2146" s="14" t="s">
        <v>209</v>
      </c>
      <c r="C2146" s="12" t="s">
        <v>145</v>
      </c>
      <c r="D2146" s="15" t="str">
        <f t="shared" si="33"/>
        <v>Aetna - CPD/LNCPD - SUP</v>
      </c>
      <c r="E2146" s="12" t="s">
        <v>141</v>
      </c>
      <c r="F2146" s="12" t="s">
        <v>163</v>
      </c>
      <c r="G2146" s="12" t="s">
        <v>164</v>
      </c>
      <c r="H2146" s="12" t="s">
        <v>1025</v>
      </c>
      <c r="I2146" s="12" t="s">
        <v>87</v>
      </c>
    </row>
    <row r="2147" spans="1:9">
      <c r="A2147" s="14">
        <v>12351</v>
      </c>
      <c r="B2147" s="14" t="s">
        <v>209</v>
      </c>
      <c r="C2147" s="12" t="s">
        <v>180</v>
      </c>
      <c r="D2147" s="15" t="str">
        <f t="shared" si="33"/>
        <v>Aetna - CPD/LNCPD - TMG</v>
      </c>
      <c r="E2147" s="12" t="s">
        <v>141</v>
      </c>
      <c r="F2147" s="12" t="s">
        <v>163</v>
      </c>
      <c r="G2147" s="12" t="s">
        <v>164</v>
      </c>
      <c r="H2147" s="12" t="s">
        <v>1025</v>
      </c>
      <c r="I2147" s="12" t="s">
        <v>87</v>
      </c>
    </row>
    <row r="2148" spans="1:9">
      <c r="A2148" s="14">
        <v>12351</v>
      </c>
      <c r="B2148" s="14" t="s">
        <v>209</v>
      </c>
      <c r="C2148" s="12" t="s">
        <v>185</v>
      </c>
      <c r="D2148" s="15" t="str">
        <f t="shared" si="33"/>
        <v>Aetna - CPD/LNCPD - TPS</v>
      </c>
      <c r="E2148" s="12" t="s">
        <v>141</v>
      </c>
      <c r="F2148" s="12" t="s">
        <v>163</v>
      </c>
      <c r="G2148" s="12" t="s">
        <v>164</v>
      </c>
      <c r="H2148" s="12" t="s">
        <v>1025</v>
      </c>
      <c r="I2148" s="12" t="s">
        <v>87</v>
      </c>
    </row>
    <row r="2149" spans="1:9">
      <c r="A2149" s="14">
        <v>10732</v>
      </c>
      <c r="B2149" s="14" t="s">
        <v>216</v>
      </c>
      <c r="C2149" s="12" t="s">
        <v>116</v>
      </c>
      <c r="D2149" s="15" t="str">
        <f t="shared" si="33"/>
        <v>AFG Support- IT Services - PRD</v>
      </c>
      <c r="E2149" s="12" t="s">
        <v>117</v>
      </c>
      <c r="F2149" s="12" t="s">
        <v>117</v>
      </c>
      <c r="G2149" s="12" t="s">
        <v>117</v>
      </c>
      <c r="H2149" s="12" t="s">
        <v>1025</v>
      </c>
      <c r="I2149" s="12" t="s">
        <v>87</v>
      </c>
    </row>
    <row r="2150" spans="1:9">
      <c r="A2150" s="14">
        <v>10789</v>
      </c>
      <c r="B2150" s="14" t="s">
        <v>219</v>
      </c>
      <c r="C2150" s="12" t="s">
        <v>150</v>
      </c>
      <c r="D2150" s="15" t="str">
        <f t="shared" si="33"/>
        <v>AirBnb India - CCS</v>
      </c>
      <c r="E2150" s="12" t="s">
        <v>154</v>
      </c>
      <c r="F2150" s="12" t="s">
        <v>127</v>
      </c>
      <c r="G2150" s="12" t="s">
        <v>128</v>
      </c>
      <c r="H2150" s="12" t="s">
        <v>1025</v>
      </c>
      <c r="I2150" s="12" t="s">
        <v>87</v>
      </c>
    </row>
    <row r="2151" spans="1:9">
      <c r="A2151" s="14">
        <v>51056</v>
      </c>
      <c r="B2151" s="14" t="s">
        <v>221</v>
      </c>
      <c r="C2151" s="12" t="s">
        <v>116</v>
      </c>
      <c r="D2151" s="15" t="str">
        <f t="shared" si="33"/>
        <v>AJG-InframanagedServices - PRD</v>
      </c>
      <c r="E2151" s="12" t="s">
        <v>117</v>
      </c>
      <c r="F2151" s="12" t="s">
        <v>117</v>
      </c>
      <c r="G2151" s="12" t="s">
        <v>117</v>
      </c>
      <c r="H2151" s="12" t="s">
        <v>1025</v>
      </c>
      <c r="I2151" s="12" t="s">
        <v>87</v>
      </c>
    </row>
    <row r="2152" spans="1:9">
      <c r="A2152" s="14">
        <v>12020</v>
      </c>
      <c r="B2152" s="14" t="s">
        <v>223</v>
      </c>
      <c r="C2152" s="12" t="s">
        <v>224</v>
      </c>
      <c r="D2152" s="15" t="str">
        <f t="shared" si="33"/>
        <v>Allscripts _US MSA - ACM</v>
      </c>
      <c r="E2152" s="12" t="s">
        <v>117</v>
      </c>
      <c r="F2152" s="12" t="s">
        <v>117</v>
      </c>
      <c r="G2152" s="12" t="s">
        <v>117</v>
      </c>
      <c r="H2152" s="12" t="s">
        <v>1025</v>
      </c>
      <c r="I2152" s="12" t="s">
        <v>87</v>
      </c>
    </row>
    <row r="2153" spans="1:9">
      <c r="A2153" s="14">
        <v>12020</v>
      </c>
      <c r="B2153" s="14" t="s">
        <v>223</v>
      </c>
      <c r="C2153" s="12" t="s">
        <v>133</v>
      </c>
      <c r="D2153" s="15" t="str">
        <f t="shared" si="33"/>
        <v>Allscripts _US MSA - AMG</v>
      </c>
      <c r="E2153" s="12" t="s">
        <v>117</v>
      </c>
      <c r="F2153" s="12" t="s">
        <v>117</v>
      </c>
      <c r="G2153" s="12" t="s">
        <v>117</v>
      </c>
      <c r="H2153" s="12" t="s">
        <v>1025</v>
      </c>
      <c r="I2153" s="12" t="s">
        <v>87</v>
      </c>
    </row>
    <row r="2154" spans="1:9">
      <c r="A2154" s="14">
        <v>12020</v>
      </c>
      <c r="B2154" s="14" t="s">
        <v>223</v>
      </c>
      <c r="C2154" s="12" t="s">
        <v>227</v>
      </c>
      <c r="D2154" s="15" t="str">
        <f t="shared" si="33"/>
        <v>Allscripts _US MSA - INT</v>
      </c>
      <c r="E2154" s="12" t="s">
        <v>117</v>
      </c>
      <c r="F2154" s="12" t="s">
        <v>117</v>
      </c>
      <c r="G2154" s="12" t="s">
        <v>117</v>
      </c>
      <c r="H2154" s="12" t="s">
        <v>1025</v>
      </c>
      <c r="I2154" s="12" t="s">
        <v>87</v>
      </c>
    </row>
    <row r="2155" spans="1:9">
      <c r="A2155" s="14">
        <v>12020</v>
      </c>
      <c r="B2155" s="14" t="s">
        <v>223</v>
      </c>
      <c r="C2155" s="12" t="s">
        <v>116</v>
      </c>
      <c r="D2155" s="15" t="str">
        <f t="shared" si="33"/>
        <v>Allscripts _US MSA - PRD</v>
      </c>
      <c r="E2155" s="12" t="s">
        <v>117</v>
      </c>
      <c r="F2155" s="12" t="s">
        <v>117</v>
      </c>
      <c r="G2155" s="12" t="s">
        <v>117</v>
      </c>
      <c r="H2155" s="12" t="s">
        <v>1025</v>
      </c>
      <c r="I2155" s="12" t="s">
        <v>87</v>
      </c>
    </row>
    <row r="2156" spans="1:9">
      <c r="A2156" s="14">
        <v>12020</v>
      </c>
      <c r="B2156" s="14" t="s">
        <v>223</v>
      </c>
      <c r="C2156" s="12" t="s">
        <v>230</v>
      </c>
      <c r="D2156" s="15" t="str">
        <f t="shared" si="33"/>
        <v>Allscripts _US MSA - PRSP</v>
      </c>
      <c r="E2156" s="12" t="s">
        <v>117</v>
      </c>
      <c r="F2156" s="12" t="s">
        <v>117</v>
      </c>
      <c r="G2156" s="12" t="s">
        <v>117</v>
      </c>
      <c r="H2156" s="12" t="s">
        <v>1025</v>
      </c>
      <c r="I2156" s="12" t="s">
        <v>87</v>
      </c>
    </row>
    <row r="2157" spans="1:9">
      <c r="A2157" s="14">
        <v>12020</v>
      </c>
      <c r="B2157" s="14" t="s">
        <v>223</v>
      </c>
      <c r="C2157" s="12" t="s">
        <v>172</v>
      </c>
      <c r="D2157" s="15" t="str">
        <f t="shared" si="33"/>
        <v>Allscripts _US MSA - SME</v>
      </c>
      <c r="E2157" s="12" t="s">
        <v>117</v>
      </c>
      <c r="F2157" s="12" t="s">
        <v>117</v>
      </c>
      <c r="G2157" s="12" t="s">
        <v>117</v>
      </c>
      <c r="H2157" s="12" t="s">
        <v>1025</v>
      </c>
      <c r="I2157" s="12" t="s">
        <v>87</v>
      </c>
    </row>
    <row r="2158" spans="1:9">
      <c r="A2158" s="14">
        <v>12020</v>
      </c>
      <c r="B2158" s="14" t="s">
        <v>223</v>
      </c>
      <c r="C2158" s="12" t="s">
        <v>139</v>
      </c>
      <c r="D2158" s="15" t="str">
        <f t="shared" si="33"/>
        <v>Allscripts _US MSA - SMGT</v>
      </c>
      <c r="E2158" s="12" t="s">
        <v>117</v>
      </c>
      <c r="F2158" s="12" t="s">
        <v>117</v>
      </c>
      <c r="G2158" s="12" t="s">
        <v>117</v>
      </c>
      <c r="H2158" s="12" t="s">
        <v>1025</v>
      </c>
      <c r="I2158" s="12" t="s">
        <v>87</v>
      </c>
    </row>
    <row r="2159" spans="1:9">
      <c r="A2159" s="14">
        <v>12020</v>
      </c>
      <c r="B2159" s="14" t="s">
        <v>223</v>
      </c>
      <c r="C2159" s="12" t="s">
        <v>145</v>
      </c>
      <c r="D2159" s="15" t="str">
        <f t="shared" si="33"/>
        <v>Allscripts _US MSA - SUP</v>
      </c>
      <c r="E2159" s="12" t="s">
        <v>117</v>
      </c>
      <c r="F2159" s="12" t="s">
        <v>117</v>
      </c>
      <c r="G2159" s="12" t="s">
        <v>117</v>
      </c>
      <c r="H2159" s="12" t="s">
        <v>1025</v>
      </c>
      <c r="I2159" s="12" t="s">
        <v>87</v>
      </c>
    </row>
    <row r="2160" spans="1:9">
      <c r="A2160" s="14">
        <v>12020</v>
      </c>
      <c r="B2160" s="14" t="s">
        <v>223</v>
      </c>
      <c r="C2160" s="12" t="s">
        <v>185</v>
      </c>
      <c r="D2160" s="15" t="str">
        <f t="shared" si="33"/>
        <v>Allscripts _US MSA - TPS</v>
      </c>
      <c r="E2160" s="12" t="s">
        <v>117</v>
      </c>
      <c r="F2160" s="12" t="s">
        <v>117</v>
      </c>
      <c r="G2160" s="12" t="s">
        <v>117</v>
      </c>
      <c r="H2160" s="12" t="s">
        <v>1025</v>
      </c>
      <c r="I2160" s="12" t="s">
        <v>87</v>
      </c>
    </row>
    <row r="2161" spans="1:9">
      <c r="A2161" s="14">
        <v>12426</v>
      </c>
      <c r="B2161" s="14" t="s">
        <v>236</v>
      </c>
      <c r="C2161" s="12" t="s">
        <v>116</v>
      </c>
      <c r="D2161" s="15" t="str">
        <f t="shared" si="33"/>
        <v>AllyAlign Health_Coding - PRD</v>
      </c>
      <c r="E2161" s="12" t="s">
        <v>159</v>
      </c>
      <c r="F2161" s="12" t="s">
        <v>237</v>
      </c>
      <c r="G2161" s="12" t="s">
        <v>238</v>
      </c>
      <c r="H2161" s="12" t="s">
        <v>1025</v>
      </c>
      <c r="I2161" s="12" t="s">
        <v>87</v>
      </c>
    </row>
    <row r="2162" spans="1:9">
      <c r="A2162" s="14">
        <v>12426</v>
      </c>
      <c r="B2162" s="14" t="s">
        <v>236</v>
      </c>
      <c r="C2162" s="12" t="s">
        <v>230</v>
      </c>
      <c r="D2162" s="15" t="str">
        <f t="shared" si="33"/>
        <v>AllyAlign Health_Coding - PRSP</v>
      </c>
      <c r="E2162" s="12" t="s">
        <v>159</v>
      </c>
      <c r="F2162" s="12" t="s">
        <v>237</v>
      </c>
      <c r="G2162" s="12" t="s">
        <v>238</v>
      </c>
      <c r="H2162" s="12" t="s">
        <v>1025</v>
      </c>
      <c r="I2162" s="12" t="s">
        <v>87</v>
      </c>
    </row>
    <row r="2163" spans="1:9">
      <c r="A2163" s="14">
        <v>12426</v>
      </c>
      <c r="B2163" s="14" t="s">
        <v>236</v>
      </c>
      <c r="C2163" s="12" t="s">
        <v>185</v>
      </c>
      <c r="D2163" s="15" t="str">
        <f t="shared" si="33"/>
        <v>AllyAlign Health_Coding - TPS</v>
      </c>
      <c r="E2163" s="12" t="s">
        <v>159</v>
      </c>
      <c r="F2163" s="12" t="s">
        <v>237</v>
      </c>
      <c r="G2163" s="12" t="s">
        <v>238</v>
      </c>
      <c r="H2163" s="12" t="s">
        <v>1025</v>
      </c>
      <c r="I2163" s="12" t="s">
        <v>87</v>
      </c>
    </row>
    <row r="2164" spans="1:9">
      <c r="A2164" s="14">
        <v>12593</v>
      </c>
      <c r="B2164" s="14" t="s">
        <v>242</v>
      </c>
      <c r="C2164" s="12" t="s">
        <v>116</v>
      </c>
      <c r="D2164" s="15" t="str">
        <f t="shared" si="33"/>
        <v>Altera - TW Prof Services - PRD</v>
      </c>
      <c r="E2164" s="12" t="s">
        <v>117</v>
      </c>
      <c r="F2164" s="12" t="s">
        <v>117</v>
      </c>
      <c r="G2164" s="12" t="s">
        <v>117</v>
      </c>
      <c r="H2164" s="12" t="s">
        <v>1025</v>
      </c>
      <c r="I2164" s="12" t="s">
        <v>87</v>
      </c>
    </row>
    <row r="2165" spans="1:9">
      <c r="A2165" s="14">
        <v>12593</v>
      </c>
      <c r="B2165" s="14" t="s">
        <v>242</v>
      </c>
      <c r="C2165" s="12" t="s">
        <v>145</v>
      </c>
      <c r="D2165" s="15" t="str">
        <f t="shared" si="33"/>
        <v>Altera - TW Prof Services - SUP</v>
      </c>
      <c r="E2165" s="12" t="s">
        <v>117</v>
      </c>
      <c r="F2165" s="12" t="s">
        <v>117</v>
      </c>
      <c r="G2165" s="12" t="s">
        <v>117</v>
      </c>
      <c r="H2165" s="12" t="s">
        <v>1025</v>
      </c>
      <c r="I2165" s="12" t="s">
        <v>87</v>
      </c>
    </row>
    <row r="2166" spans="1:9">
      <c r="A2166" s="14">
        <v>12522</v>
      </c>
      <c r="B2166" s="14" t="s">
        <v>245</v>
      </c>
      <c r="C2166" s="12" t="s">
        <v>116</v>
      </c>
      <c r="D2166" s="15" t="str">
        <f t="shared" si="33"/>
        <v>AmeriHealth Caritas_Credential - PRD</v>
      </c>
      <c r="E2166" s="12" t="s">
        <v>141</v>
      </c>
      <c r="F2166" s="12" t="s">
        <v>163</v>
      </c>
      <c r="G2166" s="12" t="s">
        <v>164</v>
      </c>
      <c r="H2166" s="12" t="s">
        <v>1025</v>
      </c>
      <c r="I2166" s="12" t="s">
        <v>87</v>
      </c>
    </row>
    <row r="2167" spans="1:9">
      <c r="A2167" s="14">
        <v>12522</v>
      </c>
      <c r="B2167" s="14" t="s">
        <v>245</v>
      </c>
      <c r="C2167" s="12" t="s">
        <v>180</v>
      </c>
      <c r="D2167" s="15" t="str">
        <f t="shared" si="33"/>
        <v>AmeriHealth Caritas_Credential - TMG</v>
      </c>
      <c r="E2167" s="12" t="s">
        <v>141</v>
      </c>
      <c r="F2167" s="12" t="s">
        <v>163</v>
      </c>
      <c r="G2167" s="12" t="s">
        <v>164</v>
      </c>
      <c r="H2167" s="12" t="s">
        <v>1025</v>
      </c>
      <c r="I2167" s="12" t="s">
        <v>87</v>
      </c>
    </row>
    <row r="2168" spans="1:9">
      <c r="A2168" s="14">
        <v>12522</v>
      </c>
      <c r="B2168" s="14" t="s">
        <v>245</v>
      </c>
      <c r="C2168" s="12" t="s">
        <v>185</v>
      </c>
      <c r="D2168" s="15" t="str">
        <f t="shared" si="33"/>
        <v>AmeriHealth Caritas_Credential - TPS</v>
      </c>
      <c r="E2168" s="12" t="s">
        <v>141</v>
      </c>
      <c r="F2168" s="12" t="s">
        <v>163</v>
      </c>
      <c r="G2168" s="12" t="s">
        <v>164</v>
      </c>
      <c r="H2168" s="12" t="s">
        <v>1025</v>
      </c>
      <c r="I2168" s="12" t="s">
        <v>87</v>
      </c>
    </row>
    <row r="2169" spans="1:9">
      <c r="A2169" s="14">
        <v>12538</v>
      </c>
      <c r="B2169" s="14" t="s">
        <v>249</v>
      </c>
      <c r="C2169" s="12" t="s">
        <v>250</v>
      </c>
      <c r="D2169" s="15" t="str">
        <f t="shared" si="33"/>
        <v>AmeriHealth_ProviderEnrollment - LED</v>
      </c>
      <c r="E2169" s="12" t="s">
        <v>141</v>
      </c>
      <c r="F2169" s="12" t="s">
        <v>163</v>
      </c>
      <c r="G2169" s="12" t="s">
        <v>164</v>
      </c>
      <c r="H2169" s="12" t="s">
        <v>1025</v>
      </c>
      <c r="I2169" s="12" t="s">
        <v>87</v>
      </c>
    </row>
    <row r="2170" spans="1:9">
      <c r="A2170" s="14">
        <v>12538</v>
      </c>
      <c r="B2170" s="14" t="s">
        <v>249</v>
      </c>
      <c r="C2170" s="12" t="s">
        <v>116</v>
      </c>
      <c r="D2170" s="15" t="str">
        <f t="shared" si="33"/>
        <v>AmeriHealth_ProviderEnrollment - PRD</v>
      </c>
      <c r="E2170" s="12" t="s">
        <v>141</v>
      </c>
      <c r="F2170" s="12" t="s">
        <v>163</v>
      </c>
      <c r="G2170" s="12" t="s">
        <v>164</v>
      </c>
      <c r="H2170" s="12" t="s">
        <v>1025</v>
      </c>
      <c r="I2170" s="12" t="s">
        <v>87</v>
      </c>
    </row>
    <row r="2171" spans="1:9">
      <c r="A2171" s="14">
        <v>12538</v>
      </c>
      <c r="B2171" s="14" t="s">
        <v>249</v>
      </c>
      <c r="C2171" s="12" t="s">
        <v>139</v>
      </c>
      <c r="D2171" s="15" t="str">
        <f t="shared" si="33"/>
        <v>AmeriHealth_ProviderEnrollment - SMGT</v>
      </c>
      <c r="E2171" s="12" t="s">
        <v>141</v>
      </c>
      <c r="F2171" s="12" t="s">
        <v>163</v>
      </c>
      <c r="G2171" s="12" t="s">
        <v>164</v>
      </c>
      <c r="H2171" s="12" t="s">
        <v>1025</v>
      </c>
      <c r="I2171" s="12" t="s">
        <v>87</v>
      </c>
    </row>
    <row r="2172" spans="1:9">
      <c r="A2172" s="14">
        <v>12538</v>
      </c>
      <c r="B2172" s="14" t="s">
        <v>249</v>
      </c>
      <c r="C2172" s="12" t="s">
        <v>180</v>
      </c>
      <c r="D2172" s="15" t="str">
        <f t="shared" si="33"/>
        <v>AmeriHealth_ProviderEnrollment - TMG</v>
      </c>
      <c r="E2172" s="12" t="s">
        <v>141</v>
      </c>
      <c r="F2172" s="12" t="s">
        <v>163</v>
      </c>
      <c r="G2172" s="12" t="s">
        <v>164</v>
      </c>
      <c r="H2172" s="12" t="s">
        <v>1025</v>
      </c>
      <c r="I2172" s="12" t="s">
        <v>87</v>
      </c>
    </row>
    <row r="2173" spans="1:9">
      <c r="A2173" s="14">
        <v>12538</v>
      </c>
      <c r="B2173" s="14" t="s">
        <v>249</v>
      </c>
      <c r="C2173" s="12" t="s">
        <v>185</v>
      </c>
      <c r="D2173" s="15" t="str">
        <f t="shared" si="33"/>
        <v>AmeriHealth_ProviderEnrollment - TPS</v>
      </c>
      <c r="E2173" s="12" t="s">
        <v>141</v>
      </c>
      <c r="F2173" s="12" t="s">
        <v>163</v>
      </c>
      <c r="G2173" s="12" t="s">
        <v>164</v>
      </c>
      <c r="H2173" s="12" t="s">
        <v>1025</v>
      </c>
      <c r="I2173" s="12" t="s">
        <v>87</v>
      </c>
    </row>
    <row r="2174" spans="1:9">
      <c r="A2174" s="14">
        <v>93675</v>
      </c>
      <c r="B2174" s="14" t="s">
        <v>256</v>
      </c>
      <c r="C2174" s="12" t="s">
        <v>145</v>
      </c>
      <c r="D2174" s="15" t="str">
        <f t="shared" si="33"/>
        <v>Analyst &amp; Advisor Relations - SUP</v>
      </c>
      <c r="E2174" s="12" t="s">
        <v>118</v>
      </c>
      <c r="F2174" s="12" t="s">
        <v>257</v>
      </c>
      <c r="G2174" s="12" t="s">
        <v>114</v>
      </c>
      <c r="H2174" s="12" t="s">
        <v>1025</v>
      </c>
      <c r="I2174" s="12" t="s">
        <v>87</v>
      </c>
    </row>
    <row r="2175" spans="1:9">
      <c r="A2175" s="14">
        <v>12498</v>
      </c>
      <c r="B2175" s="14" t="s">
        <v>259</v>
      </c>
      <c r="C2175" s="12" t="s">
        <v>185</v>
      </c>
      <c r="D2175" s="15" t="str">
        <f t="shared" si="33"/>
        <v>Anthem - Provider Enrollment - TPS</v>
      </c>
      <c r="E2175" s="12" t="s">
        <v>141</v>
      </c>
      <c r="F2175" s="12" t="s">
        <v>163</v>
      </c>
      <c r="G2175" s="12" t="s">
        <v>164</v>
      </c>
      <c r="H2175" s="12" t="s">
        <v>1025</v>
      </c>
      <c r="I2175" s="12" t="s">
        <v>87</v>
      </c>
    </row>
    <row r="2176" spans="1:9">
      <c r="A2176" s="14">
        <v>95302</v>
      </c>
      <c r="B2176" s="14" t="s">
        <v>261</v>
      </c>
      <c r="C2176" s="12" t="s">
        <v>262</v>
      </c>
      <c r="D2176" s="15" t="str">
        <f t="shared" si="33"/>
        <v>Application Support - GSI</v>
      </c>
      <c r="E2176" s="12" t="s">
        <v>118</v>
      </c>
      <c r="F2176" s="12" t="s">
        <v>263</v>
      </c>
      <c r="G2176" s="12" t="s">
        <v>264</v>
      </c>
      <c r="H2176" s="12" t="s">
        <v>1025</v>
      </c>
      <c r="I2176" s="12" t="s">
        <v>87</v>
      </c>
    </row>
    <row r="2177" spans="1:9">
      <c r="A2177" s="14">
        <v>95302</v>
      </c>
      <c r="B2177" s="14" t="s">
        <v>261</v>
      </c>
      <c r="C2177" s="12" t="s">
        <v>177</v>
      </c>
      <c r="D2177" s="15" t="str">
        <f t="shared" si="33"/>
        <v>Application Support - OPS</v>
      </c>
      <c r="E2177" s="12" t="s">
        <v>118</v>
      </c>
      <c r="F2177" s="12" t="s">
        <v>263</v>
      </c>
      <c r="G2177" s="12" t="s">
        <v>264</v>
      </c>
      <c r="H2177" s="12" t="s">
        <v>1025</v>
      </c>
      <c r="I2177" s="12" t="s">
        <v>87</v>
      </c>
    </row>
    <row r="2178" spans="1:9">
      <c r="A2178" s="14">
        <v>95302</v>
      </c>
      <c r="B2178" s="14" t="s">
        <v>261</v>
      </c>
      <c r="C2178" s="12" t="s">
        <v>145</v>
      </c>
      <c r="D2178" s="15" t="str">
        <f t="shared" ref="D2178:D2241" si="34">B2178&amp;" - "&amp;C2178</f>
        <v>Application Support - SUP</v>
      </c>
      <c r="E2178" s="12" t="s">
        <v>118</v>
      </c>
      <c r="F2178" s="12" t="s">
        <v>263</v>
      </c>
      <c r="G2178" s="12" t="s">
        <v>264</v>
      </c>
      <c r="H2178" s="12" t="s">
        <v>1025</v>
      </c>
      <c r="I2178" s="12" t="s">
        <v>87</v>
      </c>
    </row>
    <row r="2179" spans="1:9">
      <c r="A2179" s="14">
        <v>95230</v>
      </c>
      <c r="B2179" s="14" t="s">
        <v>268</v>
      </c>
      <c r="C2179" s="12" t="s">
        <v>262</v>
      </c>
      <c r="D2179" s="15" t="str">
        <f t="shared" si="34"/>
        <v>Application Testing - GSI</v>
      </c>
      <c r="E2179" s="12" t="s">
        <v>118</v>
      </c>
      <c r="F2179" s="12" t="s">
        <v>263</v>
      </c>
      <c r="G2179" s="12" t="s">
        <v>264</v>
      </c>
      <c r="H2179" s="12" t="s">
        <v>1025</v>
      </c>
      <c r="I2179" s="12" t="s">
        <v>87</v>
      </c>
    </row>
    <row r="2180" spans="1:9">
      <c r="A2180" s="14">
        <v>95230</v>
      </c>
      <c r="B2180" s="14" t="s">
        <v>268</v>
      </c>
      <c r="C2180" s="12" t="s">
        <v>145</v>
      </c>
      <c r="D2180" s="15" t="str">
        <f t="shared" si="34"/>
        <v>Application Testing - SUP</v>
      </c>
      <c r="E2180" s="12" t="s">
        <v>118</v>
      </c>
      <c r="F2180" s="12" t="s">
        <v>263</v>
      </c>
      <c r="G2180" s="12" t="s">
        <v>264</v>
      </c>
      <c r="H2180" s="12" t="s">
        <v>1025</v>
      </c>
      <c r="I2180" s="12" t="s">
        <v>87</v>
      </c>
    </row>
    <row r="2181" spans="1:9">
      <c r="A2181" s="14">
        <v>33002</v>
      </c>
      <c r="B2181" s="14" t="s">
        <v>272</v>
      </c>
      <c r="C2181" s="12" t="s">
        <v>145</v>
      </c>
      <c r="D2181" s="15" t="str">
        <f t="shared" si="34"/>
        <v>Aramco - GSBS - SUP</v>
      </c>
      <c r="E2181" s="12" t="s">
        <v>117</v>
      </c>
      <c r="F2181" s="12" t="s">
        <v>117</v>
      </c>
      <c r="G2181" s="12" t="s">
        <v>117</v>
      </c>
      <c r="H2181" s="12" t="s">
        <v>1025</v>
      </c>
      <c r="I2181" s="12" t="s">
        <v>87</v>
      </c>
    </row>
    <row r="2182" spans="1:9">
      <c r="A2182" s="14">
        <v>10949</v>
      </c>
      <c r="B2182" s="14" t="s">
        <v>274</v>
      </c>
      <c r="C2182" s="12" t="s">
        <v>145</v>
      </c>
      <c r="D2182" s="15" t="str">
        <f t="shared" si="34"/>
        <v>Arch Re Offshore Tech JC - SUP</v>
      </c>
      <c r="E2182" s="12" t="s">
        <v>117</v>
      </c>
      <c r="F2182" s="12" t="s">
        <v>117</v>
      </c>
      <c r="G2182" s="12" t="s">
        <v>117</v>
      </c>
      <c r="H2182" s="12" t="s">
        <v>1025</v>
      </c>
      <c r="I2182" s="12" t="s">
        <v>87</v>
      </c>
    </row>
    <row r="2183" spans="1:9">
      <c r="A2183" s="14">
        <v>12621</v>
      </c>
      <c r="B2183" s="14" t="s">
        <v>276</v>
      </c>
      <c r="C2183" s="12" t="s">
        <v>116</v>
      </c>
      <c r="D2183" s="15" t="str">
        <f t="shared" si="34"/>
        <v>Arkansas - Report Development - PRD</v>
      </c>
      <c r="E2183" s="12" t="s">
        <v>117</v>
      </c>
      <c r="F2183" s="12" t="s">
        <v>117</v>
      </c>
      <c r="G2183" s="12" t="s">
        <v>117</v>
      </c>
      <c r="H2183" s="12" t="s">
        <v>1025</v>
      </c>
      <c r="I2183" s="12" t="s">
        <v>87</v>
      </c>
    </row>
    <row r="2184" spans="1:9">
      <c r="A2184" s="14">
        <v>12567</v>
      </c>
      <c r="B2184" s="14" t="s">
        <v>278</v>
      </c>
      <c r="C2184" s="12" t="s">
        <v>185</v>
      </c>
      <c r="D2184" s="15" t="str">
        <f t="shared" si="34"/>
        <v>Athena - Coding - TPS</v>
      </c>
      <c r="E2184" s="12" t="s">
        <v>159</v>
      </c>
      <c r="F2184" s="12" t="s">
        <v>237</v>
      </c>
      <c r="G2184" s="12" t="s">
        <v>238</v>
      </c>
      <c r="H2184" s="12" t="s">
        <v>1025</v>
      </c>
      <c r="I2184" s="12" t="s">
        <v>87</v>
      </c>
    </row>
    <row r="2185" spans="1:9">
      <c r="A2185" s="14">
        <v>12602</v>
      </c>
      <c r="B2185" s="14" t="s">
        <v>280</v>
      </c>
      <c r="C2185" s="12" t="s">
        <v>116</v>
      </c>
      <c r="D2185" s="15" t="str">
        <f t="shared" si="34"/>
        <v>Athena - Coding - NFB - PRD</v>
      </c>
      <c r="E2185" s="12" t="s">
        <v>159</v>
      </c>
      <c r="F2185" s="12" t="s">
        <v>237</v>
      </c>
      <c r="G2185" s="12" t="s">
        <v>238</v>
      </c>
      <c r="H2185" s="12" t="s">
        <v>1025</v>
      </c>
      <c r="I2185" s="12" t="s">
        <v>87</v>
      </c>
    </row>
    <row r="2186" spans="1:9">
      <c r="A2186" s="14">
        <v>12557</v>
      </c>
      <c r="B2186" s="14" t="s">
        <v>282</v>
      </c>
      <c r="C2186" s="12" t="s">
        <v>145</v>
      </c>
      <c r="D2186" s="15" t="str">
        <f t="shared" si="34"/>
        <v>Athena - Community Hosp Coding - SUP</v>
      </c>
      <c r="E2186" s="12" t="s">
        <v>159</v>
      </c>
      <c r="F2186" s="12" t="s">
        <v>237</v>
      </c>
      <c r="G2186" s="12" t="s">
        <v>238</v>
      </c>
      <c r="H2186" s="12" t="s">
        <v>1025</v>
      </c>
      <c r="I2186" s="12" t="s">
        <v>87</v>
      </c>
    </row>
    <row r="2187" spans="1:9">
      <c r="A2187" s="14">
        <v>12624</v>
      </c>
      <c r="B2187" s="14" t="s">
        <v>284</v>
      </c>
      <c r="C2187" s="12" t="s">
        <v>185</v>
      </c>
      <c r="D2187" s="15" t="str">
        <f t="shared" si="34"/>
        <v>Athena - Cred - TPS</v>
      </c>
      <c r="E2187" s="12" t="s">
        <v>154</v>
      </c>
      <c r="F2187" s="12" t="s">
        <v>163</v>
      </c>
      <c r="G2187" s="12" t="s">
        <v>164</v>
      </c>
      <c r="H2187" s="12" t="s">
        <v>1025</v>
      </c>
      <c r="I2187" s="12" t="s">
        <v>87</v>
      </c>
    </row>
    <row r="2188" spans="1:9">
      <c r="A2188" s="14">
        <v>12600</v>
      </c>
      <c r="B2188" s="14" t="s">
        <v>286</v>
      </c>
      <c r="C2188" s="12" t="s">
        <v>116</v>
      </c>
      <c r="D2188" s="15" t="str">
        <f t="shared" si="34"/>
        <v>Athena - IN COMPASS Coding - PRD</v>
      </c>
      <c r="E2188" s="12" t="s">
        <v>159</v>
      </c>
      <c r="F2188" s="12" t="s">
        <v>237</v>
      </c>
      <c r="G2188" s="12" t="s">
        <v>238</v>
      </c>
      <c r="H2188" s="12" t="s">
        <v>1025</v>
      </c>
      <c r="I2188" s="12" t="s">
        <v>87</v>
      </c>
    </row>
    <row r="2189" spans="1:9">
      <c r="A2189" s="14">
        <v>12589</v>
      </c>
      <c r="B2189" s="14" t="s">
        <v>288</v>
      </c>
      <c r="C2189" s="12" t="s">
        <v>116</v>
      </c>
      <c r="D2189" s="15" t="str">
        <f t="shared" si="34"/>
        <v>Athena - RPA - NFB - PRD</v>
      </c>
      <c r="E2189" s="12" t="s">
        <v>118</v>
      </c>
      <c r="F2189" s="12" t="s">
        <v>117</v>
      </c>
      <c r="G2189" s="12" t="s">
        <v>117</v>
      </c>
      <c r="H2189" s="12" t="s">
        <v>1025</v>
      </c>
      <c r="I2189" s="12" t="s">
        <v>87</v>
      </c>
    </row>
    <row r="2190" spans="1:9">
      <c r="A2190" s="14">
        <v>12543</v>
      </c>
      <c r="B2190" s="14" t="s">
        <v>290</v>
      </c>
      <c r="C2190" s="12" t="s">
        <v>185</v>
      </c>
      <c r="D2190" s="15" t="str">
        <f t="shared" si="34"/>
        <v>Athena - Panoramic Health - TPS</v>
      </c>
      <c r="E2190" s="12" t="s">
        <v>154</v>
      </c>
      <c r="F2190" s="12" t="s">
        <v>163</v>
      </c>
      <c r="G2190" s="12" t="s">
        <v>164</v>
      </c>
      <c r="H2190" s="12" t="s">
        <v>1025</v>
      </c>
      <c r="I2190" s="12" t="s">
        <v>87</v>
      </c>
    </row>
    <row r="2191" spans="1:9">
      <c r="A2191" s="14">
        <v>12524</v>
      </c>
      <c r="B2191" s="14" t="s">
        <v>292</v>
      </c>
      <c r="C2191" s="12" t="s">
        <v>145</v>
      </c>
      <c r="D2191" s="15" t="str">
        <f t="shared" si="34"/>
        <v>Athena - RPA - SUP</v>
      </c>
      <c r="E2191" s="12" t="s">
        <v>118</v>
      </c>
      <c r="F2191" s="12" t="s">
        <v>117</v>
      </c>
      <c r="G2191" s="12" t="s">
        <v>117</v>
      </c>
      <c r="H2191" s="12" t="s">
        <v>1025</v>
      </c>
      <c r="I2191" s="12" t="s">
        <v>87</v>
      </c>
    </row>
    <row r="2192" spans="1:9">
      <c r="A2192" s="14">
        <v>12570</v>
      </c>
      <c r="B2192" s="14" t="s">
        <v>294</v>
      </c>
      <c r="C2192" s="12" t="s">
        <v>138</v>
      </c>
      <c r="D2192" s="15" t="str">
        <f t="shared" si="34"/>
        <v>Athena - RCM - BOS</v>
      </c>
      <c r="E2192" s="12" t="s">
        <v>154</v>
      </c>
      <c r="F2192" s="12" t="s">
        <v>163</v>
      </c>
      <c r="G2192" s="12" t="s">
        <v>164</v>
      </c>
      <c r="H2192" s="12" t="s">
        <v>1025</v>
      </c>
      <c r="I2192" s="12" t="s">
        <v>87</v>
      </c>
    </row>
    <row r="2193" spans="1:9">
      <c r="A2193" s="14">
        <v>12570</v>
      </c>
      <c r="B2193" s="14" t="s">
        <v>294</v>
      </c>
      <c r="C2193" s="12" t="s">
        <v>116</v>
      </c>
      <c r="D2193" s="15" t="str">
        <f t="shared" si="34"/>
        <v>Athena - RCM - PRD</v>
      </c>
      <c r="E2193" s="12" t="s">
        <v>154</v>
      </c>
      <c r="F2193" s="12" t="s">
        <v>163</v>
      </c>
      <c r="G2193" s="12" t="s">
        <v>164</v>
      </c>
      <c r="H2193" s="12" t="s">
        <v>1025</v>
      </c>
      <c r="I2193" s="12" t="s">
        <v>87</v>
      </c>
    </row>
    <row r="2194" spans="1:9">
      <c r="A2194" s="14">
        <v>12524</v>
      </c>
      <c r="B2194" s="43" t="s">
        <v>292</v>
      </c>
      <c r="C2194" s="44" t="s">
        <v>145</v>
      </c>
      <c r="D2194" s="15" t="str">
        <f t="shared" si="34"/>
        <v>Athena - RPA - SUP</v>
      </c>
      <c r="E2194" s="12" t="s">
        <v>118</v>
      </c>
      <c r="F2194" s="12" t="s">
        <v>117</v>
      </c>
      <c r="G2194" s="12" t="s">
        <v>117</v>
      </c>
      <c r="H2194" s="12" t="s">
        <v>1025</v>
      </c>
      <c r="I2194" s="12" t="s">
        <v>87</v>
      </c>
    </row>
    <row r="2195" spans="1:9">
      <c r="A2195" s="14">
        <v>12599</v>
      </c>
      <c r="B2195" s="14" t="s">
        <v>298</v>
      </c>
      <c r="C2195" s="12" t="s">
        <v>116</v>
      </c>
      <c r="D2195" s="15" t="str">
        <f t="shared" si="34"/>
        <v>Athena RCM - NFB - PRD</v>
      </c>
      <c r="E2195" s="12" t="s">
        <v>154</v>
      </c>
      <c r="F2195" s="12" t="s">
        <v>163</v>
      </c>
      <c r="G2195" s="12" t="s">
        <v>164</v>
      </c>
      <c r="H2195" s="12" t="s">
        <v>1025</v>
      </c>
      <c r="I2195" s="12" t="s">
        <v>87</v>
      </c>
    </row>
    <row r="2196" spans="1:9">
      <c r="A2196" s="14">
        <v>12029</v>
      </c>
      <c r="B2196" s="14" t="s">
        <v>300</v>
      </c>
      <c r="C2196" s="12" t="s">
        <v>185</v>
      </c>
      <c r="D2196" s="15" t="str">
        <f t="shared" si="34"/>
        <v>BCBS-AZ SOW 2-Credentialling - TPS</v>
      </c>
      <c r="E2196" s="12" t="s">
        <v>141</v>
      </c>
      <c r="F2196" s="12" t="s">
        <v>163</v>
      </c>
      <c r="G2196" s="12" t="s">
        <v>164</v>
      </c>
      <c r="H2196" s="12" t="s">
        <v>1025</v>
      </c>
      <c r="I2196" s="12" t="s">
        <v>87</v>
      </c>
    </row>
    <row r="2197" spans="1:9">
      <c r="A2197" s="14">
        <v>93621</v>
      </c>
      <c r="B2197" s="14" t="s">
        <v>302</v>
      </c>
      <c r="C2197" s="12" t="s">
        <v>145</v>
      </c>
      <c r="D2197" s="15" t="str">
        <f t="shared" si="34"/>
        <v>BD - Sales team/ Compensation - SUP</v>
      </c>
      <c r="E2197" s="12" t="s">
        <v>118</v>
      </c>
      <c r="F2197" s="12" t="s">
        <v>303</v>
      </c>
      <c r="G2197" s="12" t="s">
        <v>114</v>
      </c>
      <c r="H2197" s="12" t="s">
        <v>1025</v>
      </c>
      <c r="I2197" s="12" t="s">
        <v>87</v>
      </c>
    </row>
    <row r="2198" spans="1:9">
      <c r="A2198" s="14">
        <v>10852</v>
      </c>
      <c r="B2198" s="14" t="s">
        <v>305</v>
      </c>
      <c r="C2198" s="12" t="s">
        <v>306</v>
      </c>
      <c r="D2198" s="15" t="str">
        <f t="shared" si="34"/>
        <v>Beachbody-DBS - FAO</v>
      </c>
      <c r="E2198" s="12" t="s">
        <v>118</v>
      </c>
      <c r="F2198" s="12" t="s">
        <v>122</v>
      </c>
      <c r="G2198" s="12" t="s">
        <v>114</v>
      </c>
      <c r="H2198" s="12" t="s">
        <v>1025</v>
      </c>
      <c r="I2198" s="12" t="s">
        <v>87</v>
      </c>
    </row>
    <row r="2199" spans="1:9">
      <c r="A2199" s="14">
        <v>12620</v>
      </c>
      <c r="B2199" s="14" t="s">
        <v>308</v>
      </c>
      <c r="C2199" s="12" t="s">
        <v>185</v>
      </c>
      <c r="D2199" s="15" t="str">
        <f t="shared" si="34"/>
        <v>BedRock - Cred &amp; Enrollment - TPS</v>
      </c>
      <c r="E2199" s="12" t="s">
        <v>154</v>
      </c>
      <c r="F2199" s="12" t="s">
        <v>163</v>
      </c>
      <c r="G2199" s="12" t="s">
        <v>164</v>
      </c>
      <c r="H2199" s="12" t="s">
        <v>1025</v>
      </c>
      <c r="I2199" s="12" t="s">
        <v>87</v>
      </c>
    </row>
    <row r="2200" spans="1:9">
      <c r="A2200" s="14">
        <v>12628</v>
      </c>
      <c r="B2200" s="14" t="s">
        <v>310</v>
      </c>
      <c r="C2200" s="12" t="s">
        <v>185</v>
      </c>
      <c r="D2200" s="15" t="str">
        <f t="shared" si="34"/>
        <v>BedRock - RCM - TPS</v>
      </c>
      <c r="E2200" s="12" t="s">
        <v>154</v>
      </c>
      <c r="F2200" s="12" t="s">
        <v>163</v>
      </c>
      <c r="G2200" s="12" t="s">
        <v>164</v>
      </c>
      <c r="H2200" s="12" t="s">
        <v>1025</v>
      </c>
      <c r="I2200" s="12" t="s">
        <v>87</v>
      </c>
    </row>
    <row r="2201" spans="1:9">
      <c r="A2201" s="14">
        <v>88156</v>
      </c>
      <c r="B2201" s="14" t="s">
        <v>312</v>
      </c>
      <c r="C2201" s="12" t="s">
        <v>116</v>
      </c>
      <c r="D2201" s="15" t="str">
        <f t="shared" si="34"/>
        <v>Bench - New Business - DHES - PRD</v>
      </c>
      <c r="E2201" s="12" t="s">
        <v>117</v>
      </c>
      <c r="F2201" s="12" t="s">
        <v>117</v>
      </c>
      <c r="G2201" s="12" t="s">
        <v>117</v>
      </c>
      <c r="H2201" s="12" t="s">
        <v>1025</v>
      </c>
      <c r="I2201" s="12" t="s">
        <v>87</v>
      </c>
    </row>
    <row r="2202" spans="1:9">
      <c r="A2202" s="14">
        <v>88156</v>
      </c>
      <c r="B2202" s="14" t="s">
        <v>312</v>
      </c>
      <c r="C2202" s="12" t="s">
        <v>145</v>
      </c>
      <c r="D2202" s="15" t="str">
        <f t="shared" si="34"/>
        <v>Bench - New Business - DHES - SUP</v>
      </c>
      <c r="E2202" s="12" t="s">
        <v>117</v>
      </c>
      <c r="F2202" s="12" t="s">
        <v>117</v>
      </c>
      <c r="G2202" s="12" t="s">
        <v>117</v>
      </c>
      <c r="H2202" s="12" t="s">
        <v>1025</v>
      </c>
      <c r="I2202" s="12" t="s">
        <v>87</v>
      </c>
    </row>
    <row r="2203" spans="1:9">
      <c r="A2203" s="14">
        <v>88156</v>
      </c>
      <c r="B2203" s="14" t="s">
        <v>312</v>
      </c>
      <c r="C2203" s="12" t="s">
        <v>185</v>
      </c>
      <c r="D2203" s="15" t="str">
        <f t="shared" si="34"/>
        <v>Bench - New Business - DHES - TPS</v>
      </c>
      <c r="E2203" s="12" t="s">
        <v>117</v>
      </c>
      <c r="F2203" s="12" t="s">
        <v>117</v>
      </c>
      <c r="G2203" s="12" t="s">
        <v>117</v>
      </c>
      <c r="H2203" s="12" t="s">
        <v>1025</v>
      </c>
      <c r="I2203" s="12" t="s">
        <v>87</v>
      </c>
    </row>
    <row r="2204" spans="1:9">
      <c r="A2204" s="14">
        <v>12549</v>
      </c>
      <c r="B2204" s="14" t="s">
        <v>316</v>
      </c>
      <c r="C2204" s="12" t="s">
        <v>185</v>
      </c>
      <c r="D2204" s="15" t="str">
        <f t="shared" si="34"/>
        <v>Bermuda - BHB Funding Model - TPS</v>
      </c>
      <c r="E2204" s="12" t="s">
        <v>141</v>
      </c>
      <c r="F2204" s="12" t="s">
        <v>163</v>
      </c>
      <c r="G2204" s="12" t="s">
        <v>164</v>
      </c>
      <c r="H2204" s="12" t="s">
        <v>1025</v>
      </c>
      <c r="I2204" s="12" t="s">
        <v>87</v>
      </c>
    </row>
    <row r="2205" spans="1:9">
      <c r="A2205" s="14">
        <v>88046</v>
      </c>
      <c r="B2205" s="14" t="s">
        <v>318</v>
      </c>
      <c r="C2205" s="12" t="s">
        <v>306</v>
      </c>
      <c r="D2205" s="15" t="str">
        <f t="shared" si="34"/>
        <v>BPT – SD Support - FAO</v>
      </c>
      <c r="E2205" s="12" t="s">
        <v>118</v>
      </c>
      <c r="F2205" s="12" t="s">
        <v>122</v>
      </c>
      <c r="G2205" s="12" t="s">
        <v>114</v>
      </c>
      <c r="H2205" s="12" t="s">
        <v>1025</v>
      </c>
      <c r="I2205" s="12" t="s">
        <v>87</v>
      </c>
    </row>
    <row r="2206" spans="1:9">
      <c r="A2206" s="14">
        <v>88046</v>
      </c>
      <c r="B2206" s="14" t="s">
        <v>318</v>
      </c>
      <c r="C2206" s="12" t="s">
        <v>145</v>
      </c>
      <c r="D2206" s="15" t="str">
        <f t="shared" si="34"/>
        <v>BPT – SD Support - SUP</v>
      </c>
      <c r="E2206" s="12" t="s">
        <v>118</v>
      </c>
      <c r="F2206" s="12" t="s">
        <v>122</v>
      </c>
      <c r="G2206" s="12" t="s">
        <v>114</v>
      </c>
      <c r="H2206" s="12" t="s">
        <v>1025</v>
      </c>
      <c r="I2206" s="12" t="s">
        <v>87</v>
      </c>
    </row>
    <row r="2207" spans="1:9">
      <c r="A2207" s="14">
        <v>88046</v>
      </c>
      <c r="B2207" s="14" t="s">
        <v>318</v>
      </c>
      <c r="C2207" s="12" t="s">
        <v>185</v>
      </c>
      <c r="D2207" s="15" t="str">
        <f t="shared" si="34"/>
        <v>BPT – SD Support - TPS</v>
      </c>
      <c r="E2207" s="12" t="s">
        <v>118</v>
      </c>
      <c r="F2207" s="12" t="s">
        <v>122</v>
      </c>
      <c r="G2207" s="12" t="s">
        <v>114</v>
      </c>
      <c r="H2207" s="12" t="s">
        <v>1025</v>
      </c>
      <c r="I2207" s="12" t="s">
        <v>87</v>
      </c>
    </row>
    <row r="2208" spans="1:9">
      <c r="A2208" s="14">
        <v>87100</v>
      </c>
      <c r="B2208" s="14" t="s">
        <v>322</v>
      </c>
      <c r="C2208" s="12" t="s">
        <v>139</v>
      </c>
      <c r="D2208" s="15" t="str">
        <f t="shared" si="34"/>
        <v>BTS COMMON JC_93605 - SMGT</v>
      </c>
      <c r="E2208" s="12" t="s">
        <v>118</v>
      </c>
      <c r="F2208" s="12" t="s">
        <v>323</v>
      </c>
      <c r="G2208" s="12" t="s">
        <v>114</v>
      </c>
      <c r="H2208" s="12" t="s">
        <v>1025</v>
      </c>
      <c r="I2208" s="12" t="s">
        <v>87</v>
      </c>
    </row>
    <row r="2209" spans="1:9">
      <c r="A2209" s="14">
        <v>96120</v>
      </c>
      <c r="B2209" s="14" t="s">
        <v>325</v>
      </c>
      <c r="C2209" s="12" t="s">
        <v>139</v>
      </c>
      <c r="D2209" s="15" t="str">
        <f t="shared" si="34"/>
        <v>Business Contracting - SMGT</v>
      </c>
      <c r="E2209" s="12" t="s">
        <v>118</v>
      </c>
      <c r="F2209" s="12" t="s">
        <v>326</v>
      </c>
      <c r="G2209" s="12" t="s">
        <v>114</v>
      </c>
      <c r="H2209" s="12" t="s">
        <v>1025</v>
      </c>
      <c r="I2209" s="12" t="s">
        <v>87</v>
      </c>
    </row>
    <row r="2210" spans="1:9">
      <c r="A2210" s="14">
        <v>96120</v>
      </c>
      <c r="B2210" s="14" t="s">
        <v>325</v>
      </c>
      <c r="C2210" s="12" t="s">
        <v>145</v>
      </c>
      <c r="D2210" s="15" t="str">
        <f t="shared" si="34"/>
        <v>Business Contracting - SUP</v>
      </c>
      <c r="E2210" s="12" t="s">
        <v>118</v>
      </c>
      <c r="F2210" s="12" t="s">
        <v>326</v>
      </c>
      <c r="G2210" s="12" t="s">
        <v>114</v>
      </c>
      <c r="H2210" s="12" t="s">
        <v>1025</v>
      </c>
      <c r="I2210" s="12" t="s">
        <v>87</v>
      </c>
    </row>
    <row r="2211" spans="1:9">
      <c r="A2211" s="14">
        <v>12345</v>
      </c>
      <c r="B2211" s="14" t="s">
        <v>329</v>
      </c>
      <c r="C2211" s="12" t="s">
        <v>177</v>
      </c>
      <c r="D2211" s="15" t="str">
        <f t="shared" si="34"/>
        <v>California Dept of Public Heal - OPS</v>
      </c>
      <c r="E2211" s="12" t="s">
        <v>154</v>
      </c>
      <c r="F2211" s="12" t="s">
        <v>163</v>
      </c>
      <c r="G2211" s="12" t="s">
        <v>164</v>
      </c>
      <c r="H2211" s="12" t="s">
        <v>1025</v>
      </c>
      <c r="I2211" s="12" t="s">
        <v>87</v>
      </c>
    </row>
    <row r="2212" spans="1:9">
      <c r="A2212" s="14">
        <v>12345</v>
      </c>
      <c r="B2212" s="14" t="s">
        <v>329</v>
      </c>
      <c r="C2212" s="12" t="s">
        <v>116</v>
      </c>
      <c r="D2212" s="15" t="str">
        <f t="shared" si="34"/>
        <v>California Dept of Public Heal - PRD</v>
      </c>
      <c r="E2212" s="12" t="s">
        <v>154</v>
      </c>
      <c r="F2212" s="12" t="s">
        <v>163</v>
      </c>
      <c r="G2212" s="12" t="s">
        <v>164</v>
      </c>
      <c r="H2212" s="12" t="s">
        <v>1025</v>
      </c>
      <c r="I2212" s="12" t="s">
        <v>87</v>
      </c>
    </row>
    <row r="2213" spans="1:9">
      <c r="A2213" s="14">
        <v>12345</v>
      </c>
      <c r="B2213" s="14" t="s">
        <v>329</v>
      </c>
      <c r="C2213" s="12" t="s">
        <v>332</v>
      </c>
      <c r="D2213" s="15" t="str">
        <f t="shared" si="34"/>
        <v>California Dept of Public Heal - RCF</v>
      </c>
      <c r="E2213" s="12" t="s">
        <v>154</v>
      </c>
      <c r="F2213" s="12" t="s">
        <v>163</v>
      </c>
      <c r="G2213" s="12" t="s">
        <v>164</v>
      </c>
      <c r="H2213" s="12" t="s">
        <v>1025</v>
      </c>
      <c r="I2213" s="12" t="s">
        <v>87</v>
      </c>
    </row>
    <row r="2214" spans="1:9">
      <c r="A2214" s="14">
        <v>12345</v>
      </c>
      <c r="B2214" s="14" t="s">
        <v>329</v>
      </c>
      <c r="C2214" s="12" t="s">
        <v>145</v>
      </c>
      <c r="D2214" s="15" t="str">
        <f t="shared" si="34"/>
        <v>California Dept of Public Heal - SUP</v>
      </c>
      <c r="E2214" s="12" t="s">
        <v>154</v>
      </c>
      <c r="F2214" s="12" t="s">
        <v>163</v>
      </c>
      <c r="G2214" s="12" t="s">
        <v>164</v>
      </c>
      <c r="H2214" s="12" t="s">
        <v>1025</v>
      </c>
      <c r="I2214" s="12" t="s">
        <v>87</v>
      </c>
    </row>
    <row r="2215" spans="1:9">
      <c r="A2215" s="14">
        <v>12345</v>
      </c>
      <c r="B2215" s="14" t="s">
        <v>329</v>
      </c>
      <c r="C2215" s="12" t="s">
        <v>185</v>
      </c>
      <c r="D2215" s="15" t="str">
        <f t="shared" si="34"/>
        <v>California Dept of Public Heal - TPS</v>
      </c>
      <c r="E2215" s="12" t="s">
        <v>154</v>
      </c>
      <c r="F2215" s="12" t="s">
        <v>163</v>
      </c>
      <c r="G2215" s="12" t="s">
        <v>164</v>
      </c>
      <c r="H2215" s="12" t="s">
        <v>1025</v>
      </c>
      <c r="I2215" s="12" t="s">
        <v>87</v>
      </c>
    </row>
    <row r="2216" spans="1:9">
      <c r="A2216" s="14">
        <v>12579</v>
      </c>
      <c r="B2216" s="14" t="s">
        <v>337</v>
      </c>
      <c r="C2216" s="12" t="s">
        <v>116</v>
      </c>
      <c r="D2216" s="15" t="str">
        <f t="shared" si="34"/>
        <v>Carl Zeiss - PRD</v>
      </c>
      <c r="E2216" s="12" t="s">
        <v>117</v>
      </c>
      <c r="F2216" s="12" t="s">
        <v>117</v>
      </c>
      <c r="G2216" s="12" t="s">
        <v>117</v>
      </c>
      <c r="H2216" s="12" t="s">
        <v>1025</v>
      </c>
      <c r="I2216" s="12" t="s">
        <v>87</v>
      </c>
    </row>
    <row r="2217" spans="1:9">
      <c r="A2217" s="14">
        <v>12456</v>
      </c>
      <c r="B2217" s="14" t="s">
        <v>339</v>
      </c>
      <c r="C2217" s="12" t="s">
        <v>145</v>
      </c>
      <c r="D2217" s="15" t="str">
        <f t="shared" si="34"/>
        <v>CDPH - BMS - SUP</v>
      </c>
      <c r="E2217" s="12" t="s">
        <v>117</v>
      </c>
      <c r="F2217" s="12" t="s">
        <v>117</v>
      </c>
      <c r="G2217" s="12" t="s">
        <v>117</v>
      </c>
      <c r="H2217" s="12" t="s">
        <v>1025</v>
      </c>
      <c r="I2217" s="12" t="s">
        <v>87</v>
      </c>
    </row>
    <row r="2218" spans="1:9">
      <c r="A2218" s="14">
        <v>12456</v>
      </c>
      <c r="B2218" s="14" t="s">
        <v>339</v>
      </c>
      <c r="C2218" s="12" t="s">
        <v>185</v>
      </c>
      <c r="D2218" s="15" t="str">
        <f t="shared" si="34"/>
        <v>CDPH - BMS - TPS</v>
      </c>
      <c r="E2218" s="12" t="s">
        <v>117</v>
      </c>
      <c r="F2218" s="12" t="s">
        <v>117</v>
      </c>
      <c r="G2218" s="12" t="s">
        <v>117</v>
      </c>
      <c r="H2218" s="12" t="s">
        <v>1025</v>
      </c>
      <c r="I2218" s="12" t="s">
        <v>87</v>
      </c>
    </row>
    <row r="2219" spans="1:9">
      <c r="A2219" s="14">
        <v>12425</v>
      </c>
      <c r="B2219" s="14" t="s">
        <v>342</v>
      </c>
      <c r="C2219" s="12" t="s">
        <v>230</v>
      </c>
      <c r="D2219" s="15" t="str">
        <f t="shared" si="34"/>
        <v>Centene - Conduct DMHC PAAS - PRSP</v>
      </c>
      <c r="E2219" s="12" t="s">
        <v>141</v>
      </c>
      <c r="F2219" s="12" t="s">
        <v>163</v>
      </c>
      <c r="G2219" s="12" t="s">
        <v>164</v>
      </c>
      <c r="H2219" s="12" t="s">
        <v>1025</v>
      </c>
      <c r="I2219" s="12" t="s">
        <v>87</v>
      </c>
    </row>
    <row r="2220" spans="1:9">
      <c r="A2220" s="14">
        <v>12425</v>
      </c>
      <c r="B2220" s="14" t="s">
        <v>342</v>
      </c>
      <c r="C2220" s="12" t="s">
        <v>145</v>
      </c>
      <c r="D2220" s="15" t="str">
        <f t="shared" si="34"/>
        <v>Centene - Conduct DMHC PAAS - SUP</v>
      </c>
      <c r="E2220" s="12" t="s">
        <v>141</v>
      </c>
      <c r="F2220" s="12" t="s">
        <v>163</v>
      </c>
      <c r="G2220" s="12" t="s">
        <v>164</v>
      </c>
      <c r="H2220" s="12" t="s">
        <v>1025</v>
      </c>
      <c r="I2220" s="12" t="s">
        <v>87</v>
      </c>
    </row>
    <row r="2221" spans="1:9">
      <c r="A2221" s="14">
        <v>12425</v>
      </c>
      <c r="B2221" s="14" t="s">
        <v>342</v>
      </c>
      <c r="C2221" s="12" t="s">
        <v>185</v>
      </c>
      <c r="D2221" s="15" t="str">
        <f t="shared" si="34"/>
        <v>Centene - Conduct DMHC PAAS - TPS</v>
      </c>
      <c r="E2221" s="12" t="s">
        <v>141</v>
      </c>
      <c r="F2221" s="12" t="s">
        <v>163</v>
      </c>
      <c r="G2221" s="12" t="s">
        <v>164</v>
      </c>
      <c r="H2221" s="12" t="s">
        <v>1025</v>
      </c>
      <c r="I2221" s="12" t="s">
        <v>87</v>
      </c>
    </row>
    <row r="2222" spans="1:9">
      <c r="A2222" s="14">
        <v>90000</v>
      </c>
      <c r="B2222" s="14" t="s">
        <v>347</v>
      </c>
      <c r="C2222" s="12" t="s">
        <v>348</v>
      </c>
      <c r="D2222" s="15" t="str">
        <f t="shared" si="34"/>
        <v>Chairman &amp; CEO Office - ADM</v>
      </c>
      <c r="E2222" s="12" t="s">
        <v>118</v>
      </c>
      <c r="F2222" s="12" t="s">
        <v>349</v>
      </c>
      <c r="G2222" s="12" t="s">
        <v>350</v>
      </c>
      <c r="H2222" s="12" t="s">
        <v>1025</v>
      </c>
      <c r="I2222" s="12" t="s">
        <v>87</v>
      </c>
    </row>
    <row r="2223" spans="1:9">
      <c r="A2223" s="14">
        <v>90000</v>
      </c>
      <c r="B2223" s="14" t="s">
        <v>347</v>
      </c>
      <c r="C2223" s="12" t="s">
        <v>352</v>
      </c>
      <c r="D2223" s="15" t="str">
        <f t="shared" si="34"/>
        <v>Chairman &amp; CEO Office - EAT</v>
      </c>
      <c r="E2223" s="12" t="s">
        <v>118</v>
      </c>
      <c r="F2223" s="12" t="s">
        <v>349</v>
      </c>
      <c r="G2223" s="12" t="s">
        <v>350</v>
      </c>
      <c r="H2223" s="12" t="s">
        <v>1025</v>
      </c>
      <c r="I2223" s="12" t="s">
        <v>87</v>
      </c>
    </row>
    <row r="2224" spans="1:9">
      <c r="A2224" s="14">
        <v>90000</v>
      </c>
      <c r="B2224" s="14" t="s">
        <v>347</v>
      </c>
      <c r="C2224" s="12" t="s">
        <v>145</v>
      </c>
      <c r="D2224" s="15" t="str">
        <f t="shared" si="34"/>
        <v>Chairman &amp; CEO Office - SUP</v>
      </c>
      <c r="E2224" s="12" t="s">
        <v>118</v>
      </c>
      <c r="F2224" s="12" t="s">
        <v>349</v>
      </c>
      <c r="G2224" s="12" t="s">
        <v>350</v>
      </c>
      <c r="H2224" s="12" t="s">
        <v>1025</v>
      </c>
      <c r="I2224" s="12" t="s">
        <v>87</v>
      </c>
    </row>
    <row r="2225" spans="1:9">
      <c r="A2225" s="14">
        <v>12243</v>
      </c>
      <c r="B2225" s="14" t="s">
        <v>355</v>
      </c>
      <c r="C2225" s="12" t="s">
        <v>193</v>
      </c>
      <c r="D2225" s="15" t="str">
        <f t="shared" si="34"/>
        <v>ChartFast Web Application-Impl - DEV</v>
      </c>
      <c r="E2225" s="12" t="s">
        <v>117</v>
      </c>
      <c r="F2225" s="12" t="s">
        <v>117</v>
      </c>
      <c r="G2225" s="12" t="s">
        <v>117</v>
      </c>
      <c r="H2225" s="12" t="s">
        <v>1025</v>
      </c>
      <c r="I2225" s="12" t="s">
        <v>87</v>
      </c>
    </row>
    <row r="2226" spans="1:9">
      <c r="A2226" s="14">
        <v>12243</v>
      </c>
      <c r="B2226" s="14" t="s">
        <v>355</v>
      </c>
      <c r="C2226" s="12" t="s">
        <v>177</v>
      </c>
      <c r="D2226" s="15" t="str">
        <f t="shared" si="34"/>
        <v>ChartFast Web Application-Impl - OPS</v>
      </c>
      <c r="E2226" s="12" t="s">
        <v>117</v>
      </c>
      <c r="F2226" s="12" t="s">
        <v>117</v>
      </c>
      <c r="G2226" s="12" t="s">
        <v>117</v>
      </c>
      <c r="H2226" s="12" t="s">
        <v>1025</v>
      </c>
      <c r="I2226" s="12" t="s">
        <v>87</v>
      </c>
    </row>
    <row r="2227" spans="1:9">
      <c r="A2227" s="14">
        <v>12243</v>
      </c>
      <c r="B2227" s="14" t="s">
        <v>355</v>
      </c>
      <c r="C2227" s="12" t="s">
        <v>116</v>
      </c>
      <c r="D2227" s="15" t="str">
        <f t="shared" si="34"/>
        <v>ChartFast Web Application-Impl - PRD</v>
      </c>
      <c r="E2227" s="12" t="s">
        <v>117</v>
      </c>
      <c r="F2227" s="12" t="s">
        <v>117</v>
      </c>
      <c r="G2227" s="12" t="s">
        <v>117</v>
      </c>
      <c r="H2227" s="12" t="s">
        <v>1025</v>
      </c>
      <c r="I2227" s="12" t="s">
        <v>87</v>
      </c>
    </row>
    <row r="2228" spans="1:9">
      <c r="A2228" s="14">
        <v>12243</v>
      </c>
      <c r="B2228" s="14" t="s">
        <v>355</v>
      </c>
      <c r="C2228" s="12" t="s">
        <v>145</v>
      </c>
      <c r="D2228" s="15" t="str">
        <f t="shared" si="34"/>
        <v>ChartFast Web Application-Impl - SUP</v>
      </c>
      <c r="E2228" s="12" t="s">
        <v>117</v>
      </c>
      <c r="F2228" s="12" t="s">
        <v>117</v>
      </c>
      <c r="G2228" s="12" t="s">
        <v>117</v>
      </c>
      <c r="H2228" s="12" t="s">
        <v>1025</v>
      </c>
      <c r="I2228" s="12" t="s">
        <v>87</v>
      </c>
    </row>
    <row r="2229" spans="1:9">
      <c r="A2229" s="14">
        <v>10014</v>
      </c>
      <c r="B2229" s="14" t="s">
        <v>152</v>
      </c>
      <c r="C2229" s="12" t="s">
        <v>336</v>
      </c>
      <c r="D2229" s="15" t="str">
        <f t="shared" si="34"/>
        <v>Clarien - Salesforce Cost JC - TSL</v>
      </c>
      <c r="E2229" s="12" t="s">
        <v>117</v>
      </c>
      <c r="F2229" s="12" t="s">
        <v>117</v>
      </c>
      <c r="G2229" s="12" t="s">
        <v>117</v>
      </c>
      <c r="H2229" s="12" t="s">
        <v>1025</v>
      </c>
      <c r="I2229" s="12" t="s">
        <v>87</v>
      </c>
    </row>
    <row r="2230" spans="1:9">
      <c r="A2230" s="14">
        <v>10865</v>
      </c>
      <c r="B2230" s="14" t="s">
        <v>363</v>
      </c>
      <c r="C2230" s="12" t="s">
        <v>145</v>
      </c>
      <c r="D2230" s="15" t="str">
        <f t="shared" si="34"/>
        <v>Clarien Bank IT Strategy GRC - SUP</v>
      </c>
      <c r="E2230" s="12" t="s">
        <v>117</v>
      </c>
      <c r="F2230" s="12" t="s">
        <v>117</v>
      </c>
      <c r="G2230" s="12" t="s">
        <v>117</v>
      </c>
      <c r="H2230" s="12" t="s">
        <v>1025</v>
      </c>
      <c r="I2230" s="12" t="s">
        <v>87</v>
      </c>
    </row>
    <row r="2231" spans="1:9">
      <c r="A2231" s="14">
        <v>95240</v>
      </c>
      <c r="B2231" s="14" t="s">
        <v>365</v>
      </c>
      <c r="C2231" s="12" t="s">
        <v>262</v>
      </c>
      <c r="D2231" s="15" t="str">
        <f t="shared" si="34"/>
        <v>CLM Applications - GSI - GSI</v>
      </c>
      <c r="E2231" s="12" t="s">
        <v>118</v>
      </c>
      <c r="F2231" s="12" t="s">
        <v>366</v>
      </c>
      <c r="G2231" s="12" t="s">
        <v>264</v>
      </c>
      <c r="H2231" s="12" t="s">
        <v>1025</v>
      </c>
      <c r="I2231" s="12" t="s">
        <v>87</v>
      </c>
    </row>
    <row r="2232" spans="1:9">
      <c r="A2232" s="14">
        <v>95240</v>
      </c>
      <c r="B2232" s="14" t="s">
        <v>365</v>
      </c>
      <c r="C2232" s="12" t="s">
        <v>145</v>
      </c>
      <c r="D2232" s="15" t="str">
        <f t="shared" si="34"/>
        <v>CLM Applications - GSI - SUP</v>
      </c>
      <c r="E2232" s="12" t="s">
        <v>118</v>
      </c>
      <c r="F2232" s="12" t="s">
        <v>366</v>
      </c>
      <c r="G2232" s="12" t="s">
        <v>264</v>
      </c>
      <c r="H2232" s="12" t="s">
        <v>1025</v>
      </c>
      <c r="I2232" s="12" t="s">
        <v>87</v>
      </c>
    </row>
    <row r="2233" spans="1:9">
      <c r="A2233" s="14">
        <v>97305</v>
      </c>
      <c r="B2233" s="14" t="s">
        <v>369</v>
      </c>
      <c r="C2233" s="12" t="s">
        <v>129</v>
      </c>
      <c r="D2233" s="15" t="str">
        <f t="shared" si="34"/>
        <v>CLS – ISD &amp; eLearning - MGT</v>
      </c>
      <c r="E2233" s="12" t="s">
        <v>118</v>
      </c>
      <c r="F2233" s="12" t="s">
        <v>370</v>
      </c>
      <c r="G2233" s="12" t="s">
        <v>205</v>
      </c>
      <c r="H2233" s="12" t="s">
        <v>1025</v>
      </c>
      <c r="I2233" s="12" t="s">
        <v>87</v>
      </c>
    </row>
    <row r="2234" spans="1:9">
      <c r="A2234" s="14">
        <v>97305</v>
      </c>
      <c r="B2234" s="14" t="s">
        <v>369</v>
      </c>
      <c r="C2234" s="12" t="s">
        <v>145</v>
      </c>
      <c r="D2234" s="15" t="str">
        <f t="shared" si="34"/>
        <v>CLS – ISD &amp; eLearning - SUP</v>
      </c>
      <c r="E2234" s="12" t="s">
        <v>118</v>
      </c>
      <c r="F2234" s="12" t="s">
        <v>370</v>
      </c>
      <c r="G2234" s="12" t="s">
        <v>205</v>
      </c>
      <c r="H2234" s="12" t="s">
        <v>1025</v>
      </c>
      <c r="I2234" s="12" t="s">
        <v>87</v>
      </c>
    </row>
    <row r="2235" spans="1:9">
      <c r="A2235" s="14">
        <v>97305</v>
      </c>
      <c r="B2235" s="14" t="s">
        <v>369</v>
      </c>
      <c r="C2235" s="12" t="s">
        <v>203</v>
      </c>
      <c r="D2235" s="15" t="str">
        <f t="shared" si="34"/>
        <v>CLS – ISD &amp; eLearning - TRG</v>
      </c>
      <c r="E2235" s="12" t="s">
        <v>118</v>
      </c>
      <c r="F2235" s="12" t="s">
        <v>370</v>
      </c>
      <c r="G2235" s="12" t="s">
        <v>205</v>
      </c>
      <c r="H2235" s="12" t="s">
        <v>1025</v>
      </c>
      <c r="I2235" s="12" t="s">
        <v>87</v>
      </c>
    </row>
    <row r="2236" spans="1:9">
      <c r="A2236" s="14">
        <v>12048</v>
      </c>
      <c r="B2236" s="14" t="s">
        <v>374</v>
      </c>
      <c r="C2236" s="12" t="s">
        <v>177</v>
      </c>
      <c r="D2236" s="15" t="str">
        <f t="shared" si="34"/>
        <v>Columbia - CUFPO - OPS</v>
      </c>
      <c r="E2236" s="12" t="s">
        <v>154</v>
      </c>
      <c r="F2236" s="12" t="s">
        <v>163</v>
      </c>
      <c r="G2236" s="12" t="s">
        <v>164</v>
      </c>
      <c r="H2236" s="12" t="s">
        <v>1025</v>
      </c>
      <c r="I2236" s="12" t="s">
        <v>87</v>
      </c>
    </row>
    <row r="2237" spans="1:9">
      <c r="A2237" s="14">
        <v>12048</v>
      </c>
      <c r="B2237" s="14" t="s">
        <v>374</v>
      </c>
      <c r="C2237" s="12" t="s">
        <v>116</v>
      </c>
      <c r="D2237" s="15" t="str">
        <f t="shared" si="34"/>
        <v>Columbia - CUFPO - PRD</v>
      </c>
      <c r="E2237" s="12" t="s">
        <v>154</v>
      </c>
      <c r="F2237" s="12" t="s">
        <v>163</v>
      </c>
      <c r="G2237" s="12" t="s">
        <v>164</v>
      </c>
      <c r="H2237" s="12" t="s">
        <v>1025</v>
      </c>
      <c r="I2237" s="12" t="s">
        <v>87</v>
      </c>
    </row>
    <row r="2238" spans="1:9">
      <c r="A2238" s="14">
        <v>12048</v>
      </c>
      <c r="B2238" s="14" t="s">
        <v>374</v>
      </c>
      <c r="C2238" s="12" t="s">
        <v>185</v>
      </c>
      <c r="D2238" s="15" t="str">
        <f t="shared" si="34"/>
        <v>Columbia - CUFPO - TPS</v>
      </c>
      <c r="E2238" s="12" t="s">
        <v>154</v>
      </c>
      <c r="F2238" s="12" t="s">
        <v>163</v>
      </c>
      <c r="G2238" s="12" t="s">
        <v>164</v>
      </c>
      <c r="H2238" s="12" t="s">
        <v>1025</v>
      </c>
      <c r="I2238" s="12" t="s">
        <v>87</v>
      </c>
    </row>
    <row r="2239" spans="1:9">
      <c r="A2239" s="14">
        <v>12054</v>
      </c>
      <c r="B2239" s="14" t="s">
        <v>378</v>
      </c>
      <c r="C2239" s="12" t="s">
        <v>224</v>
      </c>
      <c r="D2239" s="15" t="str">
        <f t="shared" si="34"/>
        <v>Columbia – Radiology - FBO - ACM</v>
      </c>
      <c r="E2239" s="12" t="s">
        <v>154</v>
      </c>
      <c r="F2239" s="12" t="s">
        <v>163</v>
      </c>
      <c r="G2239" s="12" t="s">
        <v>164</v>
      </c>
      <c r="H2239" s="12" t="s">
        <v>1025</v>
      </c>
      <c r="I2239" s="12" t="s">
        <v>87</v>
      </c>
    </row>
    <row r="2240" spans="1:9">
      <c r="A2240" s="14">
        <v>12054</v>
      </c>
      <c r="B2240" s="14" t="s">
        <v>378</v>
      </c>
      <c r="C2240" s="12" t="s">
        <v>177</v>
      </c>
      <c r="D2240" s="15" t="str">
        <f t="shared" si="34"/>
        <v>Columbia – Radiology - FBO - OPS</v>
      </c>
      <c r="E2240" s="12" t="s">
        <v>154</v>
      </c>
      <c r="F2240" s="12" t="s">
        <v>163</v>
      </c>
      <c r="G2240" s="12" t="s">
        <v>164</v>
      </c>
      <c r="H2240" s="12" t="s">
        <v>1025</v>
      </c>
      <c r="I2240" s="12" t="s">
        <v>87</v>
      </c>
    </row>
    <row r="2241" spans="1:9">
      <c r="A2241" s="14">
        <v>12054</v>
      </c>
      <c r="B2241" s="14" t="s">
        <v>378</v>
      </c>
      <c r="C2241" s="12" t="s">
        <v>116</v>
      </c>
      <c r="D2241" s="15" t="str">
        <f t="shared" si="34"/>
        <v>Columbia – Radiology - FBO - PRD</v>
      </c>
      <c r="E2241" s="12" t="s">
        <v>154</v>
      </c>
      <c r="F2241" s="12" t="s">
        <v>163</v>
      </c>
      <c r="G2241" s="12" t="s">
        <v>164</v>
      </c>
      <c r="H2241" s="12" t="s">
        <v>1025</v>
      </c>
      <c r="I2241" s="12" t="s">
        <v>87</v>
      </c>
    </row>
    <row r="2242" spans="1:9">
      <c r="A2242" s="14">
        <v>12054</v>
      </c>
      <c r="B2242" s="14" t="s">
        <v>378</v>
      </c>
      <c r="C2242" s="12" t="s">
        <v>111</v>
      </c>
      <c r="D2242" s="15" t="str">
        <f t="shared" ref="D2242:D2305" si="35">B2242&amp;" - "&amp;C2242</f>
        <v>Columbia – Radiology - FBO - QLY</v>
      </c>
      <c r="E2242" s="12" t="s">
        <v>118</v>
      </c>
      <c r="F2242" s="12" t="s">
        <v>113</v>
      </c>
      <c r="G2242" s="12" t="s">
        <v>114</v>
      </c>
      <c r="H2242" s="12" t="s">
        <v>1025</v>
      </c>
      <c r="I2242" s="12" t="s">
        <v>87</v>
      </c>
    </row>
    <row r="2243" spans="1:9">
      <c r="A2243" s="14">
        <v>12054</v>
      </c>
      <c r="B2243" s="14" t="s">
        <v>378</v>
      </c>
      <c r="C2243" s="12" t="s">
        <v>332</v>
      </c>
      <c r="D2243" s="15" t="str">
        <f t="shared" si="35"/>
        <v>Columbia – Radiology - FBO - RCF</v>
      </c>
      <c r="E2243" s="12" t="s">
        <v>154</v>
      </c>
      <c r="F2243" s="12" t="s">
        <v>163</v>
      </c>
      <c r="G2243" s="12" t="s">
        <v>164</v>
      </c>
      <c r="H2243" s="12" t="s">
        <v>1025</v>
      </c>
      <c r="I2243" s="12" t="s">
        <v>87</v>
      </c>
    </row>
    <row r="2244" spans="1:9">
      <c r="A2244" s="14">
        <v>12054</v>
      </c>
      <c r="B2244" s="14" t="s">
        <v>378</v>
      </c>
      <c r="C2244" s="12" t="s">
        <v>185</v>
      </c>
      <c r="D2244" s="15" t="str">
        <f t="shared" si="35"/>
        <v>Columbia – Radiology - FBO - TPS</v>
      </c>
      <c r="E2244" s="12" t="s">
        <v>154</v>
      </c>
      <c r="F2244" s="12" t="s">
        <v>163</v>
      </c>
      <c r="G2244" s="12" t="s">
        <v>164</v>
      </c>
      <c r="H2244" s="12" t="s">
        <v>1025</v>
      </c>
      <c r="I2244" s="12" t="s">
        <v>87</v>
      </c>
    </row>
    <row r="2245" spans="1:9">
      <c r="A2245" s="14">
        <v>96201</v>
      </c>
      <c r="B2245" s="14" t="s">
        <v>384</v>
      </c>
      <c r="C2245" s="12" t="s">
        <v>145</v>
      </c>
      <c r="D2245" s="15" t="str">
        <f t="shared" si="35"/>
        <v>Compliance - Ethics - SUP</v>
      </c>
      <c r="E2245" s="12" t="s">
        <v>118</v>
      </c>
      <c r="F2245" s="12" t="s">
        <v>385</v>
      </c>
      <c r="G2245" s="12" t="s">
        <v>114</v>
      </c>
      <c r="H2245" s="12" t="s">
        <v>1025</v>
      </c>
      <c r="I2245" s="12" t="s">
        <v>87</v>
      </c>
    </row>
    <row r="2246" spans="1:9">
      <c r="A2246" s="14">
        <v>90402</v>
      </c>
      <c r="B2246" s="14" t="s">
        <v>387</v>
      </c>
      <c r="C2246" s="12" t="s">
        <v>145</v>
      </c>
      <c r="D2246" s="15" t="str">
        <f t="shared" si="35"/>
        <v>Compliance - Risk Management - SUP</v>
      </c>
      <c r="E2246" s="12" t="s">
        <v>118</v>
      </c>
      <c r="F2246" s="12" t="s">
        <v>385</v>
      </c>
      <c r="G2246" s="12" t="s">
        <v>114</v>
      </c>
      <c r="H2246" s="12" t="s">
        <v>1025</v>
      </c>
      <c r="I2246" s="12" t="s">
        <v>87</v>
      </c>
    </row>
    <row r="2247" spans="1:9">
      <c r="A2247" s="14">
        <v>12057</v>
      </c>
      <c r="B2247" s="14" t="s">
        <v>389</v>
      </c>
      <c r="C2247" s="12" t="s">
        <v>145</v>
      </c>
      <c r="D2247" s="15" t="str">
        <f t="shared" si="35"/>
        <v>Compu Bill Inc - SUP</v>
      </c>
      <c r="E2247" s="12" t="s">
        <v>154</v>
      </c>
      <c r="F2247" s="12" t="s">
        <v>163</v>
      </c>
      <c r="G2247" s="12" t="s">
        <v>164</v>
      </c>
      <c r="H2247" s="12" t="s">
        <v>1025</v>
      </c>
      <c r="I2247" s="12" t="s">
        <v>87</v>
      </c>
    </row>
    <row r="2248" spans="1:9">
      <c r="A2248" s="14">
        <v>12057</v>
      </c>
      <c r="B2248" s="14" t="s">
        <v>389</v>
      </c>
      <c r="C2248" s="12" t="s">
        <v>185</v>
      </c>
      <c r="D2248" s="15" t="str">
        <f t="shared" si="35"/>
        <v>Compu Bill Inc - TPS</v>
      </c>
      <c r="E2248" s="12" t="s">
        <v>154</v>
      </c>
      <c r="F2248" s="12" t="s">
        <v>163</v>
      </c>
      <c r="G2248" s="12" t="s">
        <v>164</v>
      </c>
      <c r="H2248" s="12" t="s">
        <v>1025</v>
      </c>
      <c r="I2248" s="12" t="s">
        <v>87</v>
      </c>
    </row>
    <row r="2249" spans="1:9">
      <c r="A2249" s="14">
        <v>12617</v>
      </c>
      <c r="B2249" s="14" t="s">
        <v>392</v>
      </c>
      <c r="C2249" s="12" t="s">
        <v>185</v>
      </c>
      <c r="D2249" s="15" t="str">
        <f t="shared" si="35"/>
        <v>Connexin - Credentialing - TPS</v>
      </c>
      <c r="E2249" s="12" t="s">
        <v>154</v>
      </c>
      <c r="F2249" s="12" t="s">
        <v>163</v>
      </c>
      <c r="G2249" s="12" t="s">
        <v>164</v>
      </c>
      <c r="H2249" s="12" t="s">
        <v>1025</v>
      </c>
      <c r="I2249" s="12" t="s">
        <v>87</v>
      </c>
    </row>
    <row r="2250" spans="1:9">
      <c r="A2250" s="14">
        <v>12463</v>
      </c>
      <c r="B2250" s="14" t="s">
        <v>394</v>
      </c>
      <c r="C2250" s="12" t="s">
        <v>177</v>
      </c>
      <c r="D2250" s="15" t="str">
        <f t="shared" si="35"/>
        <v>Connexin Software - FBO - OPS</v>
      </c>
      <c r="E2250" s="12" t="s">
        <v>154</v>
      </c>
      <c r="F2250" s="12" t="s">
        <v>163</v>
      </c>
      <c r="G2250" s="12" t="s">
        <v>164</v>
      </c>
      <c r="H2250" s="12" t="s">
        <v>1025</v>
      </c>
      <c r="I2250" s="12" t="s">
        <v>87</v>
      </c>
    </row>
    <row r="2251" spans="1:9">
      <c r="A2251" s="14">
        <v>12463</v>
      </c>
      <c r="B2251" s="14" t="s">
        <v>394</v>
      </c>
      <c r="C2251" s="12" t="s">
        <v>116</v>
      </c>
      <c r="D2251" s="15" t="str">
        <f t="shared" si="35"/>
        <v>Connexin Software - FBO - PRD</v>
      </c>
      <c r="E2251" s="12" t="s">
        <v>154</v>
      </c>
      <c r="F2251" s="12" t="s">
        <v>163</v>
      </c>
      <c r="G2251" s="12" t="s">
        <v>164</v>
      </c>
      <c r="H2251" s="12" t="s">
        <v>1025</v>
      </c>
      <c r="I2251" s="12" t="s">
        <v>87</v>
      </c>
    </row>
    <row r="2252" spans="1:9">
      <c r="A2252" s="14">
        <v>12463</v>
      </c>
      <c r="B2252" s="14" t="s">
        <v>394</v>
      </c>
      <c r="C2252" s="12" t="s">
        <v>332</v>
      </c>
      <c r="D2252" s="15" t="str">
        <f t="shared" si="35"/>
        <v>Connexin Software - FBO - RCF</v>
      </c>
      <c r="E2252" s="12" t="s">
        <v>154</v>
      </c>
      <c r="F2252" s="12" t="s">
        <v>163</v>
      </c>
      <c r="G2252" s="12" t="s">
        <v>164</v>
      </c>
      <c r="H2252" s="12" t="s">
        <v>1025</v>
      </c>
      <c r="I2252" s="12" t="s">
        <v>87</v>
      </c>
    </row>
    <row r="2253" spans="1:9">
      <c r="A2253" s="14">
        <v>12463</v>
      </c>
      <c r="B2253" s="14" t="s">
        <v>394</v>
      </c>
      <c r="C2253" s="12" t="s">
        <v>185</v>
      </c>
      <c r="D2253" s="15" t="str">
        <f t="shared" si="35"/>
        <v>Connexin Software - FBO - TPS</v>
      </c>
      <c r="E2253" s="12" t="s">
        <v>154</v>
      </c>
      <c r="F2253" s="12" t="s">
        <v>163</v>
      </c>
      <c r="G2253" s="12" t="s">
        <v>164</v>
      </c>
      <c r="H2253" s="12" t="s">
        <v>1025</v>
      </c>
      <c r="I2253" s="12" t="s">
        <v>87</v>
      </c>
    </row>
    <row r="2254" spans="1:9">
      <c r="A2254" s="14">
        <v>90100</v>
      </c>
      <c r="B2254" s="14" t="s">
        <v>400</v>
      </c>
      <c r="C2254" s="12" t="s">
        <v>177</v>
      </c>
      <c r="D2254" s="15" t="str">
        <f t="shared" si="35"/>
        <v>Vice Chairman Office - OPS</v>
      </c>
      <c r="E2254" s="12" t="s">
        <v>118</v>
      </c>
      <c r="F2254" s="12" t="s">
        <v>401</v>
      </c>
      <c r="G2254" s="12" t="s">
        <v>114</v>
      </c>
      <c r="H2254" s="12" t="s">
        <v>1025</v>
      </c>
      <c r="I2254" s="12" t="s">
        <v>87</v>
      </c>
    </row>
    <row r="2255" spans="1:9">
      <c r="A2255" s="14">
        <v>90100</v>
      </c>
      <c r="B2255" s="14" t="s">
        <v>400</v>
      </c>
      <c r="C2255" s="12" t="s">
        <v>139</v>
      </c>
      <c r="D2255" s="15" t="str">
        <f t="shared" si="35"/>
        <v>Vice Chairman Office - SMGT</v>
      </c>
      <c r="E2255" s="12" t="s">
        <v>118</v>
      </c>
      <c r="F2255" s="12" t="s">
        <v>401</v>
      </c>
      <c r="G2255" s="12" t="s">
        <v>114</v>
      </c>
      <c r="H2255" s="12" t="s">
        <v>1025</v>
      </c>
      <c r="I2255" s="12" t="s">
        <v>87</v>
      </c>
    </row>
    <row r="2256" spans="1:9">
      <c r="A2256" s="14">
        <v>90407</v>
      </c>
      <c r="B2256" s="14" t="s">
        <v>404</v>
      </c>
      <c r="C2256" s="12" t="s">
        <v>145</v>
      </c>
      <c r="D2256" s="15" t="str">
        <f t="shared" si="35"/>
        <v>Corporate - Deal Governance - SUP</v>
      </c>
      <c r="E2256" s="12" t="s">
        <v>118</v>
      </c>
      <c r="F2256" s="12" t="s">
        <v>405</v>
      </c>
      <c r="G2256" s="12" t="s">
        <v>114</v>
      </c>
      <c r="H2256" s="12" t="s">
        <v>1025</v>
      </c>
      <c r="I2256" s="12" t="s">
        <v>87</v>
      </c>
    </row>
    <row r="2257" spans="1:9">
      <c r="A2257" s="14">
        <v>96114</v>
      </c>
      <c r="B2257" s="14" t="s">
        <v>407</v>
      </c>
      <c r="C2257" s="12" t="s">
        <v>129</v>
      </c>
      <c r="D2257" s="15" t="str">
        <f t="shared" si="35"/>
        <v>Corporate Accounting - MGT</v>
      </c>
      <c r="E2257" s="12" t="s">
        <v>118</v>
      </c>
      <c r="F2257" s="12" t="s">
        <v>405</v>
      </c>
      <c r="G2257" s="12" t="s">
        <v>114</v>
      </c>
      <c r="H2257" s="12" t="s">
        <v>1025</v>
      </c>
      <c r="I2257" s="12" t="s">
        <v>87</v>
      </c>
    </row>
    <row r="2258" spans="1:9">
      <c r="A2258" s="14">
        <v>97101</v>
      </c>
      <c r="B2258" s="14" t="s">
        <v>409</v>
      </c>
      <c r="C2258" s="12" t="s">
        <v>145</v>
      </c>
      <c r="D2258" s="15" t="str">
        <f t="shared" si="35"/>
        <v>CPO Office - SUP</v>
      </c>
      <c r="E2258" s="12" t="s">
        <v>118</v>
      </c>
      <c r="F2258" s="12" t="s">
        <v>410</v>
      </c>
      <c r="G2258" s="12" t="s">
        <v>114</v>
      </c>
      <c r="H2258" s="12" t="s">
        <v>1025</v>
      </c>
      <c r="I2258" s="12" t="s">
        <v>87</v>
      </c>
    </row>
    <row r="2259" spans="1:9">
      <c r="A2259" s="14">
        <v>90205</v>
      </c>
      <c r="B2259" s="14" t="s">
        <v>412</v>
      </c>
      <c r="C2259" s="12" t="s">
        <v>352</v>
      </c>
      <c r="D2259" s="15" t="str">
        <f t="shared" si="35"/>
        <v>CTO Office - EAT</v>
      </c>
      <c r="E2259" s="12" t="s">
        <v>118</v>
      </c>
      <c r="F2259" s="12" t="s">
        <v>263</v>
      </c>
      <c r="G2259" s="12" t="s">
        <v>264</v>
      </c>
      <c r="H2259" s="12" t="s">
        <v>1025</v>
      </c>
      <c r="I2259" s="12" t="s">
        <v>87</v>
      </c>
    </row>
    <row r="2260" spans="1:9">
      <c r="A2260" s="14">
        <v>90205</v>
      </c>
      <c r="B2260" s="14" t="s">
        <v>412</v>
      </c>
      <c r="C2260" s="12" t="s">
        <v>262</v>
      </c>
      <c r="D2260" s="15" t="str">
        <f t="shared" si="35"/>
        <v>CTO Office - GSI</v>
      </c>
      <c r="E2260" s="12" t="s">
        <v>118</v>
      </c>
      <c r="F2260" s="12" t="s">
        <v>263</v>
      </c>
      <c r="G2260" s="12" t="s">
        <v>264</v>
      </c>
      <c r="H2260" s="12" t="s">
        <v>1025</v>
      </c>
      <c r="I2260" s="12" t="s">
        <v>87</v>
      </c>
    </row>
    <row r="2261" spans="1:9">
      <c r="A2261" s="14">
        <v>90205</v>
      </c>
      <c r="B2261" s="14" t="s">
        <v>412</v>
      </c>
      <c r="C2261" s="12" t="s">
        <v>415</v>
      </c>
      <c r="D2261" s="15" t="str">
        <f t="shared" si="35"/>
        <v>CTO Office - GTI</v>
      </c>
      <c r="E2261" s="12" t="s">
        <v>118</v>
      </c>
      <c r="F2261" s="12" t="s">
        <v>263</v>
      </c>
      <c r="G2261" s="12" t="s">
        <v>264</v>
      </c>
      <c r="H2261" s="12" t="s">
        <v>1025</v>
      </c>
      <c r="I2261" s="12" t="s">
        <v>87</v>
      </c>
    </row>
    <row r="2262" spans="1:9">
      <c r="A2262" s="14">
        <v>90205</v>
      </c>
      <c r="B2262" s="14" t="s">
        <v>412</v>
      </c>
      <c r="C2262" s="12" t="s">
        <v>129</v>
      </c>
      <c r="D2262" s="15" t="str">
        <f t="shared" si="35"/>
        <v>CTO Office - MGT</v>
      </c>
      <c r="E2262" s="12" t="s">
        <v>118</v>
      </c>
      <c r="F2262" s="12" t="s">
        <v>263</v>
      </c>
      <c r="G2262" s="12" t="s">
        <v>264</v>
      </c>
      <c r="H2262" s="12" t="s">
        <v>1025</v>
      </c>
      <c r="I2262" s="12" t="s">
        <v>87</v>
      </c>
    </row>
    <row r="2263" spans="1:9">
      <c r="A2263" s="14">
        <v>90205</v>
      </c>
      <c r="B2263" s="14" t="s">
        <v>412</v>
      </c>
      <c r="C2263" s="12" t="s">
        <v>145</v>
      </c>
      <c r="D2263" s="15" t="str">
        <f t="shared" si="35"/>
        <v>CTO Office - SUP</v>
      </c>
      <c r="E2263" s="12" t="s">
        <v>118</v>
      </c>
      <c r="F2263" s="12" t="s">
        <v>263</v>
      </c>
      <c r="G2263" s="12" t="s">
        <v>264</v>
      </c>
      <c r="H2263" s="12" t="s">
        <v>1025</v>
      </c>
      <c r="I2263" s="12" t="s">
        <v>87</v>
      </c>
    </row>
    <row r="2264" spans="1:9">
      <c r="A2264" s="14">
        <v>86220</v>
      </c>
      <c r="B2264" s="14" t="s">
        <v>420</v>
      </c>
      <c r="C2264" s="12" t="s">
        <v>150</v>
      </c>
      <c r="D2264" s="15" t="str">
        <f t="shared" si="35"/>
        <v>Customer Experience - Quality - CCS</v>
      </c>
      <c r="E2264" s="12" t="s">
        <v>118</v>
      </c>
      <c r="F2264" s="12" t="s">
        <v>113</v>
      </c>
      <c r="G2264" s="12" t="s">
        <v>114</v>
      </c>
      <c r="H2264" s="12" t="s">
        <v>1025</v>
      </c>
      <c r="I2264" s="12" t="s">
        <v>87</v>
      </c>
    </row>
    <row r="2265" spans="1:9">
      <c r="A2265" s="14">
        <v>86220</v>
      </c>
      <c r="B2265" s="14" t="s">
        <v>420</v>
      </c>
      <c r="C2265" s="12" t="s">
        <v>422</v>
      </c>
      <c r="D2265" s="15" t="str">
        <f t="shared" si="35"/>
        <v>Customer Experience - Quality - FMEA</v>
      </c>
      <c r="E2265" s="12" t="s">
        <v>118</v>
      </c>
      <c r="F2265" s="12" t="s">
        <v>113</v>
      </c>
      <c r="G2265" s="12" t="s">
        <v>114</v>
      </c>
      <c r="H2265" s="12" t="s">
        <v>1025</v>
      </c>
      <c r="I2265" s="12" t="s">
        <v>87</v>
      </c>
    </row>
    <row r="2266" spans="1:9">
      <c r="A2266" s="14">
        <v>86220</v>
      </c>
      <c r="B2266" s="14" t="s">
        <v>420</v>
      </c>
      <c r="C2266" s="12" t="s">
        <v>129</v>
      </c>
      <c r="D2266" s="15" t="str">
        <f t="shared" si="35"/>
        <v>Customer Experience - Quality - MGT</v>
      </c>
      <c r="E2266" s="12" t="s">
        <v>118</v>
      </c>
      <c r="F2266" s="12" t="s">
        <v>113</v>
      </c>
      <c r="G2266" s="12" t="s">
        <v>114</v>
      </c>
      <c r="H2266" s="12" t="s">
        <v>1025</v>
      </c>
      <c r="I2266" s="12" t="s">
        <v>87</v>
      </c>
    </row>
    <row r="2267" spans="1:9">
      <c r="A2267" s="14">
        <v>86220</v>
      </c>
      <c r="B2267" s="14" t="s">
        <v>420</v>
      </c>
      <c r="C2267" s="12" t="s">
        <v>177</v>
      </c>
      <c r="D2267" s="15" t="str">
        <f t="shared" si="35"/>
        <v>Customer Experience - Quality - OPS</v>
      </c>
      <c r="E2267" s="12" t="s">
        <v>118</v>
      </c>
      <c r="F2267" s="12" t="s">
        <v>113</v>
      </c>
      <c r="G2267" s="12" t="s">
        <v>114</v>
      </c>
      <c r="H2267" s="12" t="s">
        <v>1025</v>
      </c>
      <c r="I2267" s="12" t="s">
        <v>87</v>
      </c>
    </row>
    <row r="2268" spans="1:9">
      <c r="A2268" s="14">
        <v>86220</v>
      </c>
      <c r="B2268" s="14" t="s">
        <v>420</v>
      </c>
      <c r="C2268" s="12" t="s">
        <v>418</v>
      </c>
      <c r="D2268" s="15" t="str">
        <f t="shared" si="35"/>
        <v>Customer Experience - Quality - QLC</v>
      </c>
      <c r="E2268" s="12" t="s">
        <v>118</v>
      </c>
      <c r="F2268" s="12" t="s">
        <v>113</v>
      </c>
      <c r="G2268" s="12" t="s">
        <v>114</v>
      </c>
      <c r="H2268" s="12" t="s">
        <v>1025</v>
      </c>
      <c r="I2268" s="12" t="s">
        <v>87</v>
      </c>
    </row>
    <row r="2269" spans="1:9">
      <c r="A2269" s="14">
        <v>86220</v>
      </c>
      <c r="B2269" s="14" t="s">
        <v>420</v>
      </c>
      <c r="C2269" s="12" t="s">
        <v>111</v>
      </c>
      <c r="D2269" s="15" t="str">
        <f t="shared" si="35"/>
        <v>Customer Experience - Quality - QLY</v>
      </c>
      <c r="E2269" s="12" t="s">
        <v>118</v>
      </c>
      <c r="F2269" s="12" t="s">
        <v>113</v>
      </c>
      <c r="G2269" s="12" t="s">
        <v>114</v>
      </c>
      <c r="H2269" s="12" t="s">
        <v>1025</v>
      </c>
      <c r="I2269" s="12" t="s">
        <v>87</v>
      </c>
    </row>
    <row r="2270" spans="1:9">
      <c r="A2270" s="14">
        <v>86220</v>
      </c>
      <c r="B2270" s="14" t="s">
        <v>420</v>
      </c>
      <c r="C2270" s="12" t="s">
        <v>119</v>
      </c>
      <c r="D2270" s="15" t="str">
        <f t="shared" si="35"/>
        <v>Customer Experience - Quality - SQM</v>
      </c>
      <c r="E2270" s="12" t="s">
        <v>118</v>
      </c>
      <c r="F2270" s="12" t="s">
        <v>113</v>
      </c>
      <c r="G2270" s="12" t="s">
        <v>114</v>
      </c>
      <c r="H2270" s="12" t="s">
        <v>1025</v>
      </c>
      <c r="I2270" s="12" t="s">
        <v>87</v>
      </c>
    </row>
    <row r="2271" spans="1:9">
      <c r="A2271" s="14">
        <v>86220</v>
      </c>
      <c r="B2271" s="14" t="s">
        <v>420</v>
      </c>
      <c r="C2271" s="12" t="s">
        <v>145</v>
      </c>
      <c r="D2271" s="15" t="str">
        <f t="shared" si="35"/>
        <v>Customer Experience - Quality - SUP</v>
      </c>
      <c r="E2271" s="12" t="s">
        <v>118</v>
      </c>
      <c r="F2271" s="12" t="s">
        <v>113</v>
      </c>
      <c r="G2271" s="12" t="s">
        <v>114</v>
      </c>
      <c r="H2271" s="12" t="s">
        <v>1025</v>
      </c>
      <c r="I2271" s="12" t="s">
        <v>87</v>
      </c>
    </row>
    <row r="2272" spans="1:9">
      <c r="A2272" s="14">
        <v>86220</v>
      </c>
      <c r="B2272" s="14" t="s">
        <v>420</v>
      </c>
      <c r="C2272" s="12" t="s">
        <v>180</v>
      </c>
      <c r="D2272" s="15" t="str">
        <f t="shared" si="35"/>
        <v>Customer Experience - Quality - TMG</v>
      </c>
      <c r="E2272" s="12" t="s">
        <v>118</v>
      </c>
      <c r="F2272" s="12" t="s">
        <v>113</v>
      </c>
      <c r="G2272" s="12" t="s">
        <v>114</v>
      </c>
      <c r="H2272" s="12" t="s">
        <v>1025</v>
      </c>
      <c r="I2272" s="12" t="s">
        <v>87</v>
      </c>
    </row>
    <row r="2273" spans="1:9">
      <c r="A2273" s="14">
        <v>86220</v>
      </c>
      <c r="B2273" s="14" t="s">
        <v>420</v>
      </c>
      <c r="C2273" s="12" t="s">
        <v>208</v>
      </c>
      <c r="D2273" s="15" t="str">
        <f t="shared" si="35"/>
        <v>Customer Experience - Quality - TTR</v>
      </c>
      <c r="E2273" s="12" t="s">
        <v>118</v>
      </c>
      <c r="F2273" s="12" t="s">
        <v>113</v>
      </c>
      <c r="G2273" s="12" t="s">
        <v>114</v>
      </c>
      <c r="H2273" s="12" t="s">
        <v>1025</v>
      </c>
      <c r="I2273" s="12" t="s">
        <v>87</v>
      </c>
    </row>
    <row r="2274" spans="1:9">
      <c r="A2274" s="14">
        <v>86250</v>
      </c>
      <c r="B2274" s="14" t="s">
        <v>430</v>
      </c>
      <c r="C2274" s="12" t="s">
        <v>431</v>
      </c>
      <c r="D2274" s="15" t="str">
        <f t="shared" si="35"/>
        <v>Customer Experience - SD - AGA</v>
      </c>
      <c r="E2274" s="12" t="s">
        <v>118</v>
      </c>
      <c r="F2274" s="12" t="s">
        <v>113</v>
      </c>
      <c r="G2274" s="12" t="s">
        <v>114</v>
      </c>
      <c r="H2274" s="12" t="s">
        <v>1025</v>
      </c>
      <c r="I2274" s="12" t="s">
        <v>87</v>
      </c>
    </row>
    <row r="2275" spans="1:9">
      <c r="A2275" s="14">
        <v>86250</v>
      </c>
      <c r="B2275" s="14" t="s">
        <v>430</v>
      </c>
      <c r="C2275" s="12" t="s">
        <v>433</v>
      </c>
      <c r="D2275" s="15" t="str">
        <f t="shared" si="35"/>
        <v>Customer Experience - SD - ANA</v>
      </c>
      <c r="E2275" s="12" t="s">
        <v>118</v>
      </c>
      <c r="F2275" s="12" t="s">
        <v>113</v>
      </c>
      <c r="G2275" s="12" t="s">
        <v>114</v>
      </c>
      <c r="H2275" s="12" t="s">
        <v>1025</v>
      </c>
      <c r="I2275" s="12" t="s">
        <v>87</v>
      </c>
    </row>
    <row r="2276" spans="1:9">
      <c r="A2276" s="14">
        <v>86250</v>
      </c>
      <c r="B2276" s="14" t="s">
        <v>430</v>
      </c>
      <c r="C2276" s="12" t="s">
        <v>129</v>
      </c>
      <c r="D2276" s="15" t="str">
        <f t="shared" si="35"/>
        <v>Customer Experience - SD - MGT</v>
      </c>
      <c r="E2276" s="12" t="s">
        <v>118</v>
      </c>
      <c r="F2276" s="12" t="s">
        <v>113</v>
      </c>
      <c r="G2276" s="12" t="s">
        <v>114</v>
      </c>
      <c r="H2276" s="12" t="s">
        <v>1025</v>
      </c>
      <c r="I2276" s="12" t="s">
        <v>87</v>
      </c>
    </row>
    <row r="2277" spans="1:9">
      <c r="A2277" s="14">
        <v>86250</v>
      </c>
      <c r="B2277" s="14" t="s">
        <v>430</v>
      </c>
      <c r="C2277" s="12" t="s">
        <v>418</v>
      </c>
      <c r="D2277" s="15" t="str">
        <f t="shared" si="35"/>
        <v>Customer Experience - SD - QLC</v>
      </c>
      <c r="E2277" s="12" t="s">
        <v>118</v>
      </c>
      <c r="F2277" s="12" t="s">
        <v>113</v>
      </c>
      <c r="G2277" s="12" t="s">
        <v>114</v>
      </c>
      <c r="H2277" s="12" t="s">
        <v>1025</v>
      </c>
      <c r="I2277" s="12" t="s">
        <v>87</v>
      </c>
    </row>
    <row r="2278" spans="1:9">
      <c r="A2278" s="14">
        <v>86250</v>
      </c>
      <c r="B2278" s="14" t="s">
        <v>430</v>
      </c>
      <c r="C2278" s="12" t="s">
        <v>111</v>
      </c>
      <c r="D2278" s="15" t="str">
        <f t="shared" si="35"/>
        <v>Customer Experience - SD - QLY</v>
      </c>
      <c r="E2278" s="12" t="s">
        <v>118</v>
      </c>
      <c r="F2278" s="12" t="s">
        <v>113</v>
      </c>
      <c r="G2278" s="12" t="s">
        <v>114</v>
      </c>
      <c r="H2278" s="12" t="s">
        <v>1025</v>
      </c>
      <c r="I2278" s="12" t="s">
        <v>87</v>
      </c>
    </row>
    <row r="2279" spans="1:9">
      <c r="A2279" s="14">
        <v>86250</v>
      </c>
      <c r="B2279" s="14" t="s">
        <v>430</v>
      </c>
      <c r="C2279" s="12" t="s">
        <v>119</v>
      </c>
      <c r="D2279" s="15" t="str">
        <f t="shared" si="35"/>
        <v>Customer Experience - SD - SQM</v>
      </c>
      <c r="E2279" s="12" t="s">
        <v>118</v>
      </c>
      <c r="F2279" s="12" t="s">
        <v>113</v>
      </c>
      <c r="G2279" s="12" t="s">
        <v>114</v>
      </c>
      <c r="H2279" s="12" t="s">
        <v>1025</v>
      </c>
      <c r="I2279" s="12" t="s">
        <v>87</v>
      </c>
    </row>
    <row r="2280" spans="1:9">
      <c r="A2280" s="14">
        <v>86250</v>
      </c>
      <c r="B2280" s="14" t="s">
        <v>430</v>
      </c>
      <c r="C2280" s="12" t="s">
        <v>145</v>
      </c>
      <c r="D2280" s="15" t="str">
        <f t="shared" si="35"/>
        <v>Customer Experience - SD - SUP</v>
      </c>
      <c r="E2280" s="12" t="s">
        <v>118</v>
      </c>
      <c r="F2280" s="12" t="s">
        <v>113</v>
      </c>
      <c r="G2280" s="12" t="s">
        <v>114</v>
      </c>
      <c r="H2280" s="12" t="s">
        <v>1025</v>
      </c>
      <c r="I2280" s="12" t="s">
        <v>87</v>
      </c>
    </row>
    <row r="2281" spans="1:9">
      <c r="A2281" s="14">
        <v>86250</v>
      </c>
      <c r="B2281" s="14" t="s">
        <v>430</v>
      </c>
      <c r="C2281" s="12" t="s">
        <v>185</v>
      </c>
      <c r="D2281" s="15" t="str">
        <f t="shared" si="35"/>
        <v>Customer Experience - SD - TPS</v>
      </c>
      <c r="E2281" s="12" t="s">
        <v>118</v>
      </c>
      <c r="F2281" s="12" t="s">
        <v>113</v>
      </c>
      <c r="G2281" s="12" t="s">
        <v>114</v>
      </c>
      <c r="H2281" s="12" t="s">
        <v>1025</v>
      </c>
      <c r="I2281" s="12" t="s">
        <v>87</v>
      </c>
    </row>
    <row r="2282" spans="1:9">
      <c r="A2282" s="14">
        <v>93101</v>
      </c>
      <c r="B2282" s="14" t="s">
        <v>441</v>
      </c>
      <c r="C2282" s="12" t="s">
        <v>145</v>
      </c>
      <c r="D2282" s="15" t="str">
        <f t="shared" si="35"/>
        <v>Customer Relations - SUP</v>
      </c>
      <c r="E2282" s="12" t="s">
        <v>118</v>
      </c>
      <c r="F2282" s="12" t="s">
        <v>257</v>
      </c>
      <c r="G2282" s="12" t="s">
        <v>114</v>
      </c>
      <c r="H2282" s="12" t="s">
        <v>1025</v>
      </c>
      <c r="I2282" s="12" t="s">
        <v>87</v>
      </c>
    </row>
    <row r="2283" spans="1:9">
      <c r="A2283" s="14">
        <v>12632</v>
      </c>
      <c r="B2283" s="14" t="s">
        <v>443</v>
      </c>
      <c r="C2283" s="12" t="s">
        <v>185</v>
      </c>
      <c r="D2283" s="15" t="str">
        <f t="shared" si="35"/>
        <v>CVS EPDB-Cred Backlog Offshore - TPS</v>
      </c>
      <c r="E2283" s="12" t="s">
        <v>141</v>
      </c>
      <c r="F2283" s="12" t="s">
        <v>163</v>
      </c>
      <c r="G2283" s="12" t="s">
        <v>164</v>
      </c>
      <c r="H2283" s="12" t="s">
        <v>1025</v>
      </c>
      <c r="I2283" s="12" t="s">
        <v>87</v>
      </c>
    </row>
    <row r="2284" spans="1:9">
      <c r="A2284" s="14">
        <v>12633</v>
      </c>
      <c r="B2284" s="14" t="s">
        <v>445</v>
      </c>
      <c r="C2284" s="12" t="s">
        <v>185</v>
      </c>
      <c r="D2284" s="15" t="str">
        <f t="shared" si="35"/>
        <v>CVS EPDB-PDM Backlog Offshore - TPS</v>
      </c>
      <c r="E2284" s="12" t="s">
        <v>141</v>
      </c>
      <c r="F2284" s="12" t="s">
        <v>163</v>
      </c>
      <c r="G2284" s="12" t="s">
        <v>164</v>
      </c>
      <c r="H2284" s="12" t="s">
        <v>1025</v>
      </c>
      <c r="I2284" s="12" t="s">
        <v>87</v>
      </c>
    </row>
    <row r="2285" spans="1:9">
      <c r="A2285" s="14">
        <v>12587</v>
      </c>
      <c r="B2285" s="14" t="s">
        <v>447</v>
      </c>
      <c r="C2285" s="12" t="s">
        <v>230</v>
      </c>
      <c r="D2285" s="15" t="str">
        <f t="shared" si="35"/>
        <v>CVS Health (Aetna) EPDB - PDM - PRSP</v>
      </c>
      <c r="E2285" s="12" t="s">
        <v>141</v>
      </c>
      <c r="F2285" s="12" t="s">
        <v>163</v>
      </c>
      <c r="G2285" s="12" t="s">
        <v>164</v>
      </c>
      <c r="H2285" s="12" t="s">
        <v>1025</v>
      </c>
      <c r="I2285" s="12" t="s">
        <v>87</v>
      </c>
    </row>
    <row r="2286" spans="1:9">
      <c r="A2286" s="14">
        <v>12587</v>
      </c>
      <c r="B2286" s="14" t="s">
        <v>447</v>
      </c>
      <c r="C2286" s="12" t="s">
        <v>185</v>
      </c>
      <c r="D2286" s="15" t="str">
        <f t="shared" si="35"/>
        <v>CVS Health (Aetna) EPDB - PDM - TPS</v>
      </c>
      <c r="E2286" s="12" t="s">
        <v>141</v>
      </c>
      <c r="F2286" s="12" t="s">
        <v>163</v>
      </c>
      <c r="G2286" s="12" t="s">
        <v>164</v>
      </c>
      <c r="H2286" s="12" t="s">
        <v>1025</v>
      </c>
      <c r="I2286" s="12" t="s">
        <v>87</v>
      </c>
    </row>
    <row r="2287" spans="1:9">
      <c r="A2287" s="14">
        <v>92116</v>
      </c>
      <c r="B2287" s="14" t="s">
        <v>452</v>
      </c>
      <c r="C2287" s="12" t="s">
        <v>145</v>
      </c>
      <c r="D2287" s="15" t="str">
        <f t="shared" si="35"/>
        <v>DES-1_ Facilities - SUP</v>
      </c>
      <c r="E2287" s="12" t="s">
        <v>118</v>
      </c>
      <c r="F2287" s="12" t="s">
        <v>349</v>
      </c>
      <c r="G2287" s="12" t="s">
        <v>350</v>
      </c>
      <c r="H2287" s="12" t="s">
        <v>1025</v>
      </c>
      <c r="I2287" s="12" t="s">
        <v>87</v>
      </c>
    </row>
    <row r="2288" spans="1:9">
      <c r="A2288" s="14">
        <v>95103</v>
      </c>
      <c r="B2288" s="14" t="s">
        <v>454</v>
      </c>
      <c r="C2288" s="12" t="s">
        <v>415</v>
      </c>
      <c r="D2288" s="15" t="str">
        <f t="shared" si="35"/>
        <v>Deskside Support - GTI</v>
      </c>
      <c r="E2288" s="12" t="s">
        <v>117</v>
      </c>
      <c r="F2288" s="12" t="s">
        <v>117</v>
      </c>
      <c r="G2288" s="12" t="s">
        <v>117</v>
      </c>
      <c r="H2288" s="12" t="s">
        <v>1025</v>
      </c>
      <c r="I2288" s="12" t="s">
        <v>87</v>
      </c>
    </row>
    <row r="2289" spans="1:9">
      <c r="A2289" s="14">
        <v>95103</v>
      </c>
      <c r="B2289" s="14" t="s">
        <v>454</v>
      </c>
      <c r="C2289" s="12" t="s">
        <v>129</v>
      </c>
      <c r="D2289" s="15" t="str">
        <f t="shared" si="35"/>
        <v>Deskside Support - MGT</v>
      </c>
      <c r="E2289" s="12" t="s">
        <v>117</v>
      </c>
      <c r="F2289" s="12" t="s">
        <v>117</v>
      </c>
      <c r="G2289" s="12" t="s">
        <v>117</v>
      </c>
      <c r="H2289" s="12" t="s">
        <v>1025</v>
      </c>
      <c r="I2289" s="12" t="s">
        <v>87</v>
      </c>
    </row>
    <row r="2290" spans="1:9">
      <c r="A2290" s="14">
        <v>95103</v>
      </c>
      <c r="B2290" s="14" t="s">
        <v>454</v>
      </c>
      <c r="C2290" s="12" t="s">
        <v>145</v>
      </c>
      <c r="D2290" s="15" t="str">
        <f t="shared" si="35"/>
        <v>Deskside Support - SUP</v>
      </c>
      <c r="E2290" s="12" t="s">
        <v>117</v>
      </c>
      <c r="F2290" s="12" t="s">
        <v>117</v>
      </c>
      <c r="G2290" s="12" t="s">
        <v>117</v>
      </c>
      <c r="H2290" s="12" t="s">
        <v>1025</v>
      </c>
      <c r="I2290" s="12" t="s">
        <v>87</v>
      </c>
    </row>
    <row r="2291" spans="1:9">
      <c r="A2291" s="14">
        <v>89009</v>
      </c>
      <c r="B2291" s="14" t="s">
        <v>458</v>
      </c>
      <c r="C2291" s="12" t="s">
        <v>116</v>
      </c>
      <c r="D2291" s="15" t="str">
        <f t="shared" si="35"/>
        <v>Digital assurance cloudtestr - PRD</v>
      </c>
      <c r="E2291" s="12" t="s">
        <v>117</v>
      </c>
      <c r="F2291" s="12" t="s">
        <v>117</v>
      </c>
      <c r="G2291" s="12" t="s">
        <v>117</v>
      </c>
      <c r="H2291" s="12" t="s">
        <v>1025</v>
      </c>
      <c r="I2291" s="12" t="s">
        <v>87</v>
      </c>
    </row>
    <row r="2292" spans="1:9">
      <c r="A2292" s="14">
        <v>89010</v>
      </c>
      <c r="B2292" s="14" t="s">
        <v>460</v>
      </c>
      <c r="C2292" s="12" t="s">
        <v>116</v>
      </c>
      <c r="D2292" s="15" t="str">
        <f t="shared" si="35"/>
        <v>Digital assurance others - PRD</v>
      </c>
      <c r="E2292" s="12" t="s">
        <v>117</v>
      </c>
      <c r="F2292" s="12" t="s">
        <v>117</v>
      </c>
      <c r="G2292" s="12" t="s">
        <v>117</v>
      </c>
      <c r="H2292" s="12" t="s">
        <v>1025</v>
      </c>
      <c r="I2292" s="12" t="s">
        <v>87</v>
      </c>
    </row>
    <row r="2293" spans="1:9">
      <c r="A2293" s="14">
        <v>91059</v>
      </c>
      <c r="B2293" s="14" t="s">
        <v>462</v>
      </c>
      <c r="C2293" s="12" t="s">
        <v>129</v>
      </c>
      <c r="D2293" s="15" t="str">
        <f t="shared" si="35"/>
        <v>Digital Reengineering Services - MGT</v>
      </c>
      <c r="E2293" s="12" t="s">
        <v>118</v>
      </c>
      <c r="F2293" s="12" t="s">
        <v>401</v>
      </c>
      <c r="G2293" s="12" t="s">
        <v>114</v>
      </c>
      <c r="H2293" s="12" t="s">
        <v>1025</v>
      </c>
      <c r="I2293" s="12" t="s">
        <v>87</v>
      </c>
    </row>
    <row r="2294" spans="1:9">
      <c r="A2294" s="14">
        <v>91059</v>
      </c>
      <c r="B2294" s="14" t="s">
        <v>462</v>
      </c>
      <c r="C2294" s="12" t="s">
        <v>177</v>
      </c>
      <c r="D2294" s="15" t="str">
        <f t="shared" si="35"/>
        <v>Digital Reengineering Services - OPS</v>
      </c>
      <c r="E2294" s="12" t="s">
        <v>118</v>
      </c>
      <c r="F2294" s="12" t="s">
        <v>401</v>
      </c>
      <c r="G2294" s="12" t="s">
        <v>114</v>
      </c>
      <c r="H2294" s="12" t="s">
        <v>1025</v>
      </c>
      <c r="I2294" s="12" t="s">
        <v>87</v>
      </c>
    </row>
    <row r="2295" spans="1:9">
      <c r="A2295" s="14">
        <v>91059</v>
      </c>
      <c r="B2295" s="14" t="s">
        <v>462</v>
      </c>
      <c r="C2295" s="12" t="s">
        <v>111</v>
      </c>
      <c r="D2295" s="15" t="str">
        <f t="shared" si="35"/>
        <v>Digital Reengineering Services - QLY</v>
      </c>
      <c r="E2295" s="12" t="s">
        <v>118</v>
      </c>
      <c r="F2295" s="12" t="s">
        <v>401</v>
      </c>
      <c r="G2295" s="12" t="s">
        <v>114</v>
      </c>
      <c r="H2295" s="12" t="s">
        <v>1025</v>
      </c>
      <c r="I2295" s="12" t="s">
        <v>87</v>
      </c>
    </row>
    <row r="2296" spans="1:9">
      <c r="A2296" s="14">
        <v>91059</v>
      </c>
      <c r="B2296" s="14" t="s">
        <v>462</v>
      </c>
      <c r="C2296" s="12" t="s">
        <v>139</v>
      </c>
      <c r="D2296" s="15" t="str">
        <f t="shared" si="35"/>
        <v>Digital Reengineering Services - SMGT</v>
      </c>
      <c r="E2296" s="12" t="s">
        <v>118</v>
      </c>
      <c r="F2296" s="12" t="s">
        <v>401</v>
      </c>
      <c r="G2296" s="12" t="s">
        <v>114</v>
      </c>
      <c r="H2296" s="12" t="s">
        <v>1025</v>
      </c>
      <c r="I2296" s="12" t="s">
        <v>87</v>
      </c>
    </row>
    <row r="2297" spans="1:9">
      <c r="A2297" s="14">
        <v>91059</v>
      </c>
      <c r="B2297" s="14" t="s">
        <v>462</v>
      </c>
      <c r="C2297" s="12" t="s">
        <v>145</v>
      </c>
      <c r="D2297" s="15" t="str">
        <f t="shared" si="35"/>
        <v>Digital Reengineering Services - SUP</v>
      </c>
      <c r="E2297" s="12" t="s">
        <v>118</v>
      </c>
      <c r="F2297" s="12" t="s">
        <v>401</v>
      </c>
      <c r="G2297" s="12" t="s">
        <v>114</v>
      </c>
      <c r="H2297" s="12" t="s">
        <v>1025</v>
      </c>
      <c r="I2297" s="12" t="s">
        <v>87</v>
      </c>
    </row>
    <row r="2298" spans="1:9">
      <c r="A2298" s="14">
        <v>89001</v>
      </c>
      <c r="B2298" s="14" t="s">
        <v>468</v>
      </c>
      <c r="C2298" s="12" t="s">
        <v>116</v>
      </c>
      <c r="D2298" s="15" t="str">
        <f t="shared" si="35"/>
        <v>Digital transformation Automat - PRD</v>
      </c>
      <c r="E2298" s="12" t="s">
        <v>117</v>
      </c>
      <c r="F2298" s="12" t="s">
        <v>117</v>
      </c>
      <c r="G2298" s="12" t="s">
        <v>117</v>
      </c>
      <c r="H2298" s="12" t="s">
        <v>1025</v>
      </c>
      <c r="I2298" s="12" t="s">
        <v>87</v>
      </c>
    </row>
    <row r="2299" spans="1:9">
      <c r="A2299" s="14">
        <v>89002</v>
      </c>
      <c r="B2299" s="14" t="s">
        <v>471</v>
      </c>
      <c r="C2299" s="12" t="s">
        <v>116</v>
      </c>
      <c r="D2299" s="15" t="str">
        <f t="shared" si="35"/>
        <v>Digital transformation Digital - PRD</v>
      </c>
      <c r="E2299" s="12" t="s">
        <v>117</v>
      </c>
      <c r="F2299" s="12" t="s">
        <v>117</v>
      </c>
      <c r="G2299" s="12" t="s">
        <v>117</v>
      </c>
      <c r="H2299" s="12" t="s">
        <v>1025</v>
      </c>
      <c r="I2299" s="12" t="s">
        <v>87</v>
      </c>
    </row>
    <row r="2300" spans="1:9">
      <c r="A2300" s="14">
        <v>88145</v>
      </c>
      <c r="B2300" s="14" t="s">
        <v>474</v>
      </c>
      <c r="C2300" s="12" t="s">
        <v>185</v>
      </c>
      <c r="D2300" s="15" t="str">
        <f t="shared" si="35"/>
        <v>Direct JC - F and A bench - TPS</v>
      </c>
      <c r="E2300" s="12" t="s">
        <v>154</v>
      </c>
      <c r="F2300" s="12" t="s">
        <v>163</v>
      </c>
      <c r="G2300" s="12" t="s">
        <v>164</v>
      </c>
      <c r="H2300" s="12" t="s">
        <v>1025</v>
      </c>
      <c r="I2300" s="12" t="s">
        <v>87</v>
      </c>
    </row>
    <row r="2301" spans="1:9">
      <c r="A2301" s="14">
        <v>12427</v>
      </c>
      <c r="B2301" s="14" t="s">
        <v>477</v>
      </c>
      <c r="C2301" s="12" t="s">
        <v>116</v>
      </c>
      <c r="D2301" s="15" t="str">
        <f t="shared" si="35"/>
        <v>Elevance - Cred Offshore - PRD</v>
      </c>
      <c r="E2301" s="12" t="s">
        <v>141</v>
      </c>
      <c r="F2301" s="12" t="s">
        <v>163</v>
      </c>
      <c r="G2301" s="12" t="s">
        <v>164</v>
      </c>
      <c r="H2301" s="12" t="s">
        <v>1025</v>
      </c>
      <c r="I2301" s="12" t="s">
        <v>87</v>
      </c>
    </row>
    <row r="2302" spans="1:9">
      <c r="A2302" s="14">
        <v>12427</v>
      </c>
      <c r="B2302" s="14" t="s">
        <v>477</v>
      </c>
      <c r="C2302" s="12" t="s">
        <v>145</v>
      </c>
      <c r="D2302" s="15" t="str">
        <f t="shared" si="35"/>
        <v>Elevance - Cred Offshore - SUP</v>
      </c>
      <c r="E2302" s="12" t="s">
        <v>141</v>
      </c>
      <c r="F2302" s="12" t="s">
        <v>163</v>
      </c>
      <c r="G2302" s="12" t="s">
        <v>164</v>
      </c>
      <c r="H2302" s="12" t="s">
        <v>1025</v>
      </c>
      <c r="I2302" s="12" t="s">
        <v>87</v>
      </c>
    </row>
    <row r="2303" spans="1:9">
      <c r="A2303" s="14">
        <v>12427</v>
      </c>
      <c r="B2303" s="14" t="s">
        <v>477</v>
      </c>
      <c r="C2303" s="12" t="s">
        <v>198</v>
      </c>
      <c r="D2303" s="15" t="str">
        <f t="shared" si="35"/>
        <v>Elevance - Cred Offshore - TEC</v>
      </c>
      <c r="E2303" s="12" t="s">
        <v>141</v>
      </c>
      <c r="F2303" s="12" t="s">
        <v>163</v>
      </c>
      <c r="G2303" s="12" t="s">
        <v>164</v>
      </c>
      <c r="H2303" s="12" t="s">
        <v>1025</v>
      </c>
      <c r="I2303" s="12" t="s">
        <v>87</v>
      </c>
    </row>
    <row r="2304" spans="1:9">
      <c r="A2304" s="14">
        <v>12427</v>
      </c>
      <c r="B2304" s="14" t="s">
        <v>477</v>
      </c>
      <c r="C2304" s="12" t="s">
        <v>180</v>
      </c>
      <c r="D2304" s="15" t="str">
        <f t="shared" si="35"/>
        <v>Elevance - Cred Offshore - TMG</v>
      </c>
      <c r="E2304" s="12" t="s">
        <v>141</v>
      </c>
      <c r="F2304" s="12" t="s">
        <v>163</v>
      </c>
      <c r="G2304" s="12" t="s">
        <v>164</v>
      </c>
      <c r="H2304" s="12" t="s">
        <v>1025</v>
      </c>
      <c r="I2304" s="12" t="s">
        <v>87</v>
      </c>
    </row>
    <row r="2305" spans="1:9">
      <c r="A2305" s="14">
        <v>12427</v>
      </c>
      <c r="B2305" s="14" t="s">
        <v>477</v>
      </c>
      <c r="C2305" s="12" t="s">
        <v>185</v>
      </c>
      <c r="D2305" s="15" t="str">
        <f t="shared" si="35"/>
        <v>Elevance - Cred Offshore - TPS</v>
      </c>
      <c r="E2305" s="12" t="s">
        <v>141</v>
      </c>
      <c r="F2305" s="12" t="s">
        <v>163</v>
      </c>
      <c r="G2305" s="12" t="s">
        <v>164</v>
      </c>
      <c r="H2305" s="12" t="s">
        <v>1025</v>
      </c>
      <c r="I2305" s="12" t="s">
        <v>87</v>
      </c>
    </row>
    <row r="2306" spans="1:9">
      <c r="A2306" s="14">
        <v>12590</v>
      </c>
      <c r="B2306" s="14" t="s">
        <v>486</v>
      </c>
      <c r="C2306" s="12" t="s">
        <v>145</v>
      </c>
      <c r="D2306" s="15" t="str">
        <f t="shared" ref="D2306:D2369" si="36">B2306&amp;" - "&amp;C2306</f>
        <v>Elevance - DOO Platform - SUP</v>
      </c>
      <c r="E2306" s="12" t="s">
        <v>117</v>
      </c>
      <c r="F2306" s="12" t="s">
        <v>117</v>
      </c>
      <c r="G2306" s="12" t="s">
        <v>117</v>
      </c>
      <c r="H2306" s="12" t="s">
        <v>1025</v>
      </c>
      <c r="I2306" s="12" t="s">
        <v>87</v>
      </c>
    </row>
    <row r="2307" spans="1:9">
      <c r="A2307" s="14">
        <v>12505</v>
      </c>
      <c r="B2307" s="14" t="s">
        <v>488</v>
      </c>
      <c r="C2307" s="12" t="s">
        <v>193</v>
      </c>
      <c r="D2307" s="15" t="str">
        <f t="shared" si="36"/>
        <v>Elevance - Phase 2 Discovery - DEV</v>
      </c>
      <c r="E2307" s="12" t="s">
        <v>117</v>
      </c>
      <c r="F2307" s="12" t="s">
        <v>117</v>
      </c>
      <c r="G2307" s="12" t="s">
        <v>117</v>
      </c>
      <c r="H2307" s="12" t="s">
        <v>1025</v>
      </c>
      <c r="I2307" s="12" t="s">
        <v>87</v>
      </c>
    </row>
    <row r="2308" spans="1:9">
      <c r="A2308" s="14">
        <v>12505</v>
      </c>
      <c r="B2308" s="14" t="s">
        <v>488</v>
      </c>
      <c r="C2308" s="12" t="s">
        <v>145</v>
      </c>
      <c r="D2308" s="15" t="str">
        <f t="shared" si="36"/>
        <v>Elevance - Phase 2 Discovery - SUP</v>
      </c>
      <c r="E2308" s="12" t="s">
        <v>117</v>
      </c>
      <c r="F2308" s="12" t="s">
        <v>117</v>
      </c>
      <c r="G2308" s="12" t="s">
        <v>117</v>
      </c>
      <c r="H2308" s="12" t="s">
        <v>1025</v>
      </c>
      <c r="I2308" s="12" t="s">
        <v>87</v>
      </c>
    </row>
    <row r="2309" spans="1:9">
      <c r="A2309" s="14">
        <v>12607</v>
      </c>
      <c r="B2309" s="14" t="s">
        <v>490</v>
      </c>
      <c r="C2309" s="12" t="s">
        <v>116</v>
      </c>
      <c r="D2309" s="15" t="str">
        <f t="shared" si="36"/>
        <v>Elevance RPA_BOT Dev and Maint - PRD</v>
      </c>
      <c r="E2309" s="12" t="s">
        <v>117</v>
      </c>
      <c r="F2309" s="12" t="s">
        <v>117</v>
      </c>
      <c r="G2309" s="12" t="s">
        <v>117</v>
      </c>
      <c r="H2309" s="12" t="s">
        <v>1025</v>
      </c>
      <c r="I2309" s="12" t="s">
        <v>87</v>
      </c>
    </row>
    <row r="2310" spans="1:9">
      <c r="A2310" s="14">
        <v>93022</v>
      </c>
      <c r="B2310" s="14" t="s">
        <v>493</v>
      </c>
      <c r="C2310" s="12" t="s">
        <v>145</v>
      </c>
      <c r="D2310" s="15" t="str">
        <f t="shared" si="36"/>
        <v>Employee Communications - SUP</v>
      </c>
      <c r="E2310" s="12" t="s">
        <v>118</v>
      </c>
      <c r="F2310" s="12" t="s">
        <v>494</v>
      </c>
      <c r="G2310" s="12" t="s">
        <v>114</v>
      </c>
      <c r="H2310" s="12" t="s">
        <v>1025</v>
      </c>
      <c r="I2310" s="12" t="s">
        <v>87</v>
      </c>
    </row>
    <row r="2311" spans="1:9">
      <c r="A2311" s="14">
        <v>89004</v>
      </c>
      <c r="B2311" s="14" t="s">
        <v>496</v>
      </c>
      <c r="C2311" s="12" t="s">
        <v>116</v>
      </c>
      <c r="D2311" s="15" t="str">
        <f t="shared" si="36"/>
        <v>Enterprise application mainten - PRD</v>
      </c>
      <c r="E2311" s="12" t="s">
        <v>117</v>
      </c>
      <c r="F2311" s="12" t="s">
        <v>117</v>
      </c>
      <c r="G2311" s="12" t="s">
        <v>117</v>
      </c>
      <c r="H2311" s="12" t="s">
        <v>1025</v>
      </c>
      <c r="I2311" s="12" t="s">
        <v>87</v>
      </c>
    </row>
    <row r="2312" spans="1:9">
      <c r="A2312" s="14">
        <v>95305</v>
      </c>
      <c r="B2312" s="14" t="s">
        <v>498</v>
      </c>
      <c r="C2312" s="12" t="s">
        <v>129</v>
      </c>
      <c r="D2312" s="15" t="str">
        <f t="shared" si="36"/>
        <v>ESG Ariba - MGT</v>
      </c>
      <c r="E2312" s="12" t="s">
        <v>118</v>
      </c>
      <c r="F2312" s="12" t="s">
        <v>261</v>
      </c>
      <c r="G2312" s="12" t="s">
        <v>264</v>
      </c>
      <c r="H2312" s="12" t="s">
        <v>1025</v>
      </c>
      <c r="I2312" s="12" t="s">
        <v>87</v>
      </c>
    </row>
    <row r="2313" spans="1:9">
      <c r="A2313" s="14">
        <v>95250</v>
      </c>
      <c r="B2313" s="14" t="s">
        <v>500</v>
      </c>
      <c r="C2313" s="12" t="s">
        <v>262</v>
      </c>
      <c r="D2313" s="15" t="str">
        <f t="shared" si="36"/>
        <v>ESG CORP APPS - GSI</v>
      </c>
      <c r="E2313" s="12" t="s">
        <v>118</v>
      </c>
      <c r="F2313" s="12" t="s">
        <v>117</v>
      </c>
      <c r="G2313" s="12" t="s">
        <v>117</v>
      </c>
      <c r="H2313" s="12" t="s">
        <v>1025</v>
      </c>
      <c r="I2313" s="12" t="s">
        <v>87</v>
      </c>
    </row>
    <row r="2314" spans="1:9">
      <c r="A2314" s="14">
        <v>95250</v>
      </c>
      <c r="B2314" s="14" t="s">
        <v>500</v>
      </c>
      <c r="C2314" s="12" t="s">
        <v>415</v>
      </c>
      <c r="D2314" s="15" t="str">
        <f t="shared" si="36"/>
        <v>ESG CORP APPS - GTI</v>
      </c>
      <c r="E2314" s="12" t="s">
        <v>118</v>
      </c>
      <c r="F2314" s="12" t="s">
        <v>117</v>
      </c>
      <c r="G2314" s="12" t="s">
        <v>117</v>
      </c>
      <c r="H2314" s="12" t="s">
        <v>1025</v>
      </c>
      <c r="I2314" s="12" t="s">
        <v>87</v>
      </c>
    </row>
    <row r="2315" spans="1:9">
      <c r="A2315" s="14">
        <v>95250</v>
      </c>
      <c r="B2315" s="14" t="s">
        <v>500</v>
      </c>
      <c r="C2315" s="12" t="s">
        <v>129</v>
      </c>
      <c r="D2315" s="15" t="str">
        <f t="shared" si="36"/>
        <v>ESG CORP APPS - MGT</v>
      </c>
      <c r="E2315" s="12" t="s">
        <v>118</v>
      </c>
      <c r="F2315" s="12" t="s">
        <v>117</v>
      </c>
      <c r="G2315" s="12" t="s">
        <v>117</v>
      </c>
      <c r="H2315" s="12" t="s">
        <v>1025</v>
      </c>
      <c r="I2315" s="12" t="s">
        <v>87</v>
      </c>
    </row>
    <row r="2316" spans="1:9">
      <c r="A2316" s="14">
        <v>95250</v>
      </c>
      <c r="B2316" s="14" t="s">
        <v>500</v>
      </c>
      <c r="C2316" s="12" t="s">
        <v>139</v>
      </c>
      <c r="D2316" s="15" t="str">
        <f t="shared" si="36"/>
        <v>ESG CORP APPS - SMGT</v>
      </c>
      <c r="E2316" s="12" t="s">
        <v>118</v>
      </c>
      <c r="F2316" s="12" t="s">
        <v>117</v>
      </c>
      <c r="G2316" s="12" t="s">
        <v>117</v>
      </c>
      <c r="H2316" s="12" t="s">
        <v>1025</v>
      </c>
      <c r="I2316" s="12" t="s">
        <v>87</v>
      </c>
    </row>
    <row r="2317" spans="1:9">
      <c r="A2317" s="14">
        <v>95250</v>
      </c>
      <c r="B2317" s="14" t="s">
        <v>500</v>
      </c>
      <c r="C2317" s="12" t="s">
        <v>145</v>
      </c>
      <c r="D2317" s="15" t="str">
        <f t="shared" si="36"/>
        <v>ESG CORP APPS - SUP</v>
      </c>
      <c r="E2317" s="12" t="s">
        <v>118</v>
      </c>
      <c r="F2317" s="12" t="s">
        <v>117</v>
      </c>
      <c r="G2317" s="12" t="s">
        <v>117</v>
      </c>
      <c r="H2317" s="12" t="s">
        <v>1025</v>
      </c>
      <c r="I2317" s="12" t="s">
        <v>87</v>
      </c>
    </row>
    <row r="2318" spans="1:9">
      <c r="A2318" s="14">
        <v>95300</v>
      </c>
      <c r="B2318" s="14" t="s">
        <v>505</v>
      </c>
      <c r="C2318" s="12" t="s">
        <v>133</v>
      </c>
      <c r="D2318" s="15" t="str">
        <f t="shared" si="36"/>
        <v>ESG Finance - AMG</v>
      </c>
      <c r="E2318" s="12" t="s">
        <v>118</v>
      </c>
      <c r="F2318" s="12" t="s">
        <v>506</v>
      </c>
      <c r="G2318" s="12" t="s">
        <v>264</v>
      </c>
      <c r="H2318" s="12" t="s">
        <v>1025</v>
      </c>
      <c r="I2318" s="12" t="s">
        <v>87</v>
      </c>
    </row>
    <row r="2319" spans="1:9">
      <c r="A2319" s="14">
        <v>95300</v>
      </c>
      <c r="B2319" s="14" t="s">
        <v>505</v>
      </c>
      <c r="C2319" s="12" t="s">
        <v>262</v>
      </c>
      <c r="D2319" s="15" t="str">
        <f t="shared" si="36"/>
        <v>ESG Finance - GSI</v>
      </c>
      <c r="E2319" s="12" t="s">
        <v>118</v>
      </c>
      <c r="F2319" s="12" t="s">
        <v>506</v>
      </c>
      <c r="G2319" s="12" t="s">
        <v>264</v>
      </c>
      <c r="H2319" s="12" t="s">
        <v>1025</v>
      </c>
      <c r="I2319" s="12" t="s">
        <v>87</v>
      </c>
    </row>
    <row r="2320" spans="1:9">
      <c r="A2320" s="14">
        <v>95300</v>
      </c>
      <c r="B2320" s="14" t="s">
        <v>505</v>
      </c>
      <c r="C2320" s="12" t="s">
        <v>129</v>
      </c>
      <c r="D2320" s="15" t="str">
        <f t="shared" si="36"/>
        <v>ESG Finance - MGT</v>
      </c>
      <c r="E2320" s="12" t="s">
        <v>118</v>
      </c>
      <c r="F2320" s="12" t="s">
        <v>506</v>
      </c>
      <c r="G2320" s="12" t="s">
        <v>264</v>
      </c>
      <c r="H2320" s="12" t="s">
        <v>1025</v>
      </c>
      <c r="I2320" s="12" t="s">
        <v>87</v>
      </c>
    </row>
    <row r="2321" spans="1:9">
      <c r="A2321" s="14">
        <v>95300</v>
      </c>
      <c r="B2321" s="14" t="s">
        <v>505</v>
      </c>
      <c r="C2321" s="12" t="s">
        <v>139</v>
      </c>
      <c r="D2321" s="15" t="str">
        <f t="shared" si="36"/>
        <v>ESG Finance - SMGT</v>
      </c>
      <c r="E2321" s="12" t="s">
        <v>118</v>
      </c>
      <c r="F2321" s="12" t="s">
        <v>506</v>
      </c>
      <c r="G2321" s="12" t="s">
        <v>264</v>
      </c>
      <c r="H2321" s="12" t="s">
        <v>1025</v>
      </c>
      <c r="I2321" s="12" t="s">
        <v>87</v>
      </c>
    </row>
    <row r="2322" spans="1:9">
      <c r="A2322" s="14">
        <v>95300</v>
      </c>
      <c r="B2322" s="14" t="s">
        <v>505</v>
      </c>
      <c r="C2322" s="12" t="s">
        <v>145</v>
      </c>
      <c r="D2322" s="15" t="str">
        <f t="shared" si="36"/>
        <v>ESG Finance - SUP</v>
      </c>
      <c r="E2322" s="12" t="s">
        <v>118</v>
      </c>
      <c r="F2322" s="12" t="s">
        <v>506</v>
      </c>
      <c r="G2322" s="12" t="s">
        <v>264</v>
      </c>
      <c r="H2322" s="12" t="s">
        <v>1025</v>
      </c>
      <c r="I2322" s="12" t="s">
        <v>87</v>
      </c>
    </row>
    <row r="2323" spans="1:9">
      <c r="A2323" s="14">
        <v>95300</v>
      </c>
      <c r="B2323" s="14" t="s">
        <v>505</v>
      </c>
      <c r="C2323" s="12" t="s">
        <v>180</v>
      </c>
      <c r="D2323" s="15" t="str">
        <f t="shared" si="36"/>
        <v>ESG Finance - TMG</v>
      </c>
      <c r="E2323" s="12" t="s">
        <v>118</v>
      </c>
      <c r="F2323" s="12" t="s">
        <v>506</v>
      </c>
      <c r="G2323" s="12" t="s">
        <v>264</v>
      </c>
      <c r="H2323" s="12" t="s">
        <v>1025</v>
      </c>
      <c r="I2323" s="12" t="s">
        <v>87</v>
      </c>
    </row>
    <row r="2324" spans="1:9">
      <c r="A2324" s="14">
        <v>97202</v>
      </c>
      <c r="B2324" s="14" t="s">
        <v>511</v>
      </c>
      <c r="C2324" s="12" t="s">
        <v>129</v>
      </c>
      <c r="D2324" s="15" t="str">
        <f t="shared" si="36"/>
        <v>Executive Recruitment - MGT</v>
      </c>
      <c r="E2324" s="12" t="s">
        <v>118</v>
      </c>
      <c r="F2324" s="12" t="s">
        <v>512</v>
      </c>
      <c r="G2324" s="12" t="s">
        <v>114</v>
      </c>
      <c r="H2324" s="12" t="s">
        <v>1025</v>
      </c>
      <c r="I2324" s="12" t="s">
        <v>87</v>
      </c>
    </row>
    <row r="2325" spans="1:9">
      <c r="A2325" s="14">
        <v>97202</v>
      </c>
      <c r="B2325" s="14" t="s">
        <v>511</v>
      </c>
      <c r="C2325" s="12" t="s">
        <v>514</v>
      </c>
      <c r="D2325" s="15" t="str">
        <f t="shared" si="36"/>
        <v>Executive Recruitment - REC</v>
      </c>
      <c r="E2325" s="12" t="s">
        <v>118</v>
      </c>
      <c r="F2325" s="12" t="s">
        <v>512</v>
      </c>
      <c r="G2325" s="12" t="s">
        <v>114</v>
      </c>
      <c r="H2325" s="12" t="s">
        <v>1025</v>
      </c>
      <c r="I2325" s="12" t="s">
        <v>87</v>
      </c>
    </row>
    <row r="2326" spans="1:9">
      <c r="A2326" s="14">
        <v>97202</v>
      </c>
      <c r="B2326" s="14" t="s">
        <v>511</v>
      </c>
      <c r="C2326" s="12" t="s">
        <v>145</v>
      </c>
      <c r="D2326" s="15" t="str">
        <f t="shared" si="36"/>
        <v>Executive Recruitment - SUP</v>
      </c>
      <c r="E2326" s="12" t="s">
        <v>118</v>
      </c>
      <c r="F2326" s="12" t="s">
        <v>512</v>
      </c>
      <c r="G2326" s="12" t="s">
        <v>114</v>
      </c>
      <c r="H2326" s="12" t="s">
        <v>1025</v>
      </c>
      <c r="I2326" s="12" t="s">
        <v>87</v>
      </c>
    </row>
    <row r="2327" spans="1:9">
      <c r="A2327" s="14">
        <v>92101</v>
      </c>
      <c r="B2327" s="14" t="s">
        <v>517</v>
      </c>
      <c r="C2327" s="12" t="s">
        <v>348</v>
      </c>
      <c r="D2327" s="15" t="str">
        <f t="shared" si="36"/>
        <v>Facility &amp; Property Mgmnt - GM - ADM</v>
      </c>
      <c r="E2327" s="12" t="s">
        <v>118</v>
      </c>
      <c r="F2327" s="12" t="s">
        <v>518</v>
      </c>
      <c r="G2327" s="12" t="s">
        <v>350</v>
      </c>
      <c r="H2327" s="12" t="s">
        <v>1025</v>
      </c>
      <c r="I2327" s="12" t="s">
        <v>87</v>
      </c>
    </row>
    <row r="2328" spans="1:9">
      <c r="A2328" s="14">
        <v>92101</v>
      </c>
      <c r="B2328" s="14" t="s">
        <v>517</v>
      </c>
      <c r="C2328" s="12" t="s">
        <v>145</v>
      </c>
      <c r="D2328" s="15" t="str">
        <f t="shared" si="36"/>
        <v>Facility &amp; Property Mgmnt - GM - SUP</v>
      </c>
      <c r="E2328" s="12" t="s">
        <v>118</v>
      </c>
      <c r="F2328" s="12" t="s">
        <v>518</v>
      </c>
      <c r="G2328" s="12" t="s">
        <v>350</v>
      </c>
      <c r="H2328" s="12" t="s">
        <v>1025</v>
      </c>
      <c r="I2328" s="12" t="s">
        <v>87</v>
      </c>
    </row>
    <row r="2329" spans="1:9">
      <c r="A2329" s="14">
        <v>92201</v>
      </c>
      <c r="B2329" s="14" t="s">
        <v>521</v>
      </c>
      <c r="C2329" s="12" t="s">
        <v>348</v>
      </c>
      <c r="D2329" s="15" t="str">
        <f t="shared" si="36"/>
        <v>FACILITY &amp; PROPERTY MGMT - SGA - ADM</v>
      </c>
      <c r="E2329" s="12" t="s">
        <v>118</v>
      </c>
      <c r="F2329" s="12" t="s">
        <v>518</v>
      </c>
      <c r="G2329" s="12" t="s">
        <v>350</v>
      </c>
      <c r="H2329" s="12" t="s">
        <v>1025</v>
      </c>
      <c r="I2329" s="12" t="s">
        <v>87</v>
      </c>
    </row>
    <row r="2330" spans="1:9">
      <c r="A2330" s="14">
        <v>92201</v>
      </c>
      <c r="B2330" s="14" t="s">
        <v>521</v>
      </c>
      <c r="C2330" s="12" t="s">
        <v>129</v>
      </c>
      <c r="D2330" s="15" t="str">
        <f t="shared" si="36"/>
        <v>FACILITY &amp; PROPERTY MGMT - SGA - MGT</v>
      </c>
      <c r="E2330" s="12" t="s">
        <v>118</v>
      </c>
      <c r="F2330" s="12" t="s">
        <v>518</v>
      </c>
      <c r="G2330" s="12" t="s">
        <v>350</v>
      </c>
      <c r="H2330" s="12" t="s">
        <v>1025</v>
      </c>
      <c r="I2330" s="12" t="s">
        <v>87</v>
      </c>
    </row>
    <row r="2331" spans="1:9">
      <c r="A2331" s="14">
        <v>92201</v>
      </c>
      <c r="B2331" s="14" t="s">
        <v>521</v>
      </c>
      <c r="C2331" s="12" t="s">
        <v>139</v>
      </c>
      <c r="D2331" s="15" t="str">
        <f t="shared" si="36"/>
        <v>FACILITY &amp; PROPERTY MGMT - SGA - SMGT</v>
      </c>
      <c r="E2331" s="12" t="s">
        <v>118</v>
      </c>
      <c r="F2331" s="12" t="s">
        <v>518</v>
      </c>
      <c r="G2331" s="12" t="s">
        <v>350</v>
      </c>
      <c r="H2331" s="12" t="s">
        <v>1025</v>
      </c>
      <c r="I2331" s="12" t="s">
        <v>87</v>
      </c>
    </row>
    <row r="2332" spans="1:9">
      <c r="A2332" s="14">
        <v>92201</v>
      </c>
      <c r="B2332" s="14" t="s">
        <v>521</v>
      </c>
      <c r="C2332" s="12" t="s">
        <v>145</v>
      </c>
      <c r="D2332" s="15" t="str">
        <f t="shared" si="36"/>
        <v>FACILITY &amp; PROPERTY MGMT - SGA - SUP</v>
      </c>
      <c r="E2332" s="12" t="s">
        <v>118</v>
      </c>
      <c r="F2332" s="12" t="s">
        <v>518</v>
      </c>
      <c r="G2332" s="12" t="s">
        <v>350</v>
      </c>
      <c r="H2332" s="12" t="s">
        <v>1025</v>
      </c>
      <c r="I2332" s="12" t="s">
        <v>87</v>
      </c>
    </row>
    <row r="2333" spans="1:9">
      <c r="A2333" s="14">
        <v>96124</v>
      </c>
      <c r="B2333" s="14" t="s">
        <v>525</v>
      </c>
      <c r="C2333" s="12" t="s">
        <v>121</v>
      </c>
      <c r="D2333" s="15" t="str">
        <f t="shared" si="36"/>
        <v>Finance Controls - MDM - F&amp;A</v>
      </c>
      <c r="E2333" s="12" t="s">
        <v>118</v>
      </c>
      <c r="F2333" s="12" t="s">
        <v>122</v>
      </c>
      <c r="G2333" s="12" t="s">
        <v>114</v>
      </c>
      <c r="H2333" s="12" t="s">
        <v>1025</v>
      </c>
      <c r="I2333" s="12" t="s">
        <v>87</v>
      </c>
    </row>
    <row r="2334" spans="1:9">
      <c r="A2334" s="14">
        <v>96124</v>
      </c>
      <c r="B2334" s="14" t="s">
        <v>525</v>
      </c>
      <c r="C2334" s="12" t="s">
        <v>129</v>
      </c>
      <c r="D2334" s="15" t="str">
        <f t="shared" si="36"/>
        <v>Finance Controls - MDM - MGT</v>
      </c>
      <c r="E2334" s="12" t="s">
        <v>118</v>
      </c>
      <c r="F2334" s="12" t="s">
        <v>122</v>
      </c>
      <c r="G2334" s="12" t="s">
        <v>114</v>
      </c>
      <c r="H2334" s="12" t="s">
        <v>1025</v>
      </c>
      <c r="I2334" s="12" t="s">
        <v>87</v>
      </c>
    </row>
    <row r="2335" spans="1:9">
      <c r="A2335" s="14">
        <v>96124</v>
      </c>
      <c r="B2335" s="14" t="s">
        <v>525</v>
      </c>
      <c r="C2335" s="12" t="s">
        <v>145</v>
      </c>
      <c r="D2335" s="15" t="str">
        <f t="shared" si="36"/>
        <v>Finance Controls - MDM - SUP</v>
      </c>
      <c r="E2335" s="12" t="s">
        <v>118</v>
      </c>
      <c r="F2335" s="12" t="s">
        <v>122</v>
      </c>
      <c r="G2335" s="12" t="s">
        <v>114</v>
      </c>
      <c r="H2335" s="12" t="s">
        <v>1025</v>
      </c>
      <c r="I2335" s="12" t="s">
        <v>87</v>
      </c>
    </row>
    <row r="2336" spans="1:9">
      <c r="A2336" s="14">
        <v>96103</v>
      </c>
      <c r="B2336" s="14" t="s">
        <v>529</v>
      </c>
      <c r="C2336" s="12" t="s">
        <v>133</v>
      </c>
      <c r="D2336" s="15" t="str">
        <f t="shared" si="36"/>
        <v>FP &amp; A - AMG</v>
      </c>
      <c r="E2336" s="12" t="s">
        <v>118</v>
      </c>
      <c r="F2336" s="12" t="s">
        <v>122</v>
      </c>
      <c r="G2336" s="12" t="s">
        <v>114</v>
      </c>
      <c r="H2336" s="12" t="s">
        <v>1025</v>
      </c>
      <c r="I2336" s="12" t="s">
        <v>87</v>
      </c>
    </row>
    <row r="2337" spans="1:9">
      <c r="A2337" s="14">
        <v>96103</v>
      </c>
      <c r="B2337" s="14" t="s">
        <v>529</v>
      </c>
      <c r="C2337" s="12" t="s">
        <v>121</v>
      </c>
      <c r="D2337" s="15" t="str">
        <f t="shared" si="36"/>
        <v>FP &amp; A - F&amp;A</v>
      </c>
      <c r="E2337" s="12" t="s">
        <v>118</v>
      </c>
      <c r="F2337" s="12" t="s">
        <v>122</v>
      </c>
      <c r="G2337" s="12" t="s">
        <v>114</v>
      </c>
      <c r="H2337" s="12" t="s">
        <v>1025</v>
      </c>
      <c r="I2337" s="12" t="s">
        <v>87</v>
      </c>
    </row>
    <row r="2338" spans="1:9">
      <c r="A2338" s="14">
        <v>96103</v>
      </c>
      <c r="B2338" s="14" t="s">
        <v>529</v>
      </c>
      <c r="C2338" s="12" t="s">
        <v>129</v>
      </c>
      <c r="D2338" s="15" t="str">
        <f t="shared" si="36"/>
        <v>FP &amp; A - MGT</v>
      </c>
      <c r="E2338" s="12" t="s">
        <v>118</v>
      </c>
      <c r="F2338" s="12" t="s">
        <v>122</v>
      </c>
      <c r="G2338" s="12" t="s">
        <v>114</v>
      </c>
      <c r="H2338" s="12" t="s">
        <v>1025</v>
      </c>
      <c r="I2338" s="12" t="s">
        <v>87</v>
      </c>
    </row>
    <row r="2339" spans="1:9">
      <c r="A2339" s="14">
        <v>96103</v>
      </c>
      <c r="B2339" s="14" t="s">
        <v>529</v>
      </c>
      <c r="C2339" s="12" t="s">
        <v>145</v>
      </c>
      <c r="D2339" s="15" t="str">
        <f t="shared" si="36"/>
        <v>FP &amp; A - SUP</v>
      </c>
      <c r="E2339" s="12" t="s">
        <v>118</v>
      </c>
      <c r="F2339" s="12" t="s">
        <v>122</v>
      </c>
      <c r="G2339" s="12" t="s">
        <v>114</v>
      </c>
      <c r="H2339" s="12" t="s">
        <v>1025</v>
      </c>
      <c r="I2339" s="12" t="s">
        <v>87</v>
      </c>
    </row>
    <row r="2340" spans="1:9">
      <c r="A2340" s="14">
        <v>91404</v>
      </c>
      <c r="B2340" s="14" t="s">
        <v>533</v>
      </c>
      <c r="C2340" s="12" t="s">
        <v>145</v>
      </c>
      <c r="D2340" s="15" t="str">
        <f t="shared" si="36"/>
        <v>GDU2-Delivery-Leadership - SUP</v>
      </c>
      <c r="E2340" s="12" t="s">
        <v>117</v>
      </c>
      <c r="F2340" s="12" t="s">
        <v>117</v>
      </c>
      <c r="G2340" s="12" t="s">
        <v>117</v>
      </c>
      <c r="H2340" s="12" t="s">
        <v>1025</v>
      </c>
      <c r="I2340" s="12" t="s">
        <v>87</v>
      </c>
    </row>
    <row r="2341" spans="1:9">
      <c r="A2341" s="14">
        <v>12500</v>
      </c>
      <c r="B2341" s="14" t="s">
        <v>534</v>
      </c>
      <c r="C2341" s="12" t="s">
        <v>116</v>
      </c>
      <c r="D2341" s="15" t="str">
        <f t="shared" si="36"/>
        <v>GE HC - FY22 Opportunities - PRD</v>
      </c>
      <c r="E2341" s="12" t="s">
        <v>117</v>
      </c>
      <c r="F2341" s="12" t="s">
        <v>117</v>
      </c>
      <c r="G2341" s="12" t="s">
        <v>117</v>
      </c>
      <c r="H2341" s="12" t="s">
        <v>1025</v>
      </c>
      <c r="I2341" s="12" t="s">
        <v>87</v>
      </c>
    </row>
    <row r="2342" spans="1:9">
      <c r="A2342" s="14">
        <v>12489</v>
      </c>
      <c r="B2342" s="14" t="s">
        <v>536</v>
      </c>
      <c r="C2342" s="12" t="s">
        <v>116</v>
      </c>
      <c r="D2342" s="15" t="str">
        <f t="shared" si="36"/>
        <v>GE HC - IND Delivery - PRD</v>
      </c>
      <c r="E2342" s="12" t="s">
        <v>117</v>
      </c>
      <c r="F2342" s="12" t="s">
        <v>117</v>
      </c>
      <c r="G2342" s="12" t="s">
        <v>117</v>
      </c>
      <c r="H2342" s="12" t="s">
        <v>1025</v>
      </c>
      <c r="I2342" s="12" t="s">
        <v>87</v>
      </c>
    </row>
    <row r="2343" spans="1:9">
      <c r="A2343" s="14">
        <v>12489</v>
      </c>
      <c r="B2343" s="14" t="s">
        <v>536</v>
      </c>
      <c r="C2343" s="12" t="s">
        <v>139</v>
      </c>
      <c r="D2343" s="15" t="str">
        <f t="shared" si="36"/>
        <v>GE HC - IND Delivery - SMGT</v>
      </c>
      <c r="E2343" s="12" t="s">
        <v>117</v>
      </c>
      <c r="F2343" s="12" t="s">
        <v>117</v>
      </c>
      <c r="G2343" s="12" t="s">
        <v>117</v>
      </c>
      <c r="H2343" s="12" t="s">
        <v>1025</v>
      </c>
      <c r="I2343" s="12" t="s">
        <v>87</v>
      </c>
    </row>
    <row r="2344" spans="1:9">
      <c r="A2344" s="14">
        <v>12328</v>
      </c>
      <c r="B2344" s="14" t="s">
        <v>532</v>
      </c>
      <c r="C2344" s="12" t="s">
        <v>116</v>
      </c>
      <c r="D2344" s="15" t="str">
        <f t="shared" si="36"/>
        <v>GE HC APS Development - PRD</v>
      </c>
      <c r="E2344" s="12" t="s">
        <v>117</v>
      </c>
      <c r="F2344" s="12" t="s">
        <v>117</v>
      </c>
      <c r="G2344" s="12" t="s">
        <v>117</v>
      </c>
      <c r="H2344" s="12" t="s">
        <v>1025</v>
      </c>
      <c r="I2344" s="12" t="s">
        <v>87</v>
      </c>
    </row>
    <row r="2345" spans="1:9">
      <c r="A2345" s="14">
        <v>12328</v>
      </c>
      <c r="B2345" s="14" t="s">
        <v>532</v>
      </c>
      <c r="C2345" s="12" t="s">
        <v>145</v>
      </c>
      <c r="D2345" s="15" t="str">
        <f t="shared" si="36"/>
        <v>GE HC APS Development - SUP</v>
      </c>
      <c r="E2345" s="12" t="s">
        <v>117</v>
      </c>
      <c r="F2345" s="12" t="s">
        <v>117</v>
      </c>
      <c r="G2345" s="12" t="s">
        <v>117</v>
      </c>
      <c r="H2345" s="12" t="s">
        <v>1025</v>
      </c>
      <c r="I2345" s="12" t="s">
        <v>87</v>
      </c>
    </row>
    <row r="2346" spans="1:9">
      <c r="A2346" s="14">
        <v>12079</v>
      </c>
      <c r="B2346" s="14" t="s">
        <v>507</v>
      </c>
      <c r="C2346" s="12" t="s">
        <v>542</v>
      </c>
      <c r="D2346" s="15" t="str">
        <f t="shared" si="36"/>
        <v>GEHC-IT Product Support - ADV</v>
      </c>
      <c r="E2346" s="12" t="s">
        <v>117</v>
      </c>
      <c r="F2346" s="12" t="s">
        <v>117</v>
      </c>
      <c r="G2346" s="12" t="s">
        <v>117</v>
      </c>
      <c r="H2346" s="12" t="s">
        <v>1025</v>
      </c>
      <c r="I2346" s="12" t="s">
        <v>87</v>
      </c>
    </row>
    <row r="2347" spans="1:9">
      <c r="A2347" s="14">
        <v>12079</v>
      </c>
      <c r="B2347" s="14" t="s">
        <v>507</v>
      </c>
      <c r="C2347" s="12" t="s">
        <v>250</v>
      </c>
      <c r="D2347" s="15" t="str">
        <f t="shared" si="36"/>
        <v>GEHC-IT Product Support - LED</v>
      </c>
      <c r="E2347" s="12" t="s">
        <v>117</v>
      </c>
      <c r="F2347" s="12" t="s">
        <v>117</v>
      </c>
      <c r="G2347" s="12" t="s">
        <v>117</v>
      </c>
      <c r="H2347" s="12" t="s">
        <v>1025</v>
      </c>
      <c r="I2347" s="12" t="s">
        <v>87</v>
      </c>
    </row>
    <row r="2348" spans="1:9">
      <c r="A2348" s="14">
        <v>12079</v>
      </c>
      <c r="B2348" s="14" t="s">
        <v>507</v>
      </c>
      <c r="C2348" s="12" t="s">
        <v>129</v>
      </c>
      <c r="D2348" s="15" t="str">
        <f t="shared" si="36"/>
        <v>GEHC-IT Product Support - MGT</v>
      </c>
      <c r="E2348" s="12" t="s">
        <v>117</v>
      </c>
      <c r="F2348" s="12" t="s">
        <v>117</v>
      </c>
      <c r="G2348" s="12" t="s">
        <v>117</v>
      </c>
      <c r="H2348" s="12" t="s">
        <v>1025</v>
      </c>
      <c r="I2348" s="12" t="s">
        <v>87</v>
      </c>
    </row>
    <row r="2349" spans="1:9">
      <c r="A2349" s="14">
        <v>12079</v>
      </c>
      <c r="B2349" s="14" t="s">
        <v>507</v>
      </c>
      <c r="C2349" s="12" t="s">
        <v>547</v>
      </c>
      <c r="D2349" s="15" t="str">
        <f t="shared" si="36"/>
        <v>GEHC-IT Product Support - PHR</v>
      </c>
      <c r="E2349" s="12" t="s">
        <v>117</v>
      </c>
      <c r="F2349" s="12" t="s">
        <v>117</v>
      </c>
      <c r="G2349" s="12" t="s">
        <v>117</v>
      </c>
      <c r="H2349" s="12" t="s">
        <v>1025</v>
      </c>
      <c r="I2349" s="12" t="s">
        <v>87</v>
      </c>
    </row>
    <row r="2350" spans="1:9">
      <c r="A2350" s="14">
        <v>12079</v>
      </c>
      <c r="B2350" s="14" t="s">
        <v>507</v>
      </c>
      <c r="C2350" s="12" t="s">
        <v>116</v>
      </c>
      <c r="D2350" s="15" t="str">
        <f t="shared" si="36"/>
        <v>GEHC-IT Product Support - PRD</v>
      </c>
      <c r="E2350" s="12" t="s">
        <v>117</v>
      </c>
      <c r="F2350" s="12" t="s">
        <v>117</v>
      </c>
      <c r="G2350" s="12" t="s">
        <v>117</v>
      </c>
      <c r="H2350" s="12" t="s">
        <v>1025</v>
      </c>
      <c r="I2350" s="12" t="s">
        <v>87</v>
      </c>
    </row>
    <row r="2351" spans="1:9">
      <c r="A2351" s="14">
        <v>12079</v>
      </c>
      <c r="B2351" s="14" t="s">
        <v>507</v>
      </c>
      <c r="C2351" s="12" t="s">
        <v>172</v>
      </c>
      <c r="D2351" s="15" t="str">
        <f t="shared" si="36"/>
        <v>GEHC-IT Product Support - SME</v>
      </c>
      <c r="E2351" s="12" t="s">
        <v>117</v>
      </c>
      <c r="F2351" s="12" t="s">
        <v>117</v>
      </c>
      <c r="G2351" s="12" t="s">
        <v>117</v>
      </c>
      <c r="H2351" s="12" t="s">
        <v>1025</v>
      </c>
      <c r="I2351" s="12" t="s">
        <v>87</v>
      </c>
    </row>
    <row r="2352" spans="1:9">
      <c r="A2352" s="14">
        <v>12079</v>
      </c>
      <c r="B2352" s="14" t="s">
        <v>507</v>
      </c>
      <c r="C2352" s="12" t="s">
        <v>145</v>
      </c>
      <c r="D2352" s="15" t="str">
        <f t="shared" si="36"/>
        <v>GEHC-IT Product Support - SUP</v>
      </c>
      <c r="E2352" s="12" t="s">
        <v>117</v>
      </c>
      <c r="F2352" s="12" t="s">
        <v>117</v>
      </c>
      <c r="G2352" s="12" t="s">
        <v>117</v>
      </c>
      <c r="H2352" s="12" t="s">
        <v>1025</v>
      </c>
      <c r="I2352" s="12" t="s">
        <v>87</v>
      </c>
    </row>
    <row r="2353" spans="1:9">
      <c r="A2353" s="14">
        <v>96742</v>
      </c>
      <c r="B2353" s="14" t="s">
        <v>549</v>
      </c>
      <c r="C2353" s="12" t="s">
        <v>129</v>
      </c>
      <c r="D2353" s="15" t="str">
        <f t="shared" si="36"/>
        <v>Geo Business Finance - MGT</v>
      </c>
      <c r="E2353" s="12" t="s">
        <v>118</v>
      </c>
      <c r="F2353" s="12" t="s">
        <v>122</v>
      </c>
      <c r="G2353" s="12" t="s">
        <v>114</v>
      </c>
      <c r="H2353" s="12" t="s">
        <v>1025</v>
      </c>
      <c r="I2353" s="12" t="s">
        <v>87</v>
      </c>
    </row>
    <row r="2354" spans="1:9">
      <c r="A2354" s="14">
        <v>96742</v>
      </c>
      <c r="B2354" s="14" t="s">
        <v>549</v>
      </c>
      <c r="C2354" s="12" t="s">
        <v>139</v>
      </c>
      <c r="D2354" s="15" t="str">
        <f t="shared" si="36"/>
        <v>Geo Business Finance - SMGT</v>
      </c>
      <c r="E2354" s="12" t="s">
        <v>118</v>
      </c>
      <c r="F2354" s="12" t="s">
        <v>122</v>
      </c>
      <c r="G2354" s="12" t="s">
        <v>114</v>
      </c>
      <c r="H2354" s="12" t="s">
        <v>1025</v>
      </c>
      <c r="I2354" s="12" t="s">
        <v>87</v>
      </c>
    </row>
    <row r="2355" spans="1:9">
      <c r="A2355" s="14">
        <v>96742</v>
      </c>
      <c r="B2355" s="14" t="s">
        <v>549</v>
      </c>
      <c r="C2355" s="12" t="s">
        <v>145</v>
      </c>
      <c r="D2355" s="15" t="str">
        <f t="shared" si="36"/>
        <v>Geo Business Finance - SUP</v>
      </c>
      <c r="E2355" s="12" t="s">
        <v>118</v>
      </c>
      <c r="F2355" s="12" t="s">
        <v>122</v>
      </c>
      <c r="G2355" s="12" t="s">
        <v>114</v>
      </c>
      <c r="H2355" s="12" t="s">
        <v>1025</v>
      </c>
      <c r="I2355" s="12" t="s">
        <v>87</v>
      </c>
    </row>
    <row r="2356" spans="1:9">
      <c r="A2356" s="14">
        <v>96207</v>
      </c>
      <c r="B2356" s="14" t="s">
        <v>553</v>
      </c>
      <c r="C2356" s="12" t="s">
        <v>121</v>
      </c>
      <c r="D2356" s="15" t="str">
        <f t="shared" si="36"/>
        <v>GFSS-Attendance _ Payroll Supp - F&amp;A</v>
      </c>
      <c r="E2356" s="12" t="s">
        <v>118</v>
      </c>
      <c r="F2356" s="12" t="s">
        <v>554</v>
      </c>
      <c r="G2356" s="12" t="s">
        <v>114</v>
      </c>
      <c r="H2356" s="12" t="s">
        <v>1025</v>
      </c>
      <c r="I2356" s="12" t="s">
        <v>87</v>
      </c>
    </row>
    <row r="2357" spans="1:9">
      <c r="A2357" s="14">
        <v>96207</v>
      </c>
      <c r="B2357" s="14" t="s">
        <v>553</v>
      </c>
      <c r="C2357" s="12" t="s">
        <v>556</v>
      </c>
      <c r="D2357" s="15" t="str">
        <f t="shared" si="36"/>
        <v>GFSS-Attendance _ Payroll Supp - HRD</v>
      </c>
      <c r="E2357" s="12" t="s">
        <v>118</v>
      </c>
      <c r="F2357" s="12" t="s">
        <v>554</v>
      </c>
      <c r="G2357" s="12" t="s">
        <v>114</v>
      </c>
      <c r="H2357" s="12" t="s">
        <v>1025</v>
      </c>
      <c r="I2357" s="12" t="s">
        <v>87</v>
      </c>
    </row>
    <row r="2358" spans="1:9">
      <c r="A2358" s="14">
        <v>96207</v>
      </c>
      <c r="B2358" s="14" t="s">
        <v>553</v>
      </c>
      <c r="C2358" s="12" t="s">
        <v>145</v>
      </c>
      <c r="D2358" s="15" t="str">
        <f t="shared" si="36"/>
        <v>GFSS-Attendance _ Payroll Supp - SUP</v>
      </c>
      <c r="E2358" s="12" t="s">
        <v>118</v>
      </c>
      <c r="F2358" s="12" t="s">
        <v>554</v>
      </c>
      <c r="G2358" s="12" t="s">
        <v>114</v>
      </c>
      <c r="H2358" s="12" t="s">
        <v>1025</v>
      </c>
      <c r="I2358" s="12" t="s">
        <v>87</v>
      </c>
    </row>
    <row r="2359" spans="1:9">
      <c r="A2359" s="14">
        <v>96725</v>
      </c>
      <c r="B2359" s="14" t="s">
        <v>558</v>
      </c>
      <c r="C2359" s="12" t="s">
        <v>121</v>
      </c>
      <c r="D2359" s="15" t="str">
        <f t="shared" si="36"/>
        <v>Global Business Controller's - F&amp;A</v>
      </c>
      <c r="E2359" s="12" t="s">
        <v>118</v>
      </c>
      <c r="F2359" s="12" t="s">
        <v>122</v>
      </c>
      <c r="G2359" s="12" t="s">
        <v>114</v>
      </c>
      <c r="H2359" s="12" t="s">
        <v>1025</v>
      </c>
      <c r="I2359" s="12" t="s">
        <v>87</v>
      </c>
    </row>
    <row r="2360" spans="1:9">
      <c r="A2360" s="14">
        <v>96725</v>
      </c>
      <c r="B2360" s="14" t="s">
        <v>558</v>
      </c>
      <c r="C2360" s="12" t="s">
        <v>129</v>
      </c>
      <c r="D2360" s="15" t="str">
        <f t="shared" si="36"/>
        <v>Global Business Controller's - MGT</v>
      </c>
      <c r="E2360" s="12" t="s">
        <v>118</v>
      </c>
      <c r="F2360" s="12" t="s">
        <v>122</v>
      </c>
      <c r="G2360" s="12" t="s">
        <v>114</v>
      </c>
      <c r="H2360" s="12" t="s">
        <v>1025</v>
      </c>
      <c r="I2360" s="12" t="s">
        <v>87</v>
      </c>
    </row>
    <row r="2361" spans="1:9">
      <c r="A2361" s="14">
        <v>96725</v>
      </c>
      <c r="B2361" s="14" t="s">
        <v>558</v>
      </c>
      <c r="C2361" s="12" t="s">
        <v>139</v>
      </c>
      <c r="D2361" s="15" t="str">
        <f t="shared" si="36"/>
        <v>Global Business Controller's - SMGT</v>
      </c>
      <c r="E2361" s="12" t="s">
        <v>118</v>
      </c>
      <c r="F2361" s="12" t="s">
        <v>122</v>
      </c>
      <c r="G2361" s="12" t="s">
        <v>114</v>
      </c>
      <c r="H2361" s="12" t="s">
        <v>1025</v>
      </c>
      <c r="I2361" s="12" t="s">
        <v>87</v>
      </c>
    </row>
    <row r="2362" spans="1:9">
      <c r="A2362" s="14">
        <v>96725</v>
      </c>
      <c r="B2362" s="14" t="s">
        <v>558</v>
      </c>
      <c r="C2362" s="12" t="s">
        <v>145</v>
      </c>
      <c r="D2362" s="15" t="str">
        <f t="shared" si="36"/>
        <v>Global Business Controller's - SUP</v>
      </c>
      <c r="E2362" s="12" t="s">
        <v>118</v>
      </c>
      <c r="F2362" s="12" t="s">
        <v>122</v>
      </c>
      <c r="G2362" s="12" t="s">
        <v>114</v>
      </c>
      <c r="H2362" s="12" t="s">
        <v>1025</v>
      </c>
      <c r="I2362" s="12" t="s">
        <v>87</v>
      </c>
    </row>
    <row r="2363" spans="1:9">
      <c r="A2363" s="14">
        <v>96205</v>
      </c>
      <c r="B2363" s="14" t="s">
        <v>561</v>
      </c>
      <c r="C2363" s="12" t="s">
        <v>133</v>
      </c>
      <c r="D2363" s="15" t="str">
        <f t="shared" si="36"/>
        <v>Global Finance Shared Services - AMG</v>
      </c>
      <c r="E2363" s="12" t="s">
        <v>118</v>
      </c>
      <c r="F2363" s="12" t="s">
        <v>122</v>
      </c>
      <c r="G2363" s="12" t="s">
        <v>114</v>
      </c>
      <c r="H2363" s="12" t="s">
        <v>1025</v>
      </c>
      <c r="I2363" s="12" t="s">
        <v>87</v>
      </c>
    </row>
    <row r="2364" spans="1:9">
      <c r="A2364" s="14">
        <v>96205</v>
      </c>
      <c r="B2364" s="14" t="s">
        <v>561</v>
      </c>
      <c r="C2364" s="12" t="s">
        <v>150</v>
      </c>
      <c r="D2364" s="15" t="str">
        <f t="shared" si="36"/>
        <v>Global Finance Shared Services - CCS</v>
      </c>
      <c r="E2364" s="12" t="s">
        <v>118</v>
      </c>
      <c r="F2364" s="12" t="s">
        <v>122</v>
      </c>
      <c r="G2364" s="12" t="s">
        <v>114</v>
      </c>
      <c r="H2364" s="12" t="s">
        <v>1025</v>
      </c>
      <c r="I2364" s="12" t="s">
        <v>87</v>
      </c>
    </row>
    <row r="2365" spans="1:9">
      <c r="A2365" s="14">
        <v>96205</v>
      </c>
      <c r="B2365" s="14" t="s">
        <v>561</v>
      </c>
      <c r="C2365" s="12" t="s">
        <v>121</v>
      </c>
      <c r="D2365" s="15" t="str">
        <f t="shared" si="36"/>
        <v>Global Finance Shared Services - F&amp;A</v>
      </c>
      <c r="E2365" s="12" t="s">
        <v>118</v>
      </c>
      <c r="F2365" s="12" t="s">
        <v>122</v>
      </c>
      <c r="G2365" s="12" t="s">
        <v>114</v>
      </c>
      <c r="H2365" s="12" t="s">
        <v>1025</v>
      </c>
      <c r="I2365" s="12" t="s">
        <v>87</v>
      </c>
    </row>
    <row r="2366" spans="1:9">
      <c r="A2366" s="14">
        <v>96205</v>
      </c>
      <c r="B2366" s="14" t="s">
        <v>561</v>
      </c>
      <c r="C2366" s="12" t="s">
        <v>129</v>
      </c>
      <c r="D2366" s="15" t="str">
        <f t="shared" si="36"/>
        <v>Global Finance Shared Services - MGT</v>
      </c>
      <c r="E2366" s="12" t="s">
        <v>118</v>
      </c>
      <c r="F2366" s="12" t="s">
        <v>122</v>
      </c>
      <c r="G2366" s="12" t="s">
        <v>114</v>
      </c>
      <c r="H2366" s="12" t="s">
        <v>1025</v>
      </c>
      <c r="I2366" s="12" t="s">
        <v>87</v>
      </c>
    </row>
    <row r="2367" spans="1:9">
      <c r="A2367" s="14">
        <v>96205</v>
      </c>
      <c r="B2367" s="14" t="s">
        <v>561</v>
      </c>
      <c r="C2367" s="12" t="s">
        <v>139</v>
      </c>
      <c r="D2367" s="15" t="str">
        <f t="shared" si="36"/>
        <v>Global Finance Shared Services - SMGT</v>
      </c>
      <c r="E2367" s="12" t="s">
        <v>118</v>
      </c>
      <c r="F2367" s="12" t="s">
        <v>122</v>
      </c>
      <c r="G2367" s="12" t="s">
        <v>114</v>
      </c>
      <c r="H2367" s="12" t="s">
        <v>1025</v>
      </c>
      <c r="I2367" s="12" t="s">
        <v>87</v>
      </c>
    </row>
    <row r="2368" spans="1:9">
      <c r="A2368" s="14">
        <v>96205</v>
      </c>
      <c r="B2368" s="14" t="s">
        <v>561</v>
      </c>
      <c r="C2368" s="12" t="s">
        <v>145</v>
      </c>
      <c r="D2368" s="15" t="str">
        <f t="shared" si="36"/>
        <v>Global Finance Shared Services - SUP</v>
      </c>
      <c r="E2368" s="12" t="s">
        <v>118</v>
      </c>
      <c r="F2368" s="12" t="s">
        <v>122</v>
      </c>
      <c r="G2368" s="12" t="s">
        <v>114</v>
      </c>
      <c r="H2368" s="12" t="s">
        <v>1025</v>
      </c>
      <c r="I2368" s="12" t="s">
        <v>87</v>
      </c>
    </row>
    <row r="2369" spans="1:9">
      <c r="A2369" s="14">
        <v>96205</v>
      </c>
      <c r="B2369" s="14" t="s">
        <v>561</v>
      </c>
      <c r="C2369" s="12" t="s">
        <v>180</v>
      </c>
      <c r="D2369" s="15" t="str">
        <f t="shared" si="36"/>
        <v>Global Finance Shared Services - TMG</v>
      </c>
      <c r="E2369" s="12" t="s">
        <v>118</v>
      </c>
      <c r="F2369" s="12" t="s">
        <v>122</v>
      </c>
      <c r="G2369" s="12" t="s">
        <v>114</v>
      </c>
      <c r="H2369" s="12" t="s">
        <v>1025</v>
      </c>
      <c r="I2369" s="12" t="s">
        <v>87</v>
      </c>
    </row>
    <row r="2370" spans="1:9">
      <c r="A2370" s="14">
        <v>98001</v>
      </c>
      <c r="B2370" s="14" t="s">
        <v>567</v>
      </c>
      <c r="C2370" s="12" t="s">
        <v>352</v>
      </c>
      <c r="D2370" s="15" t="str">
        <f t="shared" ref="D2370:D2433" si="37">B2370&amp;" - "&amp;C2370</f>
        <v>Global Initiatives - EAT</v>
      </c>
      <c r="E2370" s="12" t="s">
        <v>118</v>
      </c>
      <c r="F2370" s="12" t="s">
        <v>405</v>
      </c>
      <c r="G2370" s="12" t="s">
        <v>114</v>
      </c>
      <c r="H2370" s="12" t="s">
        <v>1025</v>
      </c>
      <c r="I2370" s="12" t="s">
        <v>87</v>
      </c>
    </row>
    <row r="2371" spans="1:9">
      <c r="A2371" s="14">
        <v>98001</v>
      </c>
      <c r="B2371" s="14" t="s">
        <v>567</v>
      </c>
      <c r="C2371" s="12" t="s">
        <v>569</v>
      </c>
      <c r="D2371" s="15" t="str">
        <f t="shared" si="37"/>
        <v>Global Initiatives - GBS</v>
      </c>
      <c r="E2371" s="12" t="s">
        <v>118</v>
      </c>
      <c r="F2371" s="12" t="s">
        <v>405</v>
      </c>
      <c r="G2371" s="12" t="s">
        <v>114</v>
      </c>
      <c r="H2371" s="12" t="s">
        <v>1025</v>
      </c>
      <c r="I2371" s="12" t="s">
        <v>87</v>
      </c>
    </row>
    <row r="2372" spans="1:9">
      <c r="A2372" s="14">
        <v>98001</v>
      </c>
      <c r="B2372" s="14" t="s">
        <v>567</v>
      </c>
      <c r="C2372" s="12" t="s">
        <v>177</v>
      </c>
      <c r="D2372" s="15" t="str">
        <f t="shared" si="37"/>
        <v>Global Initiatives - OPS</v>
      </c>
      <c r="E2372" s="12" t="s">
        <v>118</v>
      </c>
      <c r="F2372" s="12" t="s">
        <v>405</v>
      </c>
      <c r="G2372" s="12" t="s">
        <v>114</v>
      </c>
      <c r="H2372" s="12" t="s">
        <v>1025</v>
      </c>
      <c r="I2372" s="12" t="s">
        <v>87</v>
      </c>
    </row>
    <row r="2373" spans="1:9">
      <c r="A2373" s="14">
        <v>98001</v>
      </c>
      <c r="B2373" s="14" t="s">
        <v>567</v>
      </c>
      <c r="C2373" s="12" t="s">
        <v>139</v>
      </c>
      <c r="D2373" s="15" t="str">
        <f t="shared" si="37"/>
        <v>Global Initiatives - SMGT</v>
      </c>
      <c r="E2373" s="12" t="s">
        <v>118</v>
      </c>
      <c r="F2373" s="12" t="s">
        <v>405</v>
      </c>
      <c r="G2373" s="12" t="s">
        <v>114</v>
      </c>
      <c r="H2373" s="12" t="s">
        <v>1025</v>
      </c>
      <c r="I2373" s="12" t="s">
        <v>87</v>
      </c>
    </row>
    <row r="2374" spans="1:9">
      <c r="A2374" s="14">
        <v>98001</v>
      </c>
      <c r="B2374" s="14" t="s">
        <v>567</v>
      </c>
      <c r="C2374" s="12" t="s">
        <v>145</v>
      </c>
      <c r="D2374" s="15" t="str">
        <f t="shared" si="37"/>
        <v>Global Initiatives - SUP</v>
      </c>
      <c r="E2374" s="12" t="s">
        <v>118</v>
      </c>
      <c r="F2374" s="12" t="s">
        <v>405</v>
      </c>
      <c r="G2374" s="12" t="s">
        <v>114</v>
      </c>
      <c r="H2374" s="12" t="s">
        <v>1025</v>
      </c>
      <c r="I2374" s="12" t="s">
        <v>87</v>
      </c>
    </row>
    <row r="2375" spans="1:9">
      <c r="A2375" s="14">
        <v>99000</v>
      </c>
      <c r="B2375" s="14" t="s">
        <v>573</v>
      </c>
      <c r="C2375" s="12" t="s">
        <v>352</v>
      </c>
      <c r="D2375" s="15" t="str">
        <f t="shared" si="37"/>
        <v>Global Office - EAT</v>
      </c>
      <c r="E2375" s="12" t="s">
        <v>118</v>
      </c>
      <c r="F2375" s="12" t="s">
        <v>349</v>
      </c>
      <c r="G2375" s="12" t="s">
        <v>350</v>
      </c>
      <c r="H2375" s="12" t="s">
        <v>1025</v>
      </c>
      <c r="I2375" s="12" t="s">
        <v>87</v>
      </c>
    </row>
    <row r="2376" spans="1:9">
      <c r="A2376" s="14">
        <v>99000</v>
      </c>
      <c r="B2376" s="14" t="s">
        <v>573</v>
      </c>
      <c r="C2376" s="12" t="s">
        <v>145</v>
      </c>
      <c r="D2376" s="15" t="str">
        <f t="shared" si="37"/>
        <v>Global Office - SUP</v>
      </c>
      <c r="E2376" s="12" t="s">
        <v>118</v>
      </c>
      <c r="F2376" s="12" t="s">
        <v>349</v>
      </c>
      <c r="G2376" s="12" t="s">
        <v>350</v>
      </c>
      <c r="H2376" s="12" t="s">
        <v>1025</v>
      </c>
      <c r="I2376" s="12" t="s">
        <v>87</v>
      </c>
    </row>
    <row r="2377" spans="1:9">
      <c r="A2377" s="14">
        <v>98003</v>
      </c>
      <c r="B2377" s="14" t="s">
        <v>574</v>
      </c>
      <c r="C2377" s="12" t="s">
        <v>348</v>
      </c>
      <c r="D2377" s="15" t="str">
        <f t="shared" si="37"/>
        <v>Global Procurement - ADM</v>
      </c>
      <c r="E2377" s="12" t="s">
        <v>118</v>
      </c>
      <c r="F2377" s="12" t="s">
        <v>575</v>
      </c>
      <c r="G2377" s="12" t="s">
        <v>114</v>
      </c>
      <c r="H2377" s="12" t="s">
        <v>1025</v>
      </c>
      <c r="I2377" s="12" t="s">
        <v>87</v>
      </c>
    </row>
    <row r="2378" spans="1:9">
      <c r="A2378" s="14">
        <v>98003</v>
      </c>
      <c r="B2378" s="14" t="s">
        <v>574</v>
      </c>
      <c r="C2378" s="12" t="s">
        <v>129</v>
      </c>
      <c r="D2378" s="15" t="str">
        <f t="shared" si="37"/>
        <v>Global Procurement - MGT</v>
      </c>
      <c r="E2378" s="12" t="s">
        <v>118</v>
      </c>
      <c r="F2378" s="12" t="s">
        <v>575</v>
      </c>
      <c r="G2378" s="12" t="s">
        <v>114</v>
      </c>
      <c r="H2378" s="12" t="s">
        <v>1025</v>
      </c>
      <c r="I2378" s="12" t="s">
        <v>87</v>
      </c>
    </row>
    <row r="2379" spans="1:9">
      <c r="A2379" s="14">
        <v>98003</v>
      </c>
      <c r="B2379" s="14" t="s">
        <v>574</v>
      </c>
      <c r="C2379" s="12" t="s">
        <v>578</v>
      </c>
      <c r="D2379" s="15" t="str">
        <f t="shared" si="37"/>
        <v>Global Procurement - PQM</v>
      </c>
      <c r="E2379" s="12" t="s">
        <v>118</v>
      </c>
      <c r="F2379" s="12" t="s">
        <v>575</v>
      </c>
      <c r="G2379" s="12" t="s">
        <v>114</v>
      </c>
      <c r="H2379" s="12" t="s">
        <v>1025</v>
      </c>
      <c r="I2379" s="12" t="s">
        <v>87</v>
      </c>
    </row>
    <row r="2380" spans="1:9">
      <c r="A2380" s="14">
        <v>98003</v>
      </c>
      <c r="B2380" s="14" t="s">
        <v>574</v>
      </c>
      <c r="C2380" s="12" t="s">
        <v>139</v>
      </c>
      <c r="D2380" s="15" t="str">
        <f t="shared" si="37"/>
        <v>Global Procurement - SMGT</v>
      </c>
      <c r="E2380" s="12" t="s">
        <v>118</v>
      </c>
      <c r="F2380" s="12" t="s">
        <v>575</v>
      </c>
      <c r="G2380" s="12" t="s">
        <v>114</v>
      </c>
      <c r="H2380" s="12" t="s">
        <v>1025</v>
      </c>
      <c r="I2380" s="12" t="s">
        <v>87</v>
      </c>
    </row>
    <row r="2381" spans="1:9">
      <c r="A2381" s="14">
        <v>98003</v>
      </c>
      <c r="B2381" s="14" t="s">
        <v>574</v>
      </c>
      <c r="C2381" s="12" t="s">
        <v>145</v>
      </c>
      <c r="D2381" s="15" t="str">
        <f t="shared" si="37"/>
        <v>Global Procurement - SUP</v>
      </c>
      <c r="E2381" s="12" t="s">
        <v>118</v>
      </c>
      <c r="F2381" s="12" t="s">
        <v>575</v>
      </c>
      <c r="G2381" s="12" t="s">
        <v>114</v>
      </c>
      <c r="H2381" s="12" t="s">
        <v>1025</v>
      </c>
      <c r="I2381" s="12" t="s">
        <v>87</v>
      </c>
    </row>
    <row r="2382" spans="1:9">
      <c r="A2382" s="14">
        <v>95101</v>
      </c>
      <c r="B2382" s="14" t="s">
        <v>582</v>
      </c>
      <c r="C2382" s="12" t="s">
        <v>415</v>
      </c>
      <c r="D2382" s="15" t="str">
        <f t="shared" si="37"/>
        <v>Global TCO - GTI</v>
      </c>
      <c r="E2382" s="12" t="s">
        <v>118</v>
      </c>
      <c r="F2382" s="12" t="s">
        <v>263</v>
      </c>
      <c r="G2382" s="12" t="s">
        <v>264</v>
      </c>
      <c r="H2382" s="12" t="s">
        <v>1025</v>
      </c>
      <c r="I2382" s="12" t="s">
        <v>87</v>
      </c>
    </row>
    <row r="2383" spans="1:9">
      <c r="A2383" s="14">
        <v>95101</v>
      </c>
      <c r="B2383" s="14" t="s">
        <v>582</v>
      </c>
      <c r="C2383" s="12" t="s">
        <v>584</v>
      </c>
      <c r="D2383" s="15" t="str">
        <f t="shared" si="37"/>
        <v>Global TCO - STE</v>
      </c>
      <c r="E2383" s="12" t="s">
        <v>118</v>
      </c>
      <c r="F2383" s="12" t="s">
        <v>263</v>
      </c>
      <c r="G2383" s="12" t="s">
        <v>264</v>
      </c>
      <c r="H2383" s="12" t="s">
        <v>1025</v>
      </c>
      <c r="I2383" s="12" t="s">
        <v>87</v>
      </c>
    </row>
    <row r="2384" spans="1:9">
      <c r="A2384" s="14">
        <v>95101</v>
      </c>
      <c r="B2384" s="14" t="s">
        <v>582</v>
      </c>
      <c r="C2384" s="12" t="s">
        <v>145</v>
      </c>
      <c r="D2384" s="15" t="str">
        <f t="shared" si="37"/>
        <v>Global TCO - SUP</v>
      </c>
      <c r="E2384" s="12" t="s">
        <v>118</v>
      </c>
      <c r="F2384" s="12" t="s">
        <v>263</v>
      </c>
      <c r="G2384" s="12" t="s">
        <v>264</v>
      </c>
      <c r="H2384" s="12" t="s">
        <v>1025</v>
      </c>
      <c r="I2384" s="12" t="s">
        <v>87</v>
      </c>
    </row>
    <row r="2385" spans="1:9">
      <c r="A2385" s="14">
        <v>12083</v>
      </c>
      <c r="B2385" s="14" t="s">
        <v>508</v>
      </c>
      <c r="C2385" s="12" t="s">
        <v>185</v>
      </c>
      <c r="D2385" s="15" t="str">
        <f t="shared" si="37"/>
        <v>Grady - Anesthesia - TPS</v>
      </c>
      <c r="E2385" s="12" t="s">
        <v>159</v>
      </c>
      <c r="F2385" s="12" t="s">
        <v>237</v>
      </c>
      <c r="G2385" s="12" t="s">
        <v>238</v>
      </c>
      <c r="H2385" s="12" t="s">
        <v>1025</v>
      </c>
      <c r="I2385" s="12" t="s">
        <v>87</v>
      </c>
    </row>
    <row r="2386" spans="1:9">
      <c r="A2386" s="14">
        <v>12508</v>
      </c>
      <c r="B2386" s="14" t="s">
        <v>571</v>
      </c>
      <c r="C2386" s="12" t="s">
        <v>116</v>
      </c>
      <c r="D2386" s="15" t="str">
        <f t="shared" si="37"/>
        <v>Grady Health - EPIC RCM - PRD</v>
      </c>
      <c r="E2386" s="12" t="s">
        <v>154</v>
      </c>
      <c r="F2386" s="12" t="s">
        <v>163</v>
      </c>
      <c r="G2386" s="12" t="s">
        <v>164</v>
      </c>
      <c r="H2386" s="12" t="s">
        <v>1025</v>
      </c>
      <c r="I2386" s="12" t="s">
        <v>87</v>
      </c>
    </row>
    <row r="2387" spans="1:9">
      <c r="A2387" s="14">
        <v>95100</v>
      </c>
      <c r="B2387" s="14" t="s">
        <v>415</v>
      </c>
      <c r="C2387" s="12" t="s">
        <v>145</v>
      </c>
      <c r="D2387" s="15" t="str">
        <f t="shared" si="37"/>
        <v>GTI - SUP</v>
      </c>
      <c r="E2387" s="12" t="s">
        <v>118</v>
      </c>
      <c r="F2387" s="12" t="s">
        <v>263</v>
      </c>
      <c r="G2387" s="12" t="s">
        <v>264</v>
      </c>
      <c r="H2387" s="12" t="s">
        <v>1025</v>
      </c>
      <c r="I2387" s="12" t="s">
        <v>87</v>
      </c>
    </row>
    <row r="2388" spans="1:9">
      <c r="A2388" s="14">
        <v>12528</v>
      </c>
      <c r="B2388" s="14" t="s">
        <v>579</v>
      </c>
      <c r="C2388" s="12" t="s">
        <v>185</v>
      </c>
      <c r="D2388" s="15" t="str">
        <f t="shared" si="37"/>
        <v>Guam - ED and EM OP Coding - TPS</v>
      </c>
      <c r="E2388" s="12" t="s">
        <v>159</v>
      </c>
      <c r="F2388" s="12" t="s">
        <v>237</v>
      </c>
      <c r="G2388" s="12" t="s">
        <v>238</v>
      </c>
      <c r="H2388" s="12" t="s">
        <v>1025</v>
      </c>
      <c r="I2388" s="12" t="s">
        <v>87</v>
      </c>
    </row>
    <row r="2389" spans="1:9">
      <c r="A2389" s="14">
        <v>12506</v>
      </c>
      <c r="B2389" s="14" t="s">
        <v>570</v>
      </c>
      <c r="C2389" s="12" t="s">
        <v>177</v>
      </c>
      <c r="D2389" s="15" t="str">
        <f t="shared" si="37"/>
        <v>Hazel Health - RCM FBO (New) - OPS</v>
      </c>
      <c r="E2389" s="12" t="s">
        <v>154</v>
      </c>
      <c r="F2389" s="12" t="s">
        <v>163</v>
      </c>
      <c r="G2389" s="12" t="s">
        <v>164</v>
      </c>
      <c r="H2389" s="12" t="s">
        <v>1025</v>
      </c>
      <c r="I2389" s="12" t="s">
        <v>87</v>
      </c>
    </row>
    <row r="2390" spans="1:9">
      <c r="A2390" s="14">
        <v>12506</v>
      </c>
      <c r="B2390" s="14" t="s">
        <v>570</v>
      </c>
      <c r="C2390" s="12" t="s">
        <v>116</v>
      </c>
      <c r="D2390" s="15" t="str">
        <f t="shared" si="37"/>
        <v>Hazel Health - RCM FBO (New) - PRD</v>
      </c>
      <c r="E2390" s="12" t="s">
        <v>154</v>
      </c>
      <c r="F2390" s="12" t="s">
        <v>163</v>
      </c>
      <c r="G2390" s="12" t="s">
        <v>164</v>
      </c>
      <c r="H2390" s="12" t="s">
        <v>1025</v>
      </c>
      <c r="I2390" s="12" t="s">
        <v>87</v>
      </c>
    </row>
    <row r="2391" spans="1:9">
      <c r="A2391" s="14">
        <v>12506</v>
      </c>
      <c r="B2391" s="14" t="s">
        <v>570</v>
      </c>
      <c r="C2391" s="12" t="s">
        <v>332</v>
      </c>
      <c r="D2391" s="15" t="str">
        <f t="shared" si="37"/>
        <v>Hazel Health - RCM FBO (New) - RCF</v>
      </c>
      <c r="E2391" s="12" t="s">
        <v>154</v>
      </c>
      <c r="F2391" s="12" t="s">
        <v>163</v>
      </c>
      <c r="G2391" s="12" t="s">
        <v>164</v>
      </c>
      <c r="H2391" s="12" t="s">
        <v>1025</v>
      </c>
      <c r="I2391" s="12" t="s">
        <v>87</v>
      </c>
    </row>
    <row r="2392" spans="1:9">
      <c r="A2392" s="14">
        <v>12506</v>
      </c>
      <c r="B2392" s="14" t="s">
        <v>570</v>
      </c>
      <c r="C2392" s="12" t="s">
        <v>180</v>
      </c>
      <c r="D2392" s="15" t="str">
        <f t="shared" si="37"/>
        <v>Hazel Health - RCM FBO (New) - TMG</v>
      </c>
      <c r="E2392" s="12" t="s">
        <v>154</v>
      </c>
      <c r="F2392" s="12" t="s">
        <v>163</v>
      </c>
      <c r="G2392" s="12" t="s">
        <v>164</v>
      </c>
      <c r="H2392" s="12" t="s">
        <v>1025</v>
      </c>
      <c r="I2392" s="12" t="s">
        <v>87</v>
      </c>
    </row>
    <row r="2393" spans="1:9">
      <c r="A2393" s="14">
        <v>12506</v>
      </c>
      <c r="B2393" s="14" t="s">
        <v>570</v>
      </c>
      <c r="C2393" s="12" t="s">
        <v>185</v>
      </c>
      <c r="D2393" s="15" t="str">
        <f t="shared" si="37"/>
        <v>Hazel Health - RCM FBO (New) - TPS</v>
      </c>
      <c r="E2393" s="12" t="s">
        <v>154</v>
      </c>
      <c r="F2393" s="12" t="s">
        <v>163</v>
      </c>
      <c r="G2393" s="12" t="s">
        <v>164</v>
      </c>
      <c r="H2393" s="12" t="s">
        <v>1025</v>
      </c>
      <c r="I2393" s="12" t="s">
        <v>87</v>
      </c>
    </row>
    <row r="2394" spans="1:9">
      <c r="A2394" s="14">
        <v>86231</v>
      </c>
      <c r="B2394" s="14" t="s">
        <v>591</v>
      </c>
      <c r="C2394" s="12" t="s">
        <v>116</v>
      </c>
      <c r="D2394" s="15" t="str">
        <f t="shared" si="37"/>
        <v>HDE – Coding - PRD</v>
      </c>
      <c r="E2394" s="12" t="s">
        <v>117</v>
      </c>
      <c r="F2394" s="12" t="s">
        <v>117</v>
      </c>
      <c r="G2394" s="12" t="s">
        <v>117</v>
      </c>
      <c r="H2394" s="12" t="s">
        <v>1025</v>
      </c>
      <c r="I2394" s="12" t="s">
        <v>87</v>
      </c>
    </row>
    <row r="2395" spans="1:9">
      <c r="A2395" s="14">
        <v>86231</v>
      </c>
      <c r="B2395" s="14" t="s">
        <v>591</v>
      </c>
      <c r="C2395" s="12" t="s">
        <v>145</v>
      </c>
      <c r="D2395" s="15" t="str">
        <f t="shared" si="37"/>
        <v>HDE – Coding - SUP</v>
      </c>
      <c r="E2395" s="12" t="s">
        <v>117</v>
      </c>
      <c r="F2395" s="12" t="s">
        <v>117</v>
      </c>
      <c r="G2395" s="12" t="s">
        <v>117</v>
      </c>
      <c r="H2395" s="12" t="s">
        <v>1025</v>
      </c>
      <c r="I2395" s="12" t="s">
        <v>87</v>
      </c>
    </row>
    <row r="2396" spans="1:9">
      <c r="A2396" s="14">
        <v>86231</v>
      </c>
      <c r="B2396" s="14" t="s">
        <v>591</v>
      </c>
      <c r="C2396" s="12" t="s">
        <v>180</v>
      </c>
      <c r="D2396" s="15" t="str">
        <f t="shared" si="37"/>
        <v>HDE – Coding - TMG</v>
      </c>
      <c r="E2396" s="12" t="s">
        <v>117</v>
      </c>
      <c r="F2396" s="12" t="s">
        <v>117</v>
      </c>
      <c r="G2396" s="12" t="s">
        <v>117</v>
      </c>
      <c r="H2396" s="12" t="s">
        <v>1025</v>
      </c>
      <c r="I2396" s="12" t="s">
        <v>87</v>
      </c>
    </row>
    <row r="2397" spans="1:9">
      <c r="A2397" s="14">
        <v>86229</v>
      </c>
      <c r="B2397" s="14" t="s">
        <v>593</v>
      </c>
      <c r="C2397" s="12" t="s">
        <v>116</v>
      </c>
      <c r="D2397" s="15" t="str">
        <f t="shared" si="37"/>
        <v>HDE – Hospital - PRD</v>
      </c>
      <c r="E2397" s="12" t="s">
        <v>117</v>
      </c>
      <c r="F2397" s="12" t="s">
        <v>117</v>
      </c>
      <c r="G2397" s="12" t="s">
        <v>117</v>
      </c>
      <c r="H2397" s="12" t="s">
        <v>1025</v>
      </c>
      <c r="I2397" s="12" t="s">
        <v>87</v>
      </c>
    </row>
    <row r="2398" spans="1:9">
      <c r="A2398" s="14">
        <v>86229</v>
      </c>
      <c r="B2398" s="14" t="s">
        <v>593</v>
      </c>
      <c r="C2398" s="12" t="s">
        <v>145</v>
      </c>
      <c r="D2398" s="15" t="str">
        <f t="shared" si="37"/>
        <v>HDE – Hospital - SUP</v>
      </c>
      <c r="E2398" s="12" t="s">
        <v>117</v>
      </c>
      <c r="F2398" s="12" t="s">
        <v>117</v>
      </c>
      <c r="G2398" s="12" t="s">
        <v>117</v>
      </c>
      <c r="H2398" s="12" t="s">
        <v>1025</v>
      </c>
      <c r="I2398" s="12" t="s">
        <v>87</v>
      </c>
    </row>
    <row r="2399" spans="1:9">
      <c r="A2399" s="14">
        <v>86234</v>
      </c>
      <c r="B2399" s="14" t="s">
        <v>594</v>
      </c>
      <c r="C2399" s="12" t="s">
        <v>116</v>
      </c>
      <c r="D2399" s="15" t="str">
        <f t="shared" si="37"/>
        <v>HDE – Payer BLM - PRD</v>
      </c>
      <c r="E2399" s="12" t="s">
        <v>117</v>
      </c>
      <c r="F2399" s="12" t="s">
        <v>117</v>
      </c>
      <c r="G2399" s="12" t="s">
        <v>117</v>
      </c>
      <c r="H2399" s="12" t="s">
        <v>1025</v>
      </c>
      <c r="I2399" s="12" t="s">
        <v>87</v>
      </c>
    </row>
    <row r="2400" spans="1:9">
      <c r="A2400" s="14">
        <v>86234</v>
      </c>
      <c r="B2400" s="14" t="s">
        <v>594</v>
      </c>
      <c r="C2400" s="12" t="s">
        <v>145</v>
      </c>
      <c r="D2400" s="15" t="str">
        <f t="shared" si="37"/>
        <v>HDE – Payer BLM - SUP</v>
      </c>
      <c r="E2400" s="12" t="s">
        <v>117</v>
      </c>
      <c r="F2400" s="12" t="s">
        <v>117</v>
      </c>
      <c r="G2400" s="12" t="s">
        <v>117</v>
      </c>
      <c r="H2400" s="12" t="s">
        <v>1025</v>
      </c>
      <c r="I2400" s="12" t="s">
        <v>87</v>
      </c>
    </row>
    <row r="2401" spans="1:9">
      <c r="A2401" s="14">
        <v>86230</v>
      </c>
      <c r="B2401" s="14" t="s">
        <v>596</v>
      </c>
      <c r="C2401" s="12" t="s">
        <v>597</v>
      </c>
      <c r="D2401" s="15" t="str">
        <f t="shared" si="37"/>
        <v>HDE – RCMS - BAS</v>
      </c>
      <c r="E2401" s="12" t="s">
        <v>117</v>
      </c>
      <c r="F2401" s="12" t="s">
        <v>117</v>
      </c>
      <c r="G2401" s="12" t="s">
        <v>117</v>
      </c>
      <c r="H2401" s="12" t="s">
        <v>1025</v>
      </c>
      <c r="I2401" s="12" t="s">
        <v>87</v>
      </c>
    </row>
    <row r="2402" spans="1:9">
      <c r="A2402" s="14">
        <v>86230</v>
      </c>
      <c r="B2402" s="14" t="s">
        <v>596</v>
      </c>
      <c r="C2402" s="12" t="s">
        <v>129</v>
      </c>
      <c r="D2402" s="15" t="str">
        <f t="shared" si="37"/>
        <v>HDE – RCMS - MGT</v>
      </c>
      <c r="E2402" s="12" t="s">
        <v>117</v>
      </c>
      <c r="F2402" s="12" t="s">
        <v>117</v>
      </c>
      <c r="G2402" s="12" t="s">
        <v>117</v>
      </c>
      <c r="H2402" s="12" t="s">
        <v>1025</v>
      </c>
      <c r="I2402" s="12" t="s">
        <v>87</v>
      </c>
    </row>
    <row r="2403" spans="1:9">
      <c r="A2403" s="14">
        <v>86230</v>
      </c>
      <c r="B2403" s="14" t="s">
        <v>596</v>
      </c>
      <c r="C2403" s="12" t="s">
        <v>116</v>
      </c>
      <c r="D2403" s="15" t="str">
        <f t="shared" si="37"/>
        <v>HDE – RCMS - PRD</v>
      </c>
      <c r="E2403" s="12" t="s">
        <v>117</v>
      </c>
      <c r="F2403" s="12" t="s">
        <v>117</v>
      </c>
      <c r="G2403" s="12" t="s">
        <v>117</v>
      </c>
      <c r="H2403" s="12" t="s">
        <v>1025</v>
      </c>
      <c r="I2403" s="12" t="s">
        <v>87</v>
      </c>
    </row>
    <row r="2404" spans="1:9">
      <c r="A2404" s="14">
        <v>86230</v>
      </c>
      <c r="B2404" s="14" t="s">
        <v>596</v>
      </c>
      <c r="C2404" s="12" t="s">
        <v>145</v>
      </c>
      <c r="D2404" s="15" t="str">
        <f t="shared" si="37"/>
        <v>HDE – RCMS - SUP</v>
      </c>
      <c r="E2404" s="12" t="s">
        <v>117</v>
      </c>
      <c r="F2404" s="12" t="s">
        <v>117</v>
      </c>
      <c r="G2404" s="12" t="s">
        <v>117</v>
      </c>
      <c r="H2404" s="12" t="s">
        <v>1025</v>
      </c>
      <c r="I2404" s="12" t="s">
        <v>87</v>
      </c>
    </row>
    <row r="2405" spans="1:9">
      <c r="A2405" s="14">
        <v>86230</v>
      </c>
      <c r="B2405" s="14" t="s">
        <v>596</v>
      </c>
      <c r="C2405" s="12" t="s">
        <v>180</v>
      </c>
      <c r="D2405" s="15" t="str">
        <f t="shared" si="37"/>
        <v>HDE – RCMS - TMG</v>
      </c>
      <c r="E2405" s="12" t="s">
        <v>117</v>
      </c>
      <c r="F2405" s="12" t="s">
        <v>117</v>
      </c>
      <c r="G2405" s="12" t="s">
        <v>117</v>
      </c>
      <c r="H2405" s="12" t="s">
        <v>1025</v>
      </c>
      <c r="I2405" s="12" t="s">
        <v>87</v>
      </c>
    </row>
    <row r="2406" spans="1:9">
      <c r="A2406" s="14">
        <v>86230</v>
      </c>
      <c r="B2406" s="14" t="s">
        <v>596</v>
      </c>
      <c r="C2406" s="12" t="s">
        <v>185</v>
      </c>
      <c r="D2406" s="15" t="str">
        <f t="shared" si="37"/>
        <v>HDE – RCMS - TPS</v>
      </c>
      <c r="E2406" s="12" t="s">
        <v>117</v>
      </c>
      <c r="F2406" s="12" t="s">
        <v>117</v>
      </c>
      <c r="G2406" s="12" t="s">
        <v>117</v>
      </c>
      <c r="H2406" s="12" t="s">
        <v>1025</v>
      </c>
      <c r="I2406" s="12" t="s">
        <v>87</v>
      </c>
    </row>
    <row r="2407" spans="1:9">
      <c r="A2407" s="14">
        <v>12509</v>
      </c>
      <c r="B2407" s="14" t="s">
        <v>572</v>
      </c>
      <c r="C2407" s="12" t="s">
        <v>185</v>
      </c>
      <c r="D2407" s="15" t="str">
        <f t="shared" si="37"/>
        <v>Health Partners - Credentialin - TPS</v>
      </c>
      <c r="E2407" s="12" t="s">
        <v>154</v>
      </c>
      <c r="F2407" s="12" t="s">
        <v>163</v>
      </c>
      <c r="G2407" s="12" t="s">
        <v>164</v>
      </c>
      <c r="H2407" s="12" t="s">
        <v>1025</v>
      </c>
      <c r="I2407" s="12" t="s">
        <v>87</v>
      </c>
    </row>
    <row r="2408" spans="1:9">
      <c r="A2408" s="14">
        <v>12449</v>
      </c>
      <c r="B2408" s="14" t="s">
        <v>555</v>
      </c>
      <c r="C2408" s="12" t="s">
        <v>185</v>
      </c>
      <c r="D2408" s="15" t="str">
        <f t="shared" si="37"/>
        <v>Healthfirst - Claims Audit - TPS</v>
      </c>
      <c r="E2408" s="12" t="s">
        <v>141</v>
      </c>
      <c r="F2408" s="12" t="s">
        <v>163</v>
      </c>
      <c r="G2408" s="12" t="s">
        <v>164</v>
      </c>
      <c r="H2408" s="12" t="s">
        <v>1025</v>
      </c>
      <c r="I2408" s="12" t="s">
        <v>87</v>
      </c>
    </row>
    <row r="2409" spans="1:9">
      <c r="A2409" s="14">
        <v>12388</v>
      </c>
      <c r="B2409" s="14" t="s">
        <v>538</v>
      </c>
      <c r="C2409" s="12" t="s">
        <v>116</v>
      </c>
      <c r="D2409" s="15" t="str">
        <f t="shared" si="37"/>
        <v>HealthFirst - Claims_Onshore - PRD</v>
      </c>
      <c r="E2409" s="12" t="s">
        <v>141</v>
      </c>
      <c r="F2409" s="12" t="s">
        <v>163</v>
      </c>
      <c r="G2409" s="12" t="s">
        <v>164</v>
      </c>
      <c r="H2409" s="12" t="s">
        <v>1025</v>
      </c>
      <c r="I2409" s="12" t="s">
        <v>87</v>
      </c>
    </row>
    <row r="2410" spans="1:9">
      <c r="A2410" s="14">
        <v>12388</v>
      </c>
      <c r="B2410" s="14" t="s">
        <v>538</v>
      </c>
      <c r="C2410" s="12" t="s">
        <v>145</v>
      </c>
      <c r="D2410" s="15" t="str">
        <f t="shared" si="37"/>
        <v>HealthFirst - Claims_Onshore - SUP</v>
      </c>
      <c r="E2410" s="12" t="s">
        <v>141</v>
      </c>
      <c r="F2410" s="12" t="s">
        <v>163</v>
      </c>
      <c r="G2410" s="12" t="s">
        <v>164</v>
      </c>
      <c r="H2410" s="12" t="s">
        <v>1025</v>
      </c>
      <c r="I2410" s="12" t="s">
        <v>87</v>
      </c>
    </row>
    <row r="2411" spans="1:9">
      <c r="A2411" s="14">
        <v>12382</v>
      </c>
      <c r="B2411" s="14" t="s">
        <v>537</v>
      </c>
      <c r="C2411" s="12" t="s">
        <v>116</v>
      </c>
      <c r="D2411" s="15" t="str">
        <f t="shared" si="37"/>
        <v>Healthfirst - E&amp;B Offshore - PRD</v>
      </c>
      <c r="E2411" s="12" t="s">
        <v>141</v>
      </c>
      <c r="F2411" s="12" t="s">
        <v>163</v>
      </c>
      <c r="G2411" s="12" t="s">
        <v>164</v>
      </c>
      <c r="H2411" s="12" t="s">
        <v>1025</v>
      </c>
      <c r="I2411" s="12" t="s">
        <v>87</v>
      </c>
    </row>
    <row r="2412" spans="1:9">
      <c r="A2412" s="14">
        <v>12382</v>
      </c>
      <c r="B2412" s="14" t="s">
        <v>537</v>
      </c>
      <c r="C2412" s="12" t="s">
        <v>230</v>
      </c>
      <c r="D2412" s="15" t="str">
        <f t="shared" si="37"/>
        <v>Healthfirst - E&amp;B Offshore - PRSP</v>
      </c>
      <c r="E2412" s="12" t="s">
        <v>141</v>
      </c>
      <c r="F2412" s="12" t="s">
        <v>163</v>
      </c>
      <c r="G2412" s="12" t="s">
        <v>164</v>
      </c>
      <c r="H2412" s="12" t="s">
        <v>1025</v>
      </c>
      <c r="I2412" s="12" t="s">
        <v>87</v>
      </c>
    </row>
    <row r="2413" spans="1:9">
      <c r="A2413" s="14">
        <v>12382</v>
      </c>
      <c r="B2413" s="14" t="s">
        <v>537</v>
      </c>
      <c r="C2413" s="12" t="s">
        <v>111</v>
      </c>
      <c r="D2413" s="15" t="str">
        <f t="shared" si="37"/>
        <v>Healthfirst - E&amp;B Offshore - QLY</v>
      </c>
      <c r="E2413" s="12" t="s">
        <v>118</v>
      </c>
      <c r="F2413" s="12" t="s">
        <v>113</v>
      </c>
      <c r="G2413" s="12" t="s">
        <v>114</v>
      </c>
      <c r="H2413" s="12" t="s">
        <v>1025</v>
      </c>
      <c r="I2413" s="12" t="s">
        <v>87</v>
      </c>
    </row>
    <row r="2414" spans="1:9">
      <c r="A2414" s="14">
        <v>12382</v>
      </c>
      <c r="B2414" s="14" t="s">
        <v>537</v>
      </c>
      <c r="C2414" s="12" t="s">
        <v>145</v>
      </c>
      <c r="D2414" s="15" t="str">
        <f t="shared" si="37"/>
        <v>Healthfirst - E&amp;B Offshore - SUP</v>
      </c>
      <c r="E2414" s="12" t="s">
        <v>141</v>
      </c>
      <c r="F2414" s="12" t="s">
        <v>163</v>
      </c>
      <c r="G2414" s="12" t="s">
        <v>164</v>
      </c>
      <c r="H2414" s="12" t="s">
        <v>1025</v>
      </c>
      <c r="I2414" s="12" t="s">
        <v>87</v>
      </c>
    </row>
    <row r="2415" spans="1:9">
      <c r="A2415" s="14">
        <v>12382</v>
      </c>
      <c r="B2415" s="14" t="s">
        <v>537</v>
      </c>
      <c r="C2415" s="12" t="s">
        <v>180</v>
      </c>
      <c r="D2415" s="15" t="str">
        <f t="shared" si="37"/>
        <v>Healthfirst - E&amp;B Offshore - TMG</v>
      </c>
      <c r="E2415" s="12" t="s">
        <v>141</v>
      </c>
      <c r="F2415" s="12" t="s">
        <v>163</v>
      </c>
      <c r="G2415" s="12" t="s">
        <v>164</v>
      </c>
      <c r="H2415" s="12" t="s">
        <v>1025</v>
      </c>
      <c r="I2415" s="12" t="s">
        <v>87</v>
      </c>
    </row>
    <row r="2416" spans="1:9">
      <c r="A2416" s="14">
        <v>12382</v>
      </c>
      <c r="B2416" s="14" t="s">
        <v>537</v>
      </c>
      <c r="C2416" s="12" t="s">
        <v>185</v>
      </c>
      <c r="D2416" s="15" t="str">
        <f t="shared" si="37"/>
        <v>Healthfirst - E&amp;B Offshore - TPS</v>
      </c>
      <c r="E2416" s="12" t="s">
        <v>141</v>
      </c>
      <c r="F2416" s="12" t="s">
        <v>163</v>
      </c>
      <c r="G2416" s="12" t="s">
        <v>164</v>
      </c>
      <c r="H2416" s="12" t="s">
        <v>1025</v>
      </c>
      <c r="I2416" s="12" t="s">
        <v>87</v>
      </c>
    </row>
    <row r="2417" spans="1:9">
      <c r="A2417" s="14">
        <v>12597</v>
      </c>
      <c r="B2417" s="14" t="s">
        <v>598</v>
      </c>
      <c r="C2417" s="12" t="s">
        <v>185</v>
      </c>
      <c r="D2417" s="15" t="str">
        <f t="shared" si="37"/>
        <v>Healthfirst - UAS Processing - TPS</v>
      </c>
      <c r="E2417" s="12" t="s">
        <v>141</v>
      </c>
      <c r="F2417" s="12" t="s">
        <v>163</v>
      </c>
      <c r="G2417" s="12" t="s">
        <v>164</v>
      </c>
      <c r="H2417" s="12" t="s">
        <v>1025</v>
      </c>
      <c r="I2417" s="12" t="s">
        <v>87</v>
      </c>
    </row>
    <row r="2418" spans="1:9">
      <c r="A2418" s="14">
        <v>12466</v>
      </c>
      <c r="B2418" s="14" t="s">
        <v>559</v>
      </c>
      <c r="C2418" s="12" t="s">
        <v>116</v>
      </c>
      <c r="D2418" s="15" t="str">
        <f t="shared" si="37"/>
        <v>Healthfirst DME Re-Auth - PRD</v>
      </c>
      <c r="E2418" s="12" t="s">
        <v>141</v>
      </c>
      <c r="F2418" s="12" t="s">
        <v>163</v>
      </c>
      <c r="G2418" s="12" t="s">
        <v>164</v>
      </c>
      <c r="H2418" s="12" t="s">
        <v>1025</v>
      </c>
      <c r="I2418" s="12" t="s">
        <v>87</v>
      </c>
    </row>
    <row r="2419" spans="1:9">
      <c r="A2419" s="14">
        <v>12466</v>
      </c>
      <c r="B2419" s="14" t="s">
        <v>559</v>
      </c>
      <c r="C2419" s="12" t="s">
        <v>172</v>
      </c>
      <c r="D2419" s="15" t="str">
        <f t="shared" si="37"/>
        <v>Healthfirst DME Re-Auth - SME</v>
      </c>
      <c r="E2419" s="12" t="s">
        <v>141</v>
      </c>
      <c r="F2419" s="12" t="s">
        <v>163</v>
      </c>
      <c r="G2419" s="12" t="s">
        <v>164</v>
      </c>
      <c r="H2419" s="12" t="s">
        <v>1025</v>
      </c>
      <c r="I2419" s="12" t="s">
        <v>87</v>
      </c>
    </row>
    <row r="2420" spans="1:9">
      <c r="A2420" s="14">
        <v>12466</v>
      </c>
      <c r="B2420" s="14" t="s">
        <v>559</v>
      </c>
      <c r="C2420" s="12" t="s">
        <v>180</v>
      </c>
      <c r="D2420" s="15" t="str">
        <f t="shared" si="37"/>
        <v>Healthfirst DME Re-Auth - TMG</v>
      </c>
      <c r="E2420" s="12" t="s">
        <v>141</v>
      </c>
      <c r="F2420" s="12" t="s">
        <v>163</v>
      </c>
      <c r="G2420" s="12" t="s">
        <v>164</v>
      </c>
      <c r="H2420" s="12" t="s">
        <v>1025</v>
      </c>
      <c r="I2420" s="12" t="s">
        <v>87</v>
      </c>
    </row>
    <row r="2421" spans="1:9">
      <c r="A2421" s="14">
        <v>12466</v>
      </c>
      <c r="B2421" s="14" t="s">
        <v>559</v>
      </c>
      <c r="C2421" s="12" t="s">
        <v>185</v>
      </c>
      <c r="D2421" s="15" t="str">
        <f t="shared" si="37"/>
        <v>Healthfirst DME Re-Auth - TPS</v>
      </c>
      <c r="E2421" s="12" t="s">
        <v>141</v>
      </c>
      <c r="F2421" s="12" t="s">
        <v>163</v>
      </c>
      <c r="G2421" s="12" t="s">
        <v>164</v>
      </c>
      <c r="H2421" s="12" t="s">
        <v>1025</v>
      </c>
      <c r="I2421" s="12" t="s">
        <v>87</v>
      </c>
    </row>
    <row r="2422" spans="1:9">
      <c r="A2422" s="14">
        <v>12455</v>
      </c>
      <c r="B2422" s="14" t="s">
        <v>557</v>
      </c>
      <c r="C2422" s="12" t="s">
        <v>230</v>
      </c>
      <c r="D2422" s="15" t="str">
        <f t="shared" si="37"/>
        <v>Healthfirst OSS Support - PRSP</v>
      </c>
      <c r="E2422" s="12" t="s">
        <v>141</v>
      </c>
      <c r="F2422" s="12" t="s">
        <v>163</v>
      </c>
      <c r="G2422" s="12" t="s">
        <v>164</v>
      </c>
      <c r="H2422" s="12" t="s">
        <v>1025</v>
      </c>
      <c r="I2422" s="12" t="s">
        <v>87</v>
      </c>
    </row>
    <row r="2423" spans="1:9">
      <c r="A2423" s="14">
        <v>12455</v>
      </c>
      <c r="B2423" s="14" t="s">
        <v>557</v>
      </c>
      <c r="C2423" s="12" t="s">
        <v>172</v>
      </c>
      <c r="D2423" s="15" t="str">
        <f t="shared" si="37"/>
        <v>Healthfirst OSS Support - SME</v>
      </c>
      <c r="E2423" s="12" t="s">
        <v>141</v>
      </c>
      <c r="F2423" s="12" t="s">
        <v>163</v>
      </c>
      <c r="G2423" s="12" t="s">
        <v>164</v>
      </c>
      <c r="H2423" s="12" t="s">
        <v>1025</v>
      </c>
      <c r="I2423" s="12" t="s">
        <v>87</v>
      </c>
    </row>
    <row r="2424" spans="1:9">
      <c r="A2424" s="14">
        <v>12455</v>
      </c>
      <c r="B2424" s="14" t="s">
        <v>557</v>
      </c>
      <c r="C2424" s="12" t="s">
        <v>185</v>
      </c>
      <c r="D2424" s="15" t="str">
        <f t="shared" si="37"/>
        <v>Healthfirst OSS Support - TPS</v>
      </c>
      <c r="E2424" s="12" t="s">
        <v>141</v>
      </c>
      <c r="F2424" s="12" t="s">
        <v>163</v>
      </c>
      <c r="G2424" s="12" t="s">
        <v>164</v>
      </c>
      <c r="H2424" s="12" t="s">
        <v>1025</v>
      </c>
      <c r="I2424" s="12" t="s">
        <v>87</v>
      </c>
    </row>
    <row r="2425" spans="1:9">
      <c r="A2425" s="14">
        <v>12618</v>
      </c>
      <c r="B2425" s="14" t="s">
        <v>602</v>
      </c>
      <c r="C2425" s="12" t="s">
        <v>185</v>
      </c>
      <c r="D2425" s="15" t="str">
        <f t="shared" si="37"/>
        <v>Healthfirst-PEGA OSS Auth - TPS</v>
      </c>
      <c r="E2425" s="12" t="s">
        <v>141</v>
      </c>
      <c r="F2425" s="12" t="s">
        <v>163</v>
      </c>
      <c r="G2425" s="12" t="s">
        <v>164</v>
      </c>
      <c r="H2425" s="12" t="s">
        <v>1025</v>
      </c>
      <c r="I2425" s="12" t="s">
        <v>87</v>
      </c>
    </row>
    <row r="2426" spans="1:9">
      <c r="A2426" s="14">
        <v>93856</v>
      </c>
      <c r="B2426" s="14" t="s">
        <v>612</v>
      </c>
      <c r="C2426" s="12" t="s">
        <v>139</v>
      </c>
      <c r="D2426" s="15" t="str">
        <f t="shared" si="37"/>
        <v>HIT BD Investment - SMGT</v>
      </c>
      <c r="E2426" s="12" t="s">
        <v>117</v>
      </c>
      <c r="F2426" s="12" t="s">
        <v>117</v>
      </c>
      <c r="G2426" s="12" t="s">
        <v>117</v>
      </c>
      <c r="H2426" s="12" t="s">
        <v>1025</v>
      </c>
      <c r="I2426" s="12" t="s">
        <v>87</v>
      </c>
    </row>
    <row r="2427" spans="1:9">
      <c r="A2427" s="14">
        <v>96737</v>
      </c>
      <c r="B2427" s="14" t="s">
        <v>614</v>
      </c>
      <c r="C2427" s="12" t="s">
        <v>145</v>
      </c>
      <c r="D2427" s="15" t="str">
        <f t="shared" si="37"/>
        <v>Horizontal Business Finance - SUP</v>
      </c>
      <c r="E2427" s="12" t="s">
        <v>118</v>
      </c>
      <c r="F2427" s="12" t="s">
        <v>122</v>
      </c>
      <c r="G2427" s="12" t="s">
        <v>114</v>
      </c>
      <c r="H2427" s="12" t="s">
        <v>1025</v>
      </c>
      <c r="I2427" s="12" t="s">
        <v>87</v>
      </c>
    </row>
    <row r="2428" spans="1:9">
      <c r="A2428" s="14">
        <v>97115</v>
      </c>
      <c r="B2428" s="14" t="s">
        <v>616</v>
      </c>
      <c r="C2428" s="12" t="s">
        <v>129</v>
      </c>
      <c r="D2428" s="15" t="str">
        <f t="shared" si="37"/>
        <v>HR Business Partners - MGT</v>
      </c>
      <c r="E2428" s="12" t="s">
        <v>118</v>
      </c>
      <c r="F2428" s="12" t="s">
        <v>410</v>
      </c>
      <c r="G2428" s="12" t="s">
        <v>114</v>
      </c>
      <c r="H2428" s="12" t="s">
        <v>1025</v>
      </c>
      <c r="I2428" s="12" t="s">
        <v>87</v>
      </c>
    </row>
    <row r="2429" spans="1:9">
      <c r="A2429" s="14">
        <v>97115</v>
      </c>
      <c r="B2429" s="14" t="s">
        <v>616</v>
      </c>
      <c r="C2429" s="12" t="s">
        <v>139</v>
      </c>
      <c r="D2429" s="15" t="str">
        <f t="shared" si="37"/>
        <v>HR Business Partners - SMGT</v>
      </c>
      <c r="E2429" s="12" t="s">
        <v>118</v>
      </c>
      <c r="F2429" s="12" t="s">
        <v>410</v>
      </c>
      <c r="G2429" s="12" t="s">
        <v>114</v>
      </c>
      <c r="H2429" s="12" t="s">
        <v>1025</v>
      </c>
      <c r="I2429" s="12" t="s">
        <v>87</v>
      </c>
    </row>
    <row r="2430" spans="1:9">
      <c r="A2430" s="14">
        <v>97115</v>
      </c>
      <c r="B2430" s="14" t="s">
        <v>616</v>
      </c>
      <c r="C2430" s="12" t="s">
        <v>145</v>
      </c>
      <c r="D2430" s="15" t="str">
        <f t="shared" si="37"/>
        <v>HR Business Partners - SUP</v>
      </c>
      <c r="E2430" s="12" t="s">
        <v>118</v>
      </c>
      <c r="F2430" s="12" t="s">
        <v>410</v>
      </c>
      <c r="G2430" s="12" t="s">
        <v>114</v>
      </c>
      <c r="H2430" s="12" t="s">
        <v>1025</v>
      </c>
      <c r="I2430" s="12" t="s">
        <v>87</v>
      </c>
    </row>
    <row r="2431" spans="1:9">
      <c r="A2431" s="14">
        <v>97124</v>
      </c>
      <c r="B2431" s="14" t="s">
        <v>620</v>
      </c>
      <c r="C2431" s="12" t="s">
        <v>556</v>
      </c>
      <c r="D2431" s="15" t="str">
        <f t="shared" si="37"/>
        <v>HR Campus Initiatives - HRD</v>
      </c>
      <c r="E2431" s="12" t="s">
        <v>118</v>
      </c>
      <c r="F2431" s="12" t="s">
        <v>512</v>
      </c>
      <c r="G2431" s="12" t="s">
        <v>114</v>
      </c>
      <c r="H2431" s="12" t="s">
        <v>1025</v>
      </c>
      <c r="I2431" s="12" t="s">
        <v>87</v>
      </c>
    </row>
    <row r="2432" spans="1:9">
      <c r="A2432" s="14">
        <v>97124</v>
      </c>
      <c r="B2432" s="14" t="s">
        <v>620</v>
      </c>
      <c r="C2432" s="12" t="s">
        <v>129</v>
      </c>
      <c r="D2432" s="15" t="str">
        <f t="shared" si="37"/>
        <v>HR Campus Initiatives - MGT</v>
      </c>
      <c r="E2432" s="12" t="s">
        <v>118</v>
      </c>
      <c r="F2432" s="12" t="s">
        <v>512</v>
      </c>
      <c r="G2432" s="12" t="s">
        <v>114</v>
      </c>
      <c r="H2432" s="12" t="s">
        <v>1025</v>
      </c>
      <c r="I2432" s="12" t="s">
        <v>87</v>
      </c>
    </row>
    <row r="2433" spans="1:9">
      <c r="A2433" s="14">
        <v>97124</v>
      </c>
      <c r="B2433" s="14" t="s">
        <v>620</v>
      </c>
      <c r="C2433" s="12" t="s">
        <v>145</v>
      </c>
      <c r="D2433" s="15" t="str">
        <f t="shared" si="37"/>
        <v>HR Campus Initiatives - SUP</v>
      </c>
      <c r="E2433" s="12" t="s">
        <v>118</v>
      </c>
      <c r="F2433" s="12" t="s">
        <v>512</v>
      </c>
      <c r="G2433" s="12" t="s">
        <v>114</v>
      </c>
      <c r="H2433" s="12" t="s">
        <v>1025</v>
      </c>
      <c r="I2433" s="12" t="s">
        <v>87</v>
      </c>
    </row>
    <row r="2434" spans="1:9">
      <c r="A2434" s="14">
        <v>97106</v>
      </c>
      <c r="B2434" s="14" t="s">
        <v>624</v>
      </c>
      <c r="C2434" s="12" t="s">
        <v>556</v>
      </c>
      <c r="D2434" s="15" t="str">
        <f t="shared" ref="D2434:D2497" si="38">B2434&amp;" - "&amp;C2434</f>
        <v>HR Comp &amp; Benefits - HRD</v>
      </c>
      <c r="E2434" s="12" t="s">
        <v>118</v>
      </c>
      <c r="F2434" s="12" t="s">
        <v>410</v>
      </c>
      <c r="G2434" s="12" t="s">
        <v>114</v>
      </c>
      <c r="H2434" s="12" t="s">
        <v>1025</v>
      </c>
      <c r="I2434" s="12" t="s">
        <v>87</v>
      </c>
    </row>
    <row r="2435" spans="1:9">
      <c r="A2435" s="14">
        <v>97106</v>
      </c>
      <c r="B2435" s="14" t="s">
        <v>624</v>
      </c>
      <c r="C2435" s="12" t="s">
        <v>145</v>
      </c>
      <c r="D2435" s="15" t="str">
        <f t="shared" si="38"/>
        <v>HR Comp &amp; Benefits - SUP</v>
      </c>
      <c r="E2435" s="12" t="s">
        <v>118</v>
      </c>
      <c r="F2435" s="12" t="s">
        <v>410</v>
      </c>
      <c r="G2435" s="12" t="s">
        <v>114</v>
      </c>
      <c r="H2435" s="12" t="s">
        <v>1025</v>
      </c>
      <c r="I2435" s="12" t="s">
        <v>87</v>
      </c>
    </row>
    <row r="2436" spans="1:9">
      <c r="A2436" s="14">
        <v>97117</v>
      </c>
      <c r="B2436" s="14" t="s">
        <v>627</v>
      </c>
      <c r="C2436" s="12" t="s">
        <v>145</v>
      </c>
      <c r="D2436" s="15" t="str">
        <f t="shared" si="38"/>
        <v>HR Employee Engagement - SUP</v>
      </c>
      <c r="E2436" s="12" t="s">
        <v>118</v>
      </c>
      <c r="F2436" s="12" t="s">
        <v>494</v>
      </c>
      <c r="G2436" s="12" t="s">
        <v>114</v>
      </c>
      <c r="H2436" s="12" t="s">
        <v>1025</v>
      </c>
      <c r="I2436" s="12" t="s">
        <v>87</v>
      </c>
    </row>
    <row r="2437" spans="1:9">
      <c r="A2437" s="14">
        <v>97107</v>
      </c>
      <c r="B2437" s="14" t="s">
        <v>629</v>
      </c>
      <c r="C2437" s="12" t="s">
        <v>556</v>
      </c>
      <c r="D2437" s="15" t="str">
        <f t="shared" si="38"/>
        <v>HR Operations - HRD</v>
      </c>
      <c r="E2437" s="12" t="s">
        <v>118</v>
      </c>
      <c r="F2437" s="12" t="s">
        <v>410</v>
      </c>
      <c r="G2437" s="12" t="s">
        <v>114</v>
      </c>
      <c r="H2437" s="12" t="s">
        <v>1025</v>
      </c>
      <c r="I2437" s="12" t="s">
        <v>87</v>
      </c>
    </row>
    <row r="2438" spans="1:9">
      <c r="A2438" s="14">
        <v>97107</v>
      </c>
      <c r="B2438" s="14" t="s">
        <v>629</v>
      </c>
      <c r="C2438" s="12" t="s">
        <v>129</v>
      </c>
      <c r="D2438" s="15" t="str">
        <f t="shared" si="38"/>
        <v>HR Operations - MGT</v>
      </c>
      <c r="E2438" s="12" t="s">
        <v>118</v>
      </c>
      <c r="F2438" s="12" t="s">
        <v>410</v>
      </c>
      <c r="G2438" s="12" t="s">
        <v>114</v>
      </c>
      <c r="H2438" s="12" t="s">
        <v>1025</v>
      </c>
      <c r="I2438" s="12" t="s">
        <v>87</v>
      </c>
    </row>
    <row r="2439" spans="1:9">
      <c r="A2439" s="14">
        <v>97107</v>
      </c>
      <c r="B2439" s="14" t="s">
        <v>629</v>
      </c>
      <c r="C2439" s="12" t="s">
        <v>547</v>
      </c>
      <c r="D2439" s="15" t="str">
        <f t="shared" si="38"/>
        <v>HR Operations - PHR</v>
      </c>
      <c r="E2439" s="12" t="s">
        <v>118</v>
      </c>
      <c r="F2439" s="12" t="s">
        <v>410</v>
      </c>
      <c r="G2439" s="12" t="s">
        <v>114</v>
      </c>
      <c r="H2439" s="12" t="s">
        <v>1025</v>
      </c>
      <c r="I2439" s="12" t="s">
        <v>87</v>
      </c>
    </row>
    <row r="2440" spans="1:9">
      <c r="A2440" s="14">
        <v>97107</v>
      </c>
      <c r="B2440" s="14" t="s">
        <v>629</v>
      </c>
      <c r="C2440" s="12" t="s">
        <v>139</v>
      </c>
      <c r="D2440" s="15" t="str">
        <f t="shared" si="38"/>
        <v>HR Operations - SMGT</v>
      </c>
      <c r="E2440" s="12" t="s">
        <v>118</v>
      </c>
      <c r="F2440" s="12" t="s">
        <v>410</v>
      </c>
      <c r="G2440" s="12" t="s">
        <v>114</v>
      </c>
      <c r="H2440" s="12" t="s">
        <v>1025</v>
      </c>
      <c r="I2440" s="12" t="s">
        <v>87</v>
      </c>
    </row>
    <row r="2441" spans="1:9">
      <c r="A2441" s="14">
        <v>97107</v>
      </c>
      <c r="B2441" s="14" t="s">
        <v>629</v>
      </c>
      <c r="C2441" s="12" t="s">
        <v>145</v>
      </c>
      <c r="D2441" s="15" t="str">
        <f t="shared" si="38"/>
        <v>HR Operations - SUP</v>
      </c>
      <c r="E2441" s="12" t="s">
        <v>118</v>
      </c>
      <c r="F2441" s="12" t="s">
        <v>410</v>
      </c>
      <c r="G2441" s="12" t="s">
        <v>114</v>
      </c>
      <c r="H2441" s="12" t="s">
        <v>1025</v>
      </c>
      <c r="I2441" s="12" t="s">
        <v>87</v>
      </c>
    </row>
    <row r="2442" spans="1:9">
      <c r="A2442" s="14">
        <v>97116</v>
      </c>
      <c r="B2442" s="14" t="s">
        <v>635</v>
      </c>
      <c r="C2442" s="12" t="s">
        <v>556</v>
      </c>
      <c r="D2442" s="15" t="str">
        <f t="shared" si="38"/>
        <v>HR Shared Services Global - HRD</v>
      </c>
      <c r="E2442" s="12" t="s">
        <v>118</v>
      </c>
      <c r="F2442" s="12" t="s">
        <v>636</v>
      </c>
      <c r="G2442" s="12" t="s">
        <v>114</v>
      </c>
      <c r="H2442" s="12" t="s">
        <v>1025</v>
      </c>
      <c r="I2442" s="12" t="s">
        <v>87</v>
      </c>
    </row>
    <row r="2443" spans="1:9">
      <c r="A2443" s="14">
        <v>97116</v>
      </c>
      <c r="B2443" s="14" t="s">
        <v>635</v>
      </c>
      <c r="C2443" s="12" t="s">
        <v>129</v>
      </c>
      <c r="D2443" s="15" t="str">
        <f t="shared" si="38"/>
        <v>HR Shared Services Global - MGT</v>
      </c>
      <c r="E2443" s="12" t="s">
        <v>118</v>
      </c>
      <c r="F2443" s="12" t="s">
        <v>636</v>
      </c>
      <c r="G2443" s="12" t="s">
        <v>114</v>
      </c>
      <c r="H2443" s="12" t="s">
        <v>1025</v>
      </c>
      <c r="I2443" s="12" t="s">
        <v>87</v>
      </c>
    </row>
    <row r="2444" spans="1:9">
      <c r="A2444" s="14">
        <v>97116</v>
      </c>
      <c r="B2444" s="14" t="s">
        <v>635</v>
      </c>
      <c r="C2444" s="12" t="s">
        <v>139</v>
      </c>
      <c r="D2444" s="15" t="str">
        <f t="shared" si="38"/>
        <v>HR Shared Services Global - SMGT</v>
      </c>
      <c r="E2444" s="12" t="s">
        <v>118</v>
      </c>
      <c r="F2444" s="12" t="s">
        <v>636</v>
      </c>
      <c r="G2444" s="12" t="s">
        <v>114</v>
      </c>
      <c r="H2444" s="12" t="s">
        <v>1025</v>
      </c>
      <c r="I2444" s="12" t="s">
        <v>87</v>
      </c>
    </row>
    <row r="2445" spans="1:9">
      <c r="A2445" s="14">
        <v>97116</v>
      </c>
      <c r="B2445" s="14" t="s">
        <v>635</v>
      </c>
      <c r="C2445" s="12" t="s">
        <v>145</v>
      </c>
      <c r="D2445" s="15" t="str">
        <f t="shared" si="38"/>
        <v>HR Shared Services Global - SUP</v>
      </c>
      <c r="E2445" s="12" t="s">
        <v>118</v>
      </c>
      <c r="F2445" s="12" t="s">
        <v>636</v>
      </c>
      <c r="G2445" s="12" t="s">
        <v>114</v>
      </c>
      <c r="H2445" s="12" t="s">
        <v>1025</v>
      </c>
      <c r="I2445" s="12" t="s">
        <v>87</v>
      </c>
    </row>
    <row r="2446" spans="1:9">
      <c r="A2446" s="14">
        <v>97126</v>
      </c>
      <c r="B2446" s="14" t="s">
        <v>640</v>
      </c>
      <c r="C2446" s="12" t="s">
        <v>556</v>
      </c>
      <c r="D2446" s="15" t="str">
        <f t="shared" si="38"/>
        <v>HR Technology &amp; Analytics - HRD</v>
      </c>
      <c r="E2446" s="12" t="s">
        <v>118</v>
      </c>
      <c r="F2446" s="12" t="s">
        <v>636</v>
      </c>
      <c r="G2446" s="12" t="s">
        <v>114</v>
      </c>
      <c r="H2446" s="12" t="s">
        <v>1025</v>
      </c>
      <c r="I2446" s="12" t="s">
        <v>87</v>
      </c>
    </row>
    <row r="2447" spans="1:9">
      <c r="A2447" s="14">
        <v>97100</v>
      </c>
      <c r="B2447" s="14" t="s">
        <v>642</v>
      </c>
      <c r="C2447" s="12" t="s">
        <v>556</v>
      </c>
      <c r="D2447" s="15" t="str">
        <f t="shared" si="38"/>
        <v>Human Resources Local - HRD</v>
      </c>
      <c r="E2447" s="12" t="s">
        <v>118</v>
      </c>
      <c r="F2447" s="12" t="s">
        <v>410</v>
      </c>
      <c r="G2447" s="12" t="s">
        <v>114</v>
      </c>
      <c r="H2447" s="12" t="s">
        <v>1025</v>
      </c>
      <c r="I2447" s="12" t="s">
        <v>87</v>
      </c>
    </row>
    <row r="2448" spans="1:9">
      <c r="A2448" s="14">
        <v>97100</v>
      </c>
      <c r="B2448" s="14" t="s">
        <v>642</v>
      </c>
      <c r="C2448" s="12" t="s">
        <v>145</v>
      </c>
      <c r="D2448" s="15" t="str">
        <f t="shared" si="38"/>
        <v>Human Resources Local - SUP</v>
      </c>
      <c r="E2448" s="12" t="s">
        <v>118</v>
      </c>
      <c r="F2448" s="12" t="s">
        <v>410</v>
      </c>
      <c r="G2448" s="12" t="s">
        <v>114</v>
      </c>
      <c r="H2448" s="12" t="s">
        <v>1025</v>
      </c>
      <c r="I2448" s="12" t="s">
        <v>87</v>
      </c>
    </row>
    <row r="2449" spans="1:9">
      <c r="A2449" s="14">
        <v>12094</v>
      </c>
      <c r="B2449" s="14" t="s">
        <v>509</v>
      </c>
      <c r="C2449" s="12" t="s">
        <v>129</v>
      </c>
      <c r="D2449" s="15" t="str">
        <f t="shared" si="38"/>
        <v>Humana Inc_CL - MGT</v>
      </c>
      <c r="E2449" s="12" t="s">
        <v>141</v>
      </c>
      <c r="F2449" s="12" t="s">
        <v>163</v>
      </c>
      <c r="G2449" s="12" t="s">
        <v>164</v>
      </c>
      <c r="H2449" s="12" t="s">
        <v>1025</v>
      </c>
      <c r="I2449" s="12" t="s">
        <v>87</v>
      </c>
    </row>
    <row r="2450" spans="1:9">
      <c r="A2450" s="14">
        <v>12094</v>
      </c>
      <c r="B2450" s="14" t="s">
        <v>509</v>
      </c>
      <c r="C2450" s="12" t="s">
        <v>177</v>
      </c>
      <c r="D2450" s="15" t="str">
        <f t="shared" si="38"/>
        <v>Humana Inc_CL - OPS</v>
      </c>
      <c r="E2450" s="12" t="s">
        <v>141</v>
      </c>
      <c r="F2450" s="12" t="s">
        <v>163</v>
      </c>
      <c r="G2450" s="12" t="s">
        <v>164</v>
      </c>
      <c r="H2450" s="12" t="s">
        <v>1025</v>
      </c>
      <c r="I2450" s="12" t="s">
        <v>87</v>
      </c>
    </row>
    <row r="2451" spans="1:9">
      <c r="A2451" s="14">
        <v>12094</v>
      </c>
      <c r="B2451" s="14" t="s">
        <v>509</v>
      </c>
      <c r="C2451" s="12" t="s">
        <v>116</v>
      </c>
      <c r="D2451" s="15" t="str">
        <f t="shared" si="38"/>
        <v>Humana Inc_CL - PRD</v>
      </c>
      <c r="E2451" s="12" t="s">
        <v>141</v>
      </c>
      <c r="F2451" s="12" t="s">
        <v>163</v>
      </c>
      <c r="G2451" s="12" t="s">
        <v>164</v>
      </c>
      <c r="H2451" s="12" t="s">
        <v>1025</v>
      </c>
      <c r="I2451" s="12" t="s">
        <v>87</v>
      </c>
    </row>
    <row r="2452" spans="1:9">
      <c r="A2452" s="14">
        <v>12094</v>
      </c>
      <c r="B2452" s="14" t="s">
        <v>509</v>
      </c>
      <c r="C2452" s="12" t="s">
        <v>185</v>
      </c>
      <c r="D2452" s="15" t="str">
        <f t="shared" si="38"/>
        <v>Humana Inc_CL - TPS</v>
      </c>
      <c r="E2452" s="12" t="s">
        <v>141</v>
      </c>
      <c r="F2452" s="12" t="s">
        <v>163</v>
      </c>
      <c r="G2452" s="12" t="s">
        <v>164</v>
      </c>
      <c r="H2452" s="12" t="s">
        <v>1025</v>
      </c>
      <c r="I2452" s="12" t="s">
        <v>87</v>
      </c>
    </row>
    <row r="2453" spans="1:9">
      <c r="A2453" s="14">
        <v>12095</v>
      </c>
      <c r="B2453" s="14" t="s">
        <v>513</v>
      </c>
      <c r="C2453" s="12" t="s">
        <v>116</v>
      </c>
      <c r="D2453" s="15" t="str">
        <f t="shared" si="38"/>
        <v>Humana Inc_DCAV - PRD</v>
      </c>
      <c r="E2453" s="12" t="s">
        <v>141</v>
      </c>
      <c r="F2453" s="12" t="s">
        <v>163</v>
      </c>
      <c r="G2453" s="12" t="s">
        <v>164</v>
      </c>
      <c r="H2453" s="12" t="s">
        <v>1025</v>
      </c>
      <c r="I2453" s="12" t="s">
        <v>87</v>
      </c>
    </row>
    <row r="2454" spans="1:9">
      <c r="A2454" s="14">
        <v>12095</v>
      </c>
      <c r="B2454" s="14" t="s">
        <v>513</v>
      </c>
      <c r="C2454" s="12" t="s">
        <v>332</v>
      </c>
      <c r="D2454" s="15" t="str">
        <f t="shared" si="38"/>
        <v>Humana Inc_DCAV - RCF</v>
      </c>
      <c r="E2454" s="12" t="s">
        <v>141</v>
      </c>
      <c r="F2454" s="12" t="s">
        <v>163</v>
      </c>
      <c r="G2454" s="12" t="s">
        <v>164</v>
      </c>
      <c r="H2454" s="12" t="s">
        <v>1025</v>
      </c>
      <c r="I2454" s="12" t="s">
        <v>87</v>
      </c>
    </row>
    <row r="2455" spans="1:9">
      <c r="A2455" s="14">
        <v>12095</v>
      </c>
      <c r="B2455" s="14" t="s">
        <v>513</v>
      </c>
      <c r="C2455" s="12" t="s">
        <v>145</v>
      </c>
      <c r="D2455" s="15" t="str">
        <f t="shared" si="38"/>
        <v>Humana Inc_DCAV - SUP</v>
      </c>
      <c r="E2455" s="12" t="s">
        <v>141</v>
      </c>
      <c r="F2455" s="12" t="s">
        <v>163</v>
      </c>
      <c r="G2455" s="12" t="s">
        <v>164</v>
      </c>
      <c r="H2455" s="12" t="s">
        <v>1025</v>
      </c>
      <c r="I2455" s="12" t="s">
        <v>87</v>
      </c>
    </row>
    <row r="2456" spans="1:9">
      <c r="A2456" s="14">
        <v>12095</v>
      </c>
      <c r="B2456" s="14" t="s">
        <v>513</v>
      </c>
      <c r="C2456" s="12" t="s">
        <v>198</v>
      </c>
      <c r="D2456" s="15" t="str">
        <f t="shared" si="38"/>
        <v>Humana Inc_DCAV - TEC</v>
      </c>
      <c r="E2456" s="12" t="s">
        <v>141</v>
      </c>
      <c r="F2456" s="12" t="s">
        <v>163</v>
      </c>
      <c r="G2456" s="12" t="s">
        <v>164</v>
      </c>
      <c r="H2456" s="12" t="s">
        <v>1025</v>
      </c>
      <c r="I2456" s="12" t="s">
        <v>87</v>
      </c>
    </row>
    <row r="2457" spans="1:9">
      <c r="A2457" s="14">
        <v>12095</v>
      </c>
      <c r="B2457" s="14" t="s">
        <v>513</v>
      </c>
      <c r="C2457" s="12" t="s">
        <v>185</v>
      </c>
      <c r="D2457" s="15" t="str">
        <f t="shared" si="38"/>
        <v>Humana Inc_DCAV - TPS</v>
      </c>
      <c r="E2457" s="12" t="s">
        <v>141</v>
      </c>
      <c r="F2457" s="12" t="s">
        <v>163</v>
      </c>
      <c r="G2457" s="12" t="s">
        <v>164</v>
      </c>
      <c r="H2457" s="12" t="s">
        <v>1025</v>
      </c>
      <c r="I2457" s="12" t="s">
        <v>87</v>
      </c>
    </row>
    <row r="2458" spans="1:9">
      <c r="A2458" s="14">
        <v>12095</v>
      </c>
      <c r="B2458" s="14" t="s">
        <v>513</v>
      </c>
      <c r="C2458" s="12" t="s">
        <v>208</v>
      </c>
      <c r="D2458" s="15" t="str">
        <f t="shared" si="38"/>
        <v>Humana Inc_DCAV - TTR</v>
      </c>
      <c r="E2458" s="12" t="s">
        <v>118</v>
      </c>
      <c r="F2458" s="12" t="s">
        <v>204</v>
      </c>
      <c r="G2458" s="12" t="s">
        <v>205</v>
      </c>
      <c r="H2458" s="12" t="s">
        <v>1025</v>
      </c>
      <c r="I2458" s="12" t="s">
        <v>87</v>
      </c>
    </row>
    <row r="2459" spans="1:9">
      <c r="A2459" s="14">
        <v>12097</v>
      </c>
      <c r="B2459" s="14" t="s">
        <v>515</v>
      </c>
      <c r="C2459" s="12" t="s">
        <v>116</v>
      </c>
      <c r="D2459" s="15" t="str">
        <f t="shared" si="38"/>
        <v>Humana Inc_Recredentialing - PRD</v>
      </c>
      <c r="E2459" s="12" t="s">
        <v>141</v>
      </c>
      <c r="F2459" s="12" t="s">
        <v>163</v>
      </c>
      <c r="G2459" s="12" t="s">
        <v>164</v>
      </c>
      <c r="H2459" s="12" t="s">
        <v>1025</v>
      </c>
      <c r="I2459" s="12" t="s">
        <v>87</v>
      </c>
    </row>
    <row r="2460" spans="1:9">
      <c r="A2460" s="14">
        <v>12097</v>
      </c>
      <c r="B2460" s="14" t="s">
        <v>515</v>
      </c>
      <c r="C2460" s="12" t="s">
        <v>111</v>
      </c>
      <c r="D2460" s="15" t="str">
        <f t="shared" si="38"/>
        <v>Humana Inc_Recredentialing - QLY</v>
      </c>
      <c r="E2460" s="12" t="s">
        <v>118</v>
      </c>
      <c r="F2460" s="12" t="s">
        <v>113</v>
      </c>
      <c r="G2460" s="12" t="s">
        <v>114</v>
      </c>
      <c r="H2460" s="12" t="s">
        <v>1025</v>
      </c>
      <c r="I2460" s="12" t="s">
        <v>87</v>
      </c>
    </row>
    <row r="2461" spans="1:9">
      <c r="A2461" s="14">
        <v>12097</v>
      </c>
      <c r="B2461" s="14" t="s">
        <v>515</v>
      </c>
      <c r="C2461" s="12" t="s">
        <v>185</v>
      </c>
      <c r="D2461" s="15" t="str">
        <f t="shared" si="38"/>
        <v>Humana Inc_Recredentialing - TPS</v>
      </c>
      <c r="E2461" s="12" t="s">
        <v>141</v>
      </c>
      <c r="F2461" s="12" t="s">
        <v>163</v>
      </c>
      <c r="G2461" s="12" t="s">
        <v>164</v>
      </c>
      <c r="H2461" s="12" t="s">
        <v>1025</v>
      </c>
      <c r="I2461" s="12" t="s">
        <v>87</v>
      </c>
    </row>
    <row r="2462" spans="1:9">
      <c r="A2462" s="14">
        <v>96726</v>
      </c>
      <c r="B2462" s="14" t="s">
        <v>658</v>
      </c>
      <c r="C2462" s="12" t="s">
        <v>121</v>
      </c>
      <c r="D2462" s="15" t="str">
        <f t="shared" si="38"/>
        <v>IDC Business Finance - F&amp;A</v>
      </c>
      <c r="E2462" s="12" t="s">
        <v>118</v>
      </c>
      <c r="F2462" s="12" t="s">
        <v>122</v>
      </c>
      <c r="G2462" s="12" t="s">
        <v>114</v>
      </c>
      <c r="H2462" s="12" t="s">
        <v>1025</v>
      </c>
      <c r="I2462" s="12" t="s">
        <v>87</v>
      </c>
    </row>
    <row r="2463" spans="1:9">
      <c r="A2463" s="14">
        <v>96726</v>
      </c>
      <c r="B2463" s="14" t="s">
        <v>658</v>
      </c>
      <c r="C2463" s="12" t="s">
        <v>139</v>
      </c>
      <c r="D2463" s="15" t="str">
        <f t="shared" si="38"/>
        <v>IDC Business Finance - SMGT</v>
      </c>
      <c r="E2463" s="12" t="s">
        <v>118</v>
      </c>
      <c r="F2463" s="12" t="s">
        <v>122</v>
      </c>
      <c r="G2463" s="12" t="s">
        <v>114</v>
      </c>
      <c r="H2463" s="12" t="s">
        <v>1025</v>
      </c>
      <c r="I2463" s="12" t="s">
        <v>87</v>
      </c>
    </row>
    <row r="2464" spans="1:9">
      <c r="A2464" s="14">
        <v>96726</v>
      </c>
      <c r="B2464" s="14" t="s">
        <v>658</v>
      </c>
      <c r="C2464" s="12" t="s">
        <v>145</v>
      </c>
      <c r="D2464" s="15" t="str">
        <f t="shared" si="38"/>
        <v>IDC Business Finance - SUP</v>
      </c>
      <c r="E2464" s="12" t="s">
        <v>118</v>
      </c>
      <c r="F2464" s="12" t="s">
        <v>122</v>
      </c>
      <c r="G2464" s="12" t="s">
        <v>114</v>
      </c>
      <c r="H2464" s="12" t="s">
        <v>1025</v>
      </c>
      <c r="I2464" s="12" t="s">
        <v>87</v>
      </c>
    </row>
    <row r="2465" spans="1:9">
      <c r="A2465" s="14">
        <v>93045</v>
      </c>
      <c r="B2465" s="14" t="s">
        <v>662</v>
      </c>
      <c r="C2465" s="12" t="s">
        <v>139</v>
      </c>
      <c r="D2465" s="15" t="str">
        <f t="shared" si="38"/>
        <v>Industry Marketing - SMGT</v>
      </c>
      <c r="E2465" s="12" t="s">
        <v>118</v>
      </c>
      <c r="F2465" s="12" t="s">
        <v>257</v>
      </c>
      <c r="G2465" s="12" t="s">
        <v>114</v>
      </c>
      <c r="H2465" s="12" t="s">
        <v>1025</v>
      </c>
      <c r="I2465" s="12" t="s">
        <v>87</v>
      </c>
    </row>
    <row r="2466" spans="1:9">
      <c r="A2466" s="14">
        <v>93045</v>
      </c>
      <c r="B2466" s="14" t="s">
        <v>662</v>
      </c>
      <c r="C2466" s="12" t="s">
        <v>145</v>
      </c>
      <c r="D2466" s="15" t="str">
        <f t="shared" si="38"/>
        <v>Industry Marketing - SUP</v>
      </c>
      <c r="E2466" s="12" t="s">
        <v>118</v>
      </c>
      <c r="F2466" s="12" t="s">
        <v>257</v>
      </c>
      <c r="G2466" s="12" t="s">
        <v>114</v>
      </c>
      <c r="H2466" s="12" t="s">
        <v>1025</v>
      </c>
      <c r="I2466" s="12" t="s">
        <v>87</v>
      </c>
    </row>
    <row r="2467" spans="1:9">
      <c r="A2467" s="14">
        <v>95501</v>
      </c>
      <c r="B2467" s="14" t="s">
        <v>665</v>
      </c>
      <c r="C2467" s="12" t="s">
        <v>415</v>
      </c>
      <c r="D2467" s="15" t="str">
        <f t="shared" si="38"/>
        <v>Infosec - GTI</v>
      </c>
      <c r="E2467" s="12" t="s">
        <v>117</v>
      </c>
      <c r="F2467" s="12" t="s">
        <v>117</v>
      </c>
      <c r="G2467" s="12" t="s">
        <v>117</v>
      </c>
      <c r="H2467" s="12" t="s">
        <v>1025</v>
      </c>
      <c r="I2467" s="12" t="s">
        <v>87</v>
      </c>
    </row>
    <row r="2468" spans="1:9">
      <c r="A2468" s="14">
        <v>95501</v>
      </c>
      <c r="B2468" s="14" t="s">
        <v>665</v>
      </c>
      <c r="C2468" s="12" t="s">
        <v>129</v>
      </c>
      <c r="D2468" s="15" t="str">
        <f t="shared" si="38"/>
        <v>Infosec - MGT</v>
      </c>
      <c r="E2468" s="12" t="s">
        <v>117</v>
      </c>
      <c r="F2468" s="12" t="s">
        <v>117</v>
      </c>
      <c r="G2468" s="12" t="s">
        <v>117</v>
      </c>
      <c r="H2468" s="12" t="s">
        <v>1025</v>
      </c>
      <c r="I2468" s="12" t="s">
        <v>87</v>
      </c>
    </row>
    <row r="2469" spans="1:9">
      <c r="A2469" s="14">
        <v>95501</v>
      </c>
      <c r="B2469" s="14" t="s">
        <v>665</v>
      </c>
      <c r="C2469" s="12" t="s">
        <v>177</v>
      </c>
      <c r="D2469" s="15" t="str">
        <f t="shared" si="38"/>
        <v>Infosec - OPS</v>
      </c>
      <c r="E2469" s="12" t="s">
        <v>117</v>
      </c>
      <c r="F2469" s="12" t="s">
        <v>117</v>
      </c>
      <c r="G2469" s="12" t="s">
        <v>117</v>
      </c>
      <c r="H2469" s="12" t="s">
        <v>1025</v>
      </c>
      <c r="I2469" s="12" t="s">
        <v>87</v>
      </c>
    </row>
    <row r="2470" spans="1:9">
      <c r="A2470" s="14">
        <v>95501</v>
      </c>
      <c r="B2470" s="14" t="s">
        <v>665</v>
      </c>
      <c r="C2470" s="12" t="s">
        <v>134</v>
      </c>
      <c r="D2470" s="15" t="str">
        <f t="shared" si="38"/>
        <v>Infosec - SEC</v>
      </c>
      <c r="E2470" s="12" t="s">
        <v>117</v>
      </c>
      <c r="F2470" s="12" t="s">
        <v>117</v>
      </c>
      <c r="G2470" s="12" t="s">
        <v>117</v>
      </c>
      <c r="H2470" s="12" t="s">
        <v>1025</v>
      </c>
      <c r="I2470" s="12" t="s">
        <v>87</v>
      </c>
    </row>
    <row r="2471" spans="1:9">
      <c r="A2471" s="14">
        <v>95501</v>
      </c>
      <c r="B2471" s="14" t="s">
        <v>665</v>
      </c>
      <c r="C2471" s="12" t="s">
        <v>145</v>
      </c>
      <c r="D2471" s="15" t="str">
        <f t="shared" si="38"/>
        <v>Infosec - SUP</v>
      </c>
      <c r="E2471" s="12" t="s">
        <v>117</v>
      </c>
      <c r="F2471" s="12" t="s">
        <v>117</v>
      </c>
      <c r="G2471" s="12" t="s">
        <v>117</v>
      </c>
      <c r="H2471" s="12" t="s">
        <v>1025</v>
      </c>
      <c r="I2471" s="12" t="s">
        <v>87</v>
      </c>
    </row>
    <row r="2472" spans="1:9">
      <c r="A2472" s="14">
        <v>89007</v>
      </c>
      <c r="B2472" s="14" t="s">
        <v>671</v>
      </c>
      <c r="C2472" s="12" t="s">
        <v>116</v>
      </c>
      <c r="D2472" s="15" t="str">
        <f t="shared" si="38"/>
        <v>Infra cloud transformation - PRD</v>
      </c>
      <c r="E2472" s="12" t="s">
        <v>117</v>
      </c>
      <c r="F2472" s="12" t="s">
        <v>117</v>
      </c>
      <c r="G2472" s="12" t="s">
        <v>117</v>
      </c>
      <c r="H2472" s="12" t="s">
        <v>1025</v>
      </c>
      <c r="I2472" s="12" t="s">
        <v>87</v>
      </c>
    </row>
    <row r="2473" spans="1:9">
      <c r="A2473" s="14">
        <v>96101</v>
      </c>
      <c r="B2473" s="14" t="s">
        <v>673</v>
      </c>
      <c r="C2473" s="12" t="s">
        <v>121</v>
      </c>
      <c r="D2473" s="15" t="str">
        <f t="shared" si="38"/>
        <v>Internal Audit - F&amp;A</v>
      </c>
      <c r="E2473" s="12" t="s">
        <v>118</v>
      </c>
      <c r="F2473" s="12" t="s">
        <v>673</v>
      </c>
      <c r="G2473" s="12" t="s">
        <v>114</v>
      </c>
      <c r="H2473" s="12" t="s">
        <v>1025</v>
      </c>
      <c r="I2473" s="12" t="s">
        <v>87</v>
      </c>
    </row>
    <row r="2474" spans="1:9">
      <c r="A2474" s="14">
        <v>96101</v>
      </c>
      <c r="B2474" s="14" t="s">
        <v>673</v>
      </c>
      <c r="C2474" s="12" t="s">
        <v>129</v>
      </c>
      <c r="D2474" s="15" t="str">
        <f t="shared" si="38"/>
        <v>Internal Audit - MGT</v>
      </c>
      <c r="E2474" s="12" t="s">
        <v>118</v>
      </c>
      <c r="F2474" s="12" t="s">
        <v>673</v>
      </c>
      <c r="G2474" s="12" t="s">
        <v>114</v>
      </c>
      <c r="H2474" s="12" t="s">
        <v>1025</v>
      </c>
      <c r="I2474" s="12" t="s">
        <v>87</v>
      </c>
    </row>
    <row r="2475" spans="1:9">
      <c r="A2475" s="14">
        <v>96101</v>
      </c>
      <c r="B2475" s="14" t="s">
        <v>673</v>
      </c>
      <c r="C2475" s="12" t="s">
        <v>145</v>
      </c>
      <c r="D2475" s="15" t="str">
        <f t="shared" si="38"/>
        <v>Internal Audit - SUP</v>
      </c>
      <c r="E2475" s="12" t="s">
        <v>118</v>
      </c>
      <c r="F2475" s="12" t="s">
        <v>673</v>
      </c>
      <c r="G2475" s="12" t="s">
        <v>114</v>
      </c>
      <c r="H2475" s="12" t="s">
        <v>1025</v>
      </c>
      <c r="I2475" s="12" t="s">
        <v>87</v>
      </c>
    </row>
    <row r="2476" spans="1:9">
      <c r="A2476" s="14">
        <v>96101</v>
      </c>
      <c r="B2476" s="14" t="s">
        <v>673</v>
      </c>
      <c r="C2476" s="12" t="s">
        <v>180</v>
      </c>
      <c r="D2476" s="15" t="str">
        <f t="shared" si="38"/>
        <v>Internal Audit - TMG</v>
      </c>
      <c r="E2476" s="12" t="s">
        <v>118</v>
      </c>
      <c r="F2476" s="12" t="s">
        <v>673</v>
      </c>
      <c r="G2476" s="12" t="s">
        <v>114</v>
      </c>
      <c r="H2476" s="12" t="s">
        <v>1025</v>
      </c>
      <c r="I2476" s="12" t="s">
        <v>87</v>
      </c>
    </row>
    <row r="2477" spans="1:9">
      <c r="A2477" s="14">
        <v>95105</v>
      </c>
      <c r="B2477" s="14" t="s">
        <v>678</v>
      </c>
      <c r="C2477" s="12" t="s">
        <v>415</v>
      </c>
      <c r="D2477" s="15" t="str">
        <f t="shared" si="38"/>
        <v>IT Build-out - GTI</v>
      </c>
      <c r="E2477" s="12" t="s">
        <v>118</v>
      </c>
      <c r="F2477" s="12" t="s">
        <v>263</v>
      </c>
      <c r="G2477" s="12" t="s">
        <v>264</v>
      </c>
      <c r="H2477" s="12" t="s">
        <v>1025</v>
      </c>
      <c r="I2477" s="12" t="s">
        <v>87</v>
      </c>
    </row>
    <row r="2478" spans="1:9">
      <c r="A2478" s="14">
        <v>95105</v>
      </c>
      <c r="B2478" s="14" t="s">
        <v>678</v>
      </c>
      <c r="C2478" s="12" t="s">
        <v>145</v>
      </c>
      <c r="D2478" s="15" t="str">
        <f t="shared" si="38"/>
        <v>IT Build-out - SUP</v>
      </c>
      <c r="E2478" s="12" t="s">
        <v>118</v>
      </c>
      <c r="F2478" s="12" t="s">
        <v>263</v>
      </c>
      <c r="G2478" s="12" t="s">
        <v>264</v>
      </c>
      <c r="H2478" s="12" t="s">
        <v>1025</v>
      </c>
      <c r="I2478" s="12" t="s">
        <v>87</v>
      </c>
    </row>
    <row r="2479" spans="1:9">
      <c r="A2479" s="14">
        <v>95107</v>
      </c>
      <c r="B2479" s="14" t="s">
        <v>681</v>
      </c>
      <c r="C2479" s="12" t="s">
        <v>415</v>
      </c>
      <c r="D2479" s="15" t="str">
        <f t="shared" si="38"/>
        <v>IT Service Excellence - GTI</v>
      </c>
      <c r="E2479" s="12" t="s">
        <v>118</v>
      </c>
      <c r="F2479" s="12" t="s">
        <v>263</v>
      </c>
      <c r="G2479" s="12" t="s">
        <v>264</v>
      </c>
      <c r="H2479" s="12" t="s">
        <v>1025</v>
      </c>
      <c r="I2479" s="12" t="s">
        <v>87</v>
      </c>
    </row>
    <row r="2480" spans="1:9">
      <c r="A2480" s="14">
        <v>95107</v>
      </c>
      <c r="B2480" s="14" t="s">
        <v>681</v>
      </c>
      <c r="C2480" s="12" t="s">
        <v>129</v>
      </c>
      <c r="D2480" s="15" t="str">
        <f t="shared" si="38"/>
        <v>IT Service Excellence - MGT</v>
      </c>
      <c r="E2480" s="12" t="s">
        <v>118</v>
      </c>
      <c r="F2480" s="12" t="s">
        <v>263</v>
      </c>
      <c r="G2480" s="12" t="s">
        <v>264</v>
      </c>
      <c r="H2480" s="12" t="s">
        <v>1025</v>
      </c>
      <c r="I2480" s="12" t="s">
        <v>87</v>
      </c>
    </row>
    <row r="2481" spans="1:9">
      <c r="A2481" s="14">
        <v>95107</v>
      </c>
      <c r="B2481" s="14" t="s">
        <v>681</v>
      </c>
      <c r="C2481" s="12" t="s">
        <v>177</v>
      </c>
      <c r="D2481" s="15" t="str">
        <f t="shared" si="38"/>
        <v>IT Service Excellence - OPS</v>
      </c>
      <c r="E2481" s="12" t="s">
        <v>118</v>
      </c>
      <c r="F2481" s="12" t="s">
        <v>263</v>
      </c>
      <c r="G2481" s="12" t="s">
        <v>264</v>
      </c>
      <c r="H2481" s="12" t="s">
        <v>1025</v>
      </c>
      <c r="I2481" s="12" t="s">
        <v>87</v>
      </c>
    </row>
    <row r="2482" spans="1:9">
      <c r="A2482" s="14">
        <v>95107</v>
      </c>
      <c r="B2482" s="14" t="s">
        <v>681</v>
      </c>
      <c r="C2482" s="12" t="s">
        <v>134</v>
      </c>
      <c r="D2482" s="15" t="str">
        <f t="shared" si="38"/>
        <v>IT Service Excellence - SEC</v>
      </c>
      <c r="E2482" s="12" t="s">
        <v>118</v>
      </c>
      <c r="F2482" s="12" t="s">
        <v>263</v>
      </c>
      <c r="G2482" s="12" t="s">
        <v>264</v>
      </c>
      <c r="H2482" s="12" t="s">
        <v>1025</v>
      </c>
      <c r="I2482" s="12" t="s">
        <v>87</v>
      </c>
    </row>
    <row r="2483" spans="1:9">
      <c r="A2483" s="14">
        <v>95107</v>
      </c>
      <c r="B2483" s="14" t="s">
        <v>681</v>
      </c>
      <c r="C2483" s="12" t="s">
        <v>139</v>
      </c>
      <c r="D2483" s="15" t="str">
        <f t="shared" si="38"/>
        <v>IT Service Excellence - SMGT</v>
      </c>
      <c r="E2483" s="12" t="s">
        <v>118</v>
      </c>
      <c r="F2483" s="12" t="s">
        <v>263</v>
      </c>
      <c r="G2483" s="12" t="s">
        <v>264</v>
      </c>
      <c r="H2483" s="12" t="s">
        <v>1025</v>
      </c>
      <c r="I2483" s="12" t="s">
        <v>87</v>
      </c>
    </row>
    <row r="2484" spans="1:9">
      <c r="A2484" s="14">
        <v>95107</v>
      </c>
      <c r="B2484" s="14" t="s">
        <v>681</v>
      </c>
      <c r="C2484" s="12" t="s">
        <v>145</v>
      </c>
      <c r="D2484" s="15" t="str">
        <f t="shared" si="38"/>
        <v>IT Service Excellence - SUP</v>
      </c>
      <c r="E2484" s="12" t="s">
        <v>118</v>
      </c>
      <c r="F2484" s="12" t="s">
        <v>263</v>
      </c>
      <c r="G2484" s="12" t="s">
        <v>264</v>
      </c>
      <c r="H2484" s="12" t="s">
        <v>1025</v>
      </c>
      <c r="I2484" s="12" t="s">
        <v>87</v>
      </c>
    </row>
    <row r="2485" spans="1:9">
      <c r="A2485" s="14">
        <v>95107</v>
      </c>
      <c r="B2485" s="14" t="s">
        <v>681</v>
      </c>
      <c r="C2485" s="12" t="s">
        <v>180</v>
      </c>
      <c r="D2485" s="15" t="str">
        <f t="shared" si="38"/>
        <v>IT Service Excellence - TMG</v>
      </c>
      <c r="E2485" s="12" t="s">
        <v>118</v>
      </c>
      <c r="F2485" s="12" t="s">
        <v>263</v>
      </c>
      <c r="G2485" s="12" t="s">
        <v>264</v>
      </c>
      <c r="H2485" s="12" t="s">
        <v>1025</v>
      </c>
      <c r="I2485" s="12" t="s">
        <v>87</v>
      </c>
    </row>
    <row r="2486" spans="1:9">
      <c r="A2486" s="14">
        <v>91402</v>
      </c>
      <c r="B2486" s="14" t="s">
        <v>687</v>
      </c>
      <c r="C2486" s="12" t="s">
        <v>688</v>
      </c>
      <c r="D2486" s="15" t="str">
        <f t="shared" si="38"/>
        <v>IT Services Cloud - Investment - GSi</v>
      </c>
      <c r="E2486" s="12" t="s">
        <v>117</v>
      </c>
      <c r="F2486" s="12" t="s">
        <v>117</v>
      </c>
      <c r="G2486" s="12" t="s">
        <v>117</v>
      </c>
      <c r="H2486" s="12" t="s">
        <v>1025</v>
      </c>
      <c r="I2486" s="12" t="s">
        <v>87</v>
      </c>
    </row>
    <row r="2487" spans="1:9">
      <c r="A2487" s="14">
        <v>91402</v>
      </c>
      <c r="B2487" s="14" t="s">
        <v>687</v>
      </c>
      <c r="C2487" s="12" t="s">
        <v>129</v>
      </c>
      <c r="D2487" s="15" t="str">
        <f t="shared" si="38"/>
        <v>IT Services Cloud - Investment - MGT</v>
      </c>
      <c r="E2487" s="12" t="s">
        <v>117</v>
      </c>
      <c r="F2487" s="12" t="s">
        <v>117</v>
      </c>
      <c r="G2487" s="12" t="s">
        <v>117</v>
      </c>
      <c r="H2487" s="12" t="s">
        <v>1025</v>
      </c>
      <c r="I2487" s="12" t="s">
        <v>87</v>
      </c>
    </row>
    <row r="2488" spans="1:9">
      <c r="A2488" s="14">
        <v>91402</v>
      </c>
      <c r="B2488" s="14" t="s">
        <v>687</v>
      </c>
      <c r="C2488" s="12" t="s">
        <v>145</v>
      </c>
      <c r="D2488" s="15" t="str">
        <f t="shared" si="38"/>
        <v>IT Services Cloud - Investment - SUP</v>
      </c>
      <c r="E2488" s="12" t="s">
        <v>117</v>
      </c>
      <c r="F2488" s="12" t="s">
        <v>117</v>
      </c>
      <c r="G2488" s="12" t="s">
        <v>117</v>
      </c>
      <c r="H2488" s="12" t="s">
        <v>1025</v>
      </c>
      <c r="I2488" s="12" t="s">
        <v>87</v>
      </c>
    </row>
    <row r="2489" spans="1:9">
      <c r="A2489" s="14">
        <v>95109</v>
      </c>
      <c r="B2489" s="14" t="s">
        <v>692</v>
      </c>
      <c r="C2489" s="12" t="s">
        <v>415</v>
      </c>
      <c r="D2489" s="15" t="str">
        <f t="shared" si="38"/>
        <v>IT-BRM - GTI</v>
      </c>
      <c r="E2489" s="12" t="s">
        <v>118</v>
      </c>
      <c r="F2489" s="12" t="s">
        <v>263</v>
      </c>
      <c r="G2489" s="12" t="s">
        <v>264</v>
      </c>
      <c r="H2489" s="12" t="s">
        <v>1025</v>
      </c>
      <c r="I2489" s="12" t="s">
        <v>87</v>
      </c>
    </row>
    <row r="2490" spans="1:9">
      <c r="A2490" s="14">
        <v>95109</v>
      </c>
      <c r="B2490" s="14" t="s">
        <v>692</v>
      </c>
      <c r="C2490" s="12" t="s">
        <v>129</v>
      </c>
      <c r="D2490" s="15" t="str">
        <f t="shared" si="38"/>
        <v>IT-BRM - MGT</v>
      </c>
      <c r="E2490" s="12" t="s">
        <v>118</v>
      </c>
      <c r="F2490" s="12" t="s">
        <v>263</v>
      </c>
      <c r="G2490" s="12" t="s">
        <v>264</v>
      </c>
      <c r="H2490" s="12" t="s">
        <v>1025</v>
      </c>
      <c r="I2490" s="12" t="s">
        <v>87</v>
      </c>
    </row>
    <row r="2491" spans="1:9">
      <c r="A2491" s="14">
        <v>95109</v>
      </c>
      <c r="B2491" s="14" t="s">
        <v>692</v>
      </c>
      <c r="C2491" s="12" t="s">
        <v>111</v>
      </c>
      <c r="D2491" s="15" t="str">
        <f t="shared" si="38"/>
        <v>IT-BRM - QLY</v>
      </c>
      <c r="E2491" s="12" t="s">
        <v>118</v>
      </c>
      <c r="F2491" s="12" t="s">
        <v>263</v>
      </c>
      <c r="G2491" s="12" t="s">
        <v>264</v>
      </c>
      <c r="H2491" s="12" t="s">
        <v>1025</v>
      </c>
      <c r="I2491" s="12" t="s">
        <v>87</v>
      </c>
    </row>
    <row r="2492" spans="1:9">
      <c r="A2492" s="14">
        <v>95109</v>
      </c>
      <c r="B2492" s="14" t="s">
        <v>692</v>
      </c>
      <c r="C2492" s="12" t="s">
        <v>145</v>
      </c>
      <c r="D2492" s="15" t="str">
        <f t="shared" si="38"/>
        <v>IT-BRM - SUP</v>
      </c>
      <c r="E2492" s="12" t="s">
        <v>118</v>
      </c>
      <c r="F2492" s="12" t="s">
        <v>263</v>
      </c>
      <c r="G2492" s="12" t="s">
        <v>264</v>
      </c>
      <c r="H2492" s="12" t="s">
        <v>1025</v>
      </c>
      <c r="I2492" s="12" t="s">
        <v>87</v>
      </c>
    </row>
    <row r="2493" spans="1:9">
      <c r="A2493" s="14">
        <v>91030</v>
      </c>
      <c r="B2493" s="14" t="s">
        <v>696</v>
      </c>
      <c r="C2493" s="12" t="s">
        <v>116</v>
      </c>
      <c r="D2493" s="15" t="str">
        <f t="shared" si="38"/>
        <v>IT-BU Overhead - PRD</v>
      </c>
      <c r="E2493" s="12" t="s">
        <v>117</v>
      </c>
      <c r="F2493" s="12" t="s">
        <v>117</v>
      </c>
      <c r="G2493" s="12" t="s">
        <v>117</v>
      </c>
      <c r="H2493" s="12" t="s">
        <v>1025</v>
      </c>
      <c r="I2493" s="12" t="s">
        <v>87</v>
      </c>
    </row>
    <row r="2494" spans="1:9">
      <c r="A2494" s="14">
        <v>91030</v>
      </c>
      <c r="B2494" s="14" t="s">
        <v>696</v>
      </c>
      <c r="C2494" s="12" t="s">
        <v>145</v>
      </c>
      <c r="D2494" s="15" t="str">
        <f t="shared" si="38"/>
        <v>IT-BU Overhead - SUP</v>
      </c>
      <c r="E2494" s="12" t="s">
        <v>117</v>
      </c>
      <c r="F2494" s="12" t="s">
        <v>117</v>
      </c>
      <c r="G2494" s="12" t="s">
        <v>117</v>
      </c>
      <c r="H2494" s="12" t="s">
        <v>1025</v>
      </c>
      <c r="I2494" s="12" t="s">
        <v>87</v>
      </c>
    </row>
    <row r="2495" spans="1:9">
      <c r="A2495" s="14">
        <v>12474</v>
      </c>
      <c r="B2495" s="14" t="s">
        <v>562</v>
      </c>
      <c r="C2495" s="12" t="s">
        <v>116</v>
      </c>
      <c r="D2495" s="15" t="str">
        <f t="shared" si="38"/>
        <v>Jauhar - RCM Services - PRD</v>
      </c>
      <c r="E2495" s="12" t="s">
        <v>154</v>
      </c>
      <c r="F2495" s="12" t="s">
        <v>163</v>
      </c>
      <c r="G2495" s="12" t="s">
        <v>164</v>
      </c>
      <c r="H2495" s="12" t="s">
        <v>1025</v>
      </c>
      <c r="I2495" s="12" t="s">
        <v>87</v>
      </c>
    </row>
    <row r="2496" spans="1:9">
      <c r="A2496" s="14">
        <v>12474</v>
      </c>
      <c r="B2496" s="14" t="s">
        <v>562</v>
      </c>
      <c r="C2496" s="12" t="s">
        <v>332</v>
      </c>
      <c r="D2496" s="15" t="str">
        <f t="shared" si="38"/>
        <v>Jauhar - RCM Services - RCF</v>
      </c>
      <c r="E2496" s="12" t="s">
        <v>154</v>
      </c>
      <c r="F2496" s="12" t="s">
        <v>163</v>
      </c>
      <c r="G2496" s="12" t="s">
        <v>164</v>
      </c>
      <c r="H2496" s="12" t="s">
        <v>1025</v>
      </c>
      <c r="I2496" s="12" t="s">
        <v>87</v>
      </c>
    </row>
    <row r="2497" spans="1:9">
      <c r="A2497" s="14">
        <v>12474</v>
      </c>
      <c r="B2497" s="14" t="s">
        <v>562</v>
      </c>
      <c r="C2497" s="12" t="s">
        <v>185</v>
      </c>
      <c r="D2497" s="15" t="str">
        <f t="shared" si="38"/>
        <v>Jauhar - RCM Services - TPS</v>
      </c>
      <c r="E2497" s="12" t="s">
        <v>154</v>
      </c>
      <c r="F2497" s="12" t="s">
        <v>163</v>
      </c>
      <c r="G2497" s="12" t="s">
        <v>164</v>
      </c>
      <c r="H2497" s="12" t="s">
        <v>1025</v>
      </c>
      <c r="I2497" s="12" t="s">
        <v>87</v>
      </c>
    </row>
    <row r="2498" spans="1:9">
      <c r="A2498" s="14">
        <v>12359</v>
      </c>
      <c r="B2498" s="14" t="s">
        <v>535</v>
      </c>
      <c r="C2498" s="12" t="s">
        <v>230</v>
      </c>
      <c r="D2498" s="15" t="str">
        <f t="shared" ref="D2498:D2561" si="39">B2498&amp;" - "&amp;C2498</f>
        <v>Jefferson University-ED Coding - PRSP</v>
      </c>
      <c r="E2498" s="12" t="s">
        <v>159</v>
      </c>
      <c r="F2498" s="12" t="s">
        <v>237</v>
      </c>
      <c r="G2498" s="12" t="s">
        <v>238</v>
      </c>
      <c r="H2498" s="12" t="s">
        <v>1025</v>
      </c>
      <c r="I2498" s="12" t="s">
        <v>87</v>
      </c>
    </row>
    <row r="2499" spans="1:9">
      <c r="A2499" s="14">
        <v>12359</v>
      </c>
      <c r="B2499" s="14" t="s">
        <v>535</v>
      </c>
      <c r="C2499" s="12" t="s">
        <v>145</v>
      </c>
      <c r="D2499" s="15" t="str">
        <f t="shared" si="39"/>
        <v>Jefferson University-ED Coding - SUP</v>
      </c>
      <c r="E2499" s="12" t="s">
        <v>159</v>
      </c>
      <c r="F2499" s="12" t="s">
        <v>237</v>
      </c>
      <c r="G2499" s="12" t="s">
        <v>238</v>
      </c>
      <c r="H2499" s="12" t="s">
        <v>1025</v>
      </c>
      <c r="I2499" s="12" t="s">
        <v>87</v>
      </c>
    </row>
    <row r="2500" spans="1:9">
      <c r="A2500" s="14">
        <v>12359</v>
      </c>
      <c r="B2500" s="14" t="s">
        <v>535</v>
      </c>
      <c r="C2500" s="12" t="s">
        <v>180</v>
      </c>
      <c r="D2500" s="15" t="str">
        <f t="shared" si="39"/>
        <v>Jefferson University-ED Coding - TMG</v>
      </c>
      <c r="E2500" s="12" t="s">
        <v>159</v>
      </c>
      <c r="F2500" s="12" t="s">
        <v>237</v>
      </c>
      <c r="G2500" s="12" t="s">
        <v>238</v>
      </c>
      <c r="H2500" s="12" t="s">
        <v>1025</v>
      </c>
      <c r="I2500" s="12" t="s">
        <v>87</v>
      </c>
    </row>
    <row r="2501" spans="1:9">
      <c r="A2501" s="14">
        <v>12359</v>
      </c>
      <c r="B2501" s="14" t="s">
        <v>535</v>
      </c>
      <c r="C2501" s="12" t="s">
        <v>185</v>
      </c>
      <c r="D2501" s="15" t="str">
        <f t="shared" si="39"/>
        <v>Jefferson University-ED Coding - TPS</v>
      </c>
      <c r="E2501" s="12" t="s">
        <v>159</v>
      </c>
      <c r="F2501" s="12" t="s">
        <v>237</v>
      </c>
      <c r="G2501" s="12" t="s">
        <v>238</v>
      </c>
      <c r="H2501" s="12" t="s">
        <v>1025</v>
      </c>
      <c r="I2501" s="12" t="s">
        <v>87</v>
      </c>
    </row>
    <row r="2502" spans="1:9">
      <c r="A2502" s="14">
        <v>21230</v>
      </c>
      <c r="B2502" s="14" t="s">
        <v>645</v>
      </c>
      <c r="C2502" s="12" t="s">
        <v>185</v>
      </c>
      <c r="D2502" s="15" t="str">
        <f t="shared" si="39"/>
        <v>LAC RCM - TPS</v>
      </c>
      <c r="E2502" s="12" t="s">
        <v>148</v>
      </c>
      <c r="F2502" s="12" t="s">
        <v>163</v>
      </c>
      <c r="G2502" s="12" t="s">
        <v>164</v>
      </c>
      <c r="H2502" s="12" t="s">
        <v>1025</v>
      </c>
      <c r="I2502" s="12" t="s">
        <v>87</v>
      </c>
    </row>
    <row r="2503" spans="1:9">
      <c r="A2503" s="14">
        <v>96200</v>
      </c>
      <c r="B2503" s="14" t="s">
        <v>707</v>
      </c>
      <c r="C2503" s="12" t="s">
        <v>133</v>
      </c>
      <c r="D2503" s="15" t="str">
        <f t="shared" si="39"/>
        <v>Legal/ secretarial - AMG</v>
      </c>
      <c r="E2503" s="12" t="s">
        <v>118</v>
      </c>
      <c r="F2503" s="12" t="s">
        <v>708</v>
      </c>
      <c r="G2503" s="12" t="s">
        <v>114</v>
      </c>
      <c r="H2503" s="12" t="s">
        <v>1025</v>
      </c>
      <c r="I2503" s="12" t="s">
        <v>87</v>
      </c>
    </row>
    <row r="2504" spans="1:9">
      <c r="A2504" s="14">
        <v>96200</v>
      </c>
      <c r="B2504" s="14" t="s">
        <v>707</v>
      </c>
      <c r="C2504" s="12" t="s">
        <v>121</v>
      </c>
      <c r="D2504" s="15" t="str">
        <f t="shared" si="39"/>
        <v>Legal/ secretarial - F&amp;A</v>
      </c>
      <c r="E2504" s="12" t="s">
        <v>118</v>
      </c>
      <c r="F2504" s="12" t="s">
        <v>708</v>
      </c>
      <c r="G2504" s="12" t="s">
        <v>114</v>
      </c>
      <c r="H2504" s="12" t="s">
        <v>1025</v>
      </c>
      <c r="I2504" s="12" t="s">
        <v>87</v>
      </c>
    </row>
    <row r="2505" spans="1:9">
      <c r="A2505" s="14">
        <v>96200</v>
      </c>
      <c r="B2505" s="14" t="s">
        <v>707</v>
      </c>
      <c r="C2505" s="12" t="s">
        <v>129</v>
      </c>
      <c r="D2505" s="15" t="str">
        <f t="shared" si="39"/>
        <v>Legal/ secretarial - MGT</v>
      </c>
      <c r="E2505" s="12" t="s">
        <v>118</v>
      </c>
      <c r="F2505" s="12" t="s">
        <v>708</v>
      </c>
      <c r="G2505" s="12" t="s">
        <v>114</v>
      </c>
      <c r="H2505" s="12" t="s">
        <v>1025</v>
      </c>
      <c r="I2505" s="12" t="s">
        <v>87</v>
      </c>
    </row>
    <row r="2506" spans="1:9">
      <c r="A2506" s="14">
        <v>96200</v>
      </c>
      <c r="B2506" s="14" t="s">
        <v>707</v>
      </c>
      <c r="C2506" s="12" t="s">
        <v>145</v>
      </c>
      <c r="D2506" s="15" t="str">
        <f t="shared" si="39"/>
        <v>Legal/ secretarial - SUP</v>
      </c>
      <c r="E2506" s="12" t="s">
        <v>118</v>
      </c>
      <c r="F2506" s="12" t="s">
        <v>708</v>
      </c>
      <c r="G2506" s="12" t="s">
        <v>114</v>
      </c>
      <c r="H2506" s="12" t="s">
        <v>1025</v>
      </c>
      <c r="I2506" s="12" t="s">
        <v>87</v>
      </c>
    </row>
    <row r="2507" spans="1:9">
      <c r="A2507" s="14">
        <v>92103</v>
      </c>
      <c r="B2507" s="14" t="s">
        <v>713</v>
      </c>
      <c r="C2507" s="12" t="s">
        <v>145</v>
      </c>
      <c r="D2507" s="15" t="str">
        <f t="shared" si="39"/>
        <v>Logistics &amp;Transportation - GM - SUP</v>
      </c>
      <c r="E2507" s="12" t="s">
        <v>118</v>
      </c>
      <c r="F2507" s="12" t="s">
        <v>518</v>
      </c>
      <c r="G2507" s="12" t="s">
        <v>350</v>
      </c>
      <c r="H2507" s="12" t="s">
        <v>1025</v>
      </c>
      <c r="I2507" s="12" t="s">
        <v>87</v>
      </c>
    </row>
    <row r="2508" spans="1:9">
      <c r="A2508" s="14">
        <v>92203</v>
      </c>
      <c r="B2508" s="14" t="s">
        <v>715</v>
      </c>
      <c r="C2508" s="12" t="s">
        <v>129</v>
      </c>
      <c r="D2508" s="15" t="str">
        <f t="shared" si="39"/>
        <v>LOGISTICS &amp;TRANSPORTATION -SGA - MGT</v>
      </c>
      <c r="E2508" s="12" t="s">
        <v>118</v>
      </c>
      <c r="F2508" s="12" t="s">
        <v>518</v>
      </c>
      <c r="G2508" s="12" t="s">
        <v>350</v>
      </c>
      <c r="H2508" s="12" t="s">
        <v>1025</v>
      </c>
      <c r="I2508" s="12" t="s">
        <v>87</v>
      </c>
    </row>
    <row r="2509" spans="1:9">
      <c r="A2509" s="14">
        <v>92203</v>
      </c>
      <c r="B2509" s="14" t="s">
        <v>715</v>
      </c>
      <c r="C2509" s="12" t="s">
        <v>145</v>
      </c>
      <c r="D2509" s="15" t="str">
        <f t="shared" si="39"/>
        <v>LOGISTICS &amp;TRANSPORTATION -SGA - SUP</v>
      </c>
      <c r="E2509" s="12" t="s">
        <v>118</v>
      </c>
      <c r="F2509" s="12" t="s">
        <v>518</v>
      </c>
      <c r="G2509" s="12" t="s">
        <v>350</v>
      </c>
      <c r="H2509" s="12" t="s">
        <v>1025</v>
      </c>
      <c r="I2509" s="12" t="s">
        <v>87</v>
      </c>
    </row>
    <row r="2510" spans="1:9">
      <c r="A2510" s="14">
        <v>12499</v>
      </c>
      <c r="B2510" s="14" t="s">
        <v>566</v>
      </c>
      <c r="C2510" s="12" t="s">
        <v>145</v>
      </c>
      <c r="D2510" s="15" t="str">
        <f t="shared" si="39"/>
        <v>Maimonides - Coding - SUP</v>
      </c>
      <c r="E2510" s="12" t="s">
        <v>159</v>
      </c>
      <c r="F2510" s="12" t="s">
        <v>237</v>
      </c>
      <c r="G2510" s="12" t="s">
        <v>238</v>
      </c>
      <c r="H2510" s="12" t="s">
        <v>1025</v>
      </c>
      <c r="I2510" s="12" t="s">
        <v>87</v>
      </c>
    </row>
    <row r="2511" spans="1:9">
      <c r="A2511" s="14">
        <v>12499</v>
      </c>
      <c r="B2511" s="14" t="s">
        <v>566</v>
      </c>
      <c r="C2511" s="12" t="s">
        <v>185</v>
      </c>
      <c r="D2511" s="15" t="str">
        <f t="shared" si="39"/>
        <v>Maimonides - Coding - TPS</v>
      </c>
      <c r="E2511" s="12" t="s">
        <v>159</v>
      </c>
      <c r="F2511" s="12" t="s">
        <v>237</v>
      </c>
      <c r="G2511" s="12" t="s">
        <v>238</v>
      </c>
      <c r="H2511" s="12" t="s">
        <v>1025</v>
      </c>
      <c r="I2511" s="12" t="s">
        <v>87</v>
      </c>
    </row>
    <row r="2512" spans="1:9">
      <c r="A2512" s="14">
        <v>12307</v>
      </c>
      <c r="B2512" s="14" t="s">
        <v>528</v>
      </c>
      <c r="C2512" s="12" t="s">
        <v>177</v>
      </c>
      <c r="D2512" s="15" t="str">
        <f t="shared" si="39"/>
        <v>Mercy Health - Credit Balance - OPS</v>
      </c>
      <c r="E2512" s="12" t="s">
        <v>154</v>
      </c>
      <c r="F2512" s="12" t="s">
        <v>163</v>
      </c>
      <c r="G2512" s="12" t="s">
        <v>164</v>
      </c>
      <c r="H2512" s="12" t="s">
        <v>1025</v>
      </c>
      <c r="I2512" s="12" t="s">
        <v>87</v>
      </c>
    </row>
    <row r="2513" spans="1:9">
      <c r="A2513" s="14">
        <v>12307</v>
      </c>
      <c r="B2513" s="14" t="s">
        <v>528</v>
      </c>
      <c r="C2513" s="12" t="s">
        <v>185</v>
      </c>
      <c r="D2513" s="15" t="str">
        <f t="shared" si="39"/>
        <v>Mercy Health - Credit Balance - TPS</v>
      </c>
      <c r="E2513" s="12" t="s">
        <v>154</v>
      </c>
      <c r="F2513" s="12" t="s">
        <v>163</v>
      </c>
      <c r="G2513" s="12" t="s">
        <v>164</v>
      </c>
      <c r="H2513" s="12" t="s">
        <v>1025</v>
      </c>
      <c r="I2513" s="12" t="s">
        <v>87</v>
      </c>
    </row>
    <row r="2514" spans="1:9">
      <c r="A2514" s="14">
        <v>12305</v>
      </c>
      <c r="B2514" s="14" t="s">
        <v>526</v>
      </c>
      <c r="C2514" s="12" t="s">
        <v>133</v>
      </c>
      <c r="D2514" s="15" t="str">
        <f t="shared" si="39"/>
        <v>Mercy Health - PH AR - AMG</v>
      </c>
      <c r="E2514" s="12" t="s">
        <v>148</v>
      </c>
      <c r="F2514" s="12" t="s">
        <v>163</v>
      </c>
      <c r="G2514" s="12" t="s">
        <v>164</v>
      </c>
      <c r="H2514" s="12" t="s">
        <v>1025</v>
      </c>
      <c r="I2514" s="12" t="s">
        <v>87</v>
      </c>
    </row>
    <row r="2515" spans="1:9">
      <c r="A2515" s="14">
        <v>12305</v>
      </c>
      <c r="B2515" s="14" t="s">
        <v>526</v>
      </c>
      <c r="C2515" s="12" t="s">
        <v>177</v>
      </c>
      <c r="D2515" s="15" t="str">
        <f t="shared" si="39"/>
        <v>Mercy Health - PH AR - OPS</v>
      </c>
      <c r="E2515" s="12" t="s">
        <v>148</v>
      </c>
      <c r="F2515" s="12" t="s">
        <v>163</v>
      </c>
      <c r="G2515" s="12" t="s">
        <v>164</v>
      </c>
      <c r="H2515" s="12" t="s">
        <v>1025</v>
      </c>
      <c r="I2515" s="12" t="s">
        <v>87</v>
      </c>
    </row>
    <row r="2516" spans="1:9">
      <c r="A2516" s="14">
        <v>12305</v>
      </c>
      <c r="B2516" s="14" t="s">
        <v>526</v>
      </c>
      <c r="C2516" s="12" t="s">
        <v>116</v>
      </c>
      <c r="D2516" s="15" t="str">
        <f t="shared" si="39"/>
        <v>Mercy Health - PH AR - PRD</v>
      </c>
      <c r="E2516" s="12" t="s">
        <v>148</v>
      </c>
      <c r="F2516" s="12" t="s">
        <v>163</v>
      </c>
      <c r="G2516" s="12" t="s">
        <v>164</v>
      </c>
      <c r="H2516" s="12" t="s">
        <v>1025</v>
      </c>
      <c r="I2516" s="12" t="s">
        <v>87</v>
      </c>
    </row>
    <row r="2517" spans="1:9">
      <c r="A2517" s="14">
        <v>12305</v>
      </c>
      <c r="B2517" s="14" t="s">
        <v>526</v>
      </c>
      <c r="C2517" s="12" t="s">
        <v>111</v>
      </c>
      <c r="D2517" s="15" t="str">
        <f t="shared" si="39"/>
        <v>Mercy Health - PH AR - QLY</v>
      </c>
      <c r="E2517" s="12" t="s">
        <v>118</v>
      </c>
      <c r="F2517" s="12" t="s">
        <v>113</v>
      </c>
      <c r="G2517" s="12" t="s">
        <v>114</v>
      </c>
      <c r="H2517" s="12" t="s">
        <v>1025</v>
      </c>
      <c r="I2517" s="12" t="s">
        <v>87</v>
      </c>
    </row>
    <row r="2518" spans="1:9">
      <c r="A2518" s="14">
        <v>12305</v>
      </c>
      <c r="B2518" s="14" t="s">
        <v>526</v>
      </c>
      <c r="C2518" s="12" t="s">
        <v>332</v>
      </c>
      <c r="D2518" s="15" t="str">
        <f t="shared" si="39"/>
        <v>Mercy Health - PH AR - RCF</v>
      </c>
      <c r="E2518" s="12" t="s">
        <v>148</v>
      </c>
      <c r="F2518" s="12" t="s">
        <v>163</v>
      </c>
      <c r="G2518" s="12" t="s">
        <v>164</v>
      </c>
      <c r="H2518" s="12" t="s">
        <v>1025</v>
      </c>
      <c r="I2518" s="12" t="s">
        <v>87</v>
      </c>
    </row>
    <row r="2519" spans="1:9">
      <c r="A2519" s="14">
        <v>12305</v>
      </c>
      <c r="B2519" s="14" t="s">
        <v>526</v>
      </c>
      <c r="C2519" s="12" t="s">
        <v>145</v>
      </c>
      <c r="D2519" s="15" t="str">
        <f t="shared" si="39"/>
        <v>Mercy Health - PH AR - SUP</v>
      </c>
      <c r="E2519" s="12" t="s">
        <v>148</v>
      </c>
      <c r="F2519" s="12" t="s">
        <v>163</v>
      </c>
      <c r="G2519" s="12" t="s">
        <v>164</v>
      </c>
      <c r="H2519" s="12" t="s">
        <v>1025</v>
      </c>
      <c r="I2519" s="12" t="s">
        <v>87</v>
      </c>
    </row>
    <row r="2520" spans="1:9">
      <c r="A2520" s="14">
        <v>12305</v>
      </c>
      <c r="B2520" s="14" t="s">
        <v>526</v>
      </c>
      <c r="C2520" s="12" t="s">
        <v>180</v>
      </c>
      <c r="D2520" s="15" t="str">
        <f t="shared" si="39"/>
        <v>Mercy Health - PH AR - TMG</v>
      </c>
      <c r="E2520" s="12" t="s">
        <v>148</v>
      </c>
      <c r="F2520" s="12" t="s">
        <v>163</v>
      </c>
      <c r="G2520" s="12" t="s">
        <v>164</v>
      </c>
      <c r="H2520" s="12" t="s">
        <v>1025</v>
      </c>
      <c r="I2520" s="12" t="s">
        <v>87</v>
      </c>
    </row>
    <row r="2521" spans="1:9">
      <c r="A2521" s="14">
        <v>12443</v>
      </c>
      <c r="B2521" s="14" t="s">
        <v>551</v>
      </c>
      <c r="C2521" s="12" t="s">
        <v>116</v>
      </c>
      <c r="D2521" s="15" t="str">
        <f t="shared" si="39"/>
        <v>Mercy Health - PP AR - PRD</v>
      </c>
      <c r="E2521" s="12" t="s">
        <v>154</v>
      </c>
      <c r="F2521" s="12" t="s">
        <v>163</v>
      </c>
      <c r="G2521" s="12" t="s">
        <v>164</v>
      </c>
      <c r="H2521" s="12" t="s">
        <v>1025</v>
      </c>
      <c r="I2521" s="12" t="s">
        <v>87</v>
      </c>
    </row>
    <row r="2522" spans="1:9">
      <c r="A2522" s="14">
        <v>12443</v>
      </c>
      <c r="B2522" s="14" t="s">
        <v>551</v>
      </c>
      <c r="C2522" s="12" t="s">
        <v>185</v>
      </c>
      <c r="D2522" s="15" t="str">
        <f t="shared" si="39"/>
        <v>Mercy Health - PP AR - TPS</v>
      </c>
      <c r="E2522" s="12" t="s">
        <v>154</v>
      </c>
      <c r="F2522" s="12" t="s">
        <v>163</v>
      </c>
      <c r="G2522" s="12" t="s">
        <v>164</v>
      </c>
      <c r="H2522" s="12" t="s">
        <v>1025</v>
      </c>
      <c r="I2522" s="12" t="s">
        <v>87</v>
      </c>
    </row>
    <row r="2523" spans="1:9">
      <c r="A2523" s="14">
        <v>12527</v>
      </c>
      <c r="B2523" s="14" t="s">
        <v>577</v>
      </c>
      <c r="C2523" s="12" t="s">
        <v>116</v>
      </c>
      <c r="D2523" s="15" t="str">
        <f t="shared" si="39"/>
        <v>Mercy Health - RCM Legacy AR - PRD</v>
      </c>
      <c r="E2523" s="12" t="s">
        <v>154</v>
      </c>
      <c r="F2523" s="12" t="s">
        <v>163</v>
      </c>
      <c r="G2523" s="12" t="s">
        <v>164</v>
      </c>
      <c r="H2523" s="12" t="s">
        <v>1025</v>
      </c>
      <c r="I2523" s="12" t="s">
        <v>87</v>
      </c>
    </row>
    <row r="2524" spans="1:9">
      <c r="A2524" s="14">
        <v>12527</v>
      </c>
      <c r="B2524" s="14" t="s">
        <v>577</v>
      </c>
      <c r="C2524" s="12" t="s">
        <v>185</v>
      </c>
      <c r="D2524" s="15" t="str">
        <f t="shared" si="39"/>
        <v>Mercy Health - RCM Legacy AR - TPS</v>
      </c>
      <c r="E2524" s="12" t="s">
        <v>154</v>
      </c>
      <c r="F2524" s="12" t="s">
        <v>163</v>
      </c>
      <c r="G2524" s="12" t="s">
        <v>164</v>
      </c>
      <c r="H2524" s="12" t="s">
        <v>1025</v>
      </c>
      <c r="I2524" s="12" t="s">
        <v>87</v>
      </c>
    </row>
    <row r="2525" spans="1:9">
      <c r="A2525" s="14">
        <v>12306</v>
      </c>
      <c r="B2525" s="14" t="s">
        <v>527</v>
      </c>
      <c r="C2525" s="12" t="s">
        <v>116</v>
      </c>
      <c r="D2525" s="15" t="str">
        <f t="shared" si="39"/>
        <v>Mercy Health - Trans. Servs - PRD</v>
      </c>
      <c r="E2525" s="12" t="s">
        <v>148</v>
      </c>
      <c r="F2525" s="12" t="s">
        <v>163</v>
      </c>
      <c r="G2525" s="12" t="s">
        <v>164</v>
      </c>
      <c r="H2525" s="12" t="s">
        <v>1025</v>
      </c>
      <c r="I2525" s="12" t="s">
        <v>87</v>
      </c>
    </row>
    <row r="2526" spans="1:9">
      <c r="A2526" s="14">
        <v>12306</v>
      </c>
      <c r="B2526" s="14" t="s">
        <v>527</v>
      </c>
      <c r="C2526" s="12" t="s">
        <v>185</v>
      </c>
      <c r="D2526" s="15" t="str">
        <f t="shared" si="39"/>
        <v>Mercy Health - Trans. Servs - TPS</v>
      </c>
      <c r="E2526" s="12" t="s">
        <v>148</v>
      </c>
      <c r="F2526" s="12" t="s">
        <v>163</v>
      </c>
      <c r="G2526" s="12" t="s">
        <v>164</v>
      </c>
      <c r="H2526" s="12" t="s">
        <v>1025</v>
      </c>
      <c r="I2526" s="12" t="s">
        <v>87</v>
      </c>
    </row>
    <row r="2527" spans="1:9">
      <c r="A2527" s="14">
        <v>93625</v>
      </c>
      <c r="B2527" s="14" t="s">
        <v>737</v>
      </c>
      <c r="C2527" s="12" t="s">
        <v>145</v>
      </c>
      <c r="D2527" s="15" t="str">
        <f t="shared" si="39"/>
        <v>Middle East Solution Support - SUP</v>
      </c>
      <c r="E2527" s="12" t="s">
        <v>118</v>
      </c>
      <c r="F2527" s="12" t="s">
        <v>303</v>
      </c>
      <c r="G2527" s="12" t="s">
        <v>114</v>
      </c>
      <c r="H2527" s="12" t="s">
        <v>1025</v>
      </c>
      <c r="I2527" s="12" t="s">
        <v>87</v>
      </c>
    </row>
    <row r="2528" spans="1:9">
      <c r="A2528" s="14">
        <v>93625</v>
      </c>
      <c r="B2528" s="14" t="s">
        <v>737</v>
      </c>
      <c r="C2528" s="12" t="s">
        <v>185</v>
      </c>
      <c r="D2528" s="15" t="str">
        <f t="shared" si="39"/>
        <v>Middle East Solution Support - TPS</v>
      </c>
      <c r="E2528" s="12" t="s">
        <v>118</v>
      </c>
      <c r="F2528" s="12" t="s">
        <v>303</v>
      </c>
      <c r="G2528" s="12" t="s">
        <v>114</v>
      </c>
      <c r="H2528" s="12" t="s">
        <v>1025</v>
      </c>
      <c r="I2528" s="12" t="s">
        <v>87</v>
      </c>
    </row>
    <row r="2529" spans="1:9">
      <c r="A2529" s="14">
        <v>93625</v>
      </c>
      <c r="B2529" s="14" t="s">
        <v>737</v>
      </c>
      <c r="C2529" s="12" t="s">
        <v>203</v>
      </c>
      <c r="D2529" s="15" t="str">
        <f t="shared" si="39"/>
        <v>Middle East Solution Support - TRG</v>
      </c>
      <c r="E2529" s="12" t="s">
        <v>118</v>
      </c>
      <c r="F2529" s="12" t="s">
        <v>303</v>
      </c>
      <c r="G2529" s="12" t="s">
        <v>114</v>
      </c>
      <c r="H2529" s="12" t="s">
        <v>1025</v>
      </c>
      <c r="I2529" s="12" t="s">
        <v>87</v>
      </c>
    </row>
    <row r="2530" spans="1:9">
      <c r="A2530" s="14">
        <v>12533</v>
      </c>
      <c r="B2530" s="14" t="s">
        <v>581</v>
      </c>
      <c r="C2530" s="12" t="s">
        <v>741</v>
      </c>
      <c r="D2530" s="15" t="str">
        <f t="shared" si="39"/>
        <v>Mitchell Genex - PDM - L2</v>
      </c>
      <c r="E2530" s="12" t="s">
        <v>141</v>
      </c>
      <c r="F2530" s="12" t="s">
        <v>163</v>
      </c>
      <c r="G2530" s="12" t="s">
        <v>164</v>
      </c>
      <c r="H2530" s="12" t="s">
        <v>1025</v>
      </c>
      <c r="I2530" s="12" t="s">
        <v>87</v>
      </c>
    </row>
    <row r="2531" spans="1:9">
      <c r="A2531" s="14">
        <v>12533</v>
      </c>
      <c r="B2531" s="14" t="s">
        <v>581</v>
      </c>
      <c r="C2531" s="12" t="s">
        <v>250</v>
      </c>
      <c r="D2531" s="15" t="str">
        <f t="shared" si="39"/>
        <v>Mitchell Genex - PDM - LED</v>
      </c>
      <c r="E2531" s="12" t="s">
        <v>141</v>
      </c>
      <c r="F2531" s="12" t="s">
        <v>163</v>
      </c>
      <c r="G2531" s="12" t="s">
        <v>164</v>
      </c>
      <c r="H2531" s="12" t="s">
        <v>1025</v>
      </c>
      <c r="I2531" s="12" t="s">
        <v>87</v>
      </c>
    </row>
    <row r="2532" spans="1:9">
      <c r="A2532" s="14">
        <v>12533</v>
      </c>
      <c r="B2532" s="14" t="s">
        <v>581</v>
      </c>
      <c r="C2532" s="12" t="s">
        <v>116</v>
      </c>
      <c r="D2532" s="15" t="str">
        <f t="shared" si="39"/>
        <v>Mitchell Genex - PDM - PRD</v>
      </c>
      <c r="E2532" s="12" t="s">
        <v>141</v>
      </c>
      <c r="F2532" s="12" t="s">
        <v>163</v>
      </c>
      <c r="G2532" s="12" t="s">
        <v>164</v>
      </c>
      <c r="H2532" s="12" t="s">
        <v>1025</v>
      </c>
      <c r="I2532" s="12" t="s">
        <v>87</v>
      </c>
    </row>
    <row r="2533" spans="1:9">
      <c r="A2533" s="14">
        <v>12533</v>
      </c>
      <c r="B2533" s="14" t="s">
        <v>581</v>
      </c>
      <c r="C2533" s="12" t="s">
        <v>145</v>
      </c>
      <c r="D2533" s="15" t="str">
        <f t="shared" si="39"/>
        <v>Mitchell Genex - PDM - SUP</v>
      </c>
      <c r="E2533" s="12" t="s">
        <v>141</v>
      </c>
      <c r="F2533" s="12" t="s">
        <v>163</v>
      </c>
      <c r="G2533" s="12" t="s">
        <v>164</v>
      </c>
      <c r="H2533" s="12" t="s">
        <v>1025</v>
      </c>
      <c r="I2533" s="12" t="s">
        <v>87</v>
      </c>
    </row>
    <row r="2534" spans="1:9">
      <c r="A2534" s="14">
        <v>12533</v>
      </c>
      <c r="B2534" s="14" t="s">
        <v>581</v>
      </c>
      <c r="C2534" s="12" t="s">
        <v>185</v>
      </c>
      <c r="D2534" s="15" t="str">
        <f t="shared" si="39"/>
        <v>Mitchell Genex - PDM - TPS</v>
      </c>
      <c r="E2534" s="12" t="s">
        <v>141</v>
      </c>
      <c r="F2534" s="12" t="s">
        <v>163</v>
      </c>
      <c r="G2534" s="12" t="s">
        <v>164</v>
      </c>
      <c r="H2534" s="12" t="s">
        <v>1025</v>
      </c>
      <c r="I2534" s="12" t="s">
        <v>87</v>
      </c>
    </row>
    <row r="2535" spans="1:9">
      <c r="A2535" s="14">
        <v>12630</v>
      </c>
      <c r="B2535" s="14" t="s">
        <v>607</v>
      </c>
      <c r="C2535" s="12" t="s">
        <v>145</v>
      </c>
      <c r="D2535" s="15" t="str">
        <f t="shared" si="39"/>
        <v>ModMed - RCM FBO - SUP</v>
      </c>
      <c r="E2535" s="12" t="s">
        <v>154</v>
      </c>
      <c r="F2535" s="12" t="s">
        <v>163</v>
      </c>
      <c r="G2535" s="12" t="s">
        <v>164</v>
      </c>
      <c r="H2535" s="12" t="s">
        <v>1025</v>
      </c>
      <c r="I2535" s="12" t="s">
        <v>87</v>
      </c>
    </row>
    <row r="2536" spans="1:9">
      <c r="A2536" s="14">
        <v>12630</v>
      </c>
      <c r="B2536" s="14" t="s">
        <v>607</v>
      </c>
      <c r="C2536" s="12" t="s">
        <v>748</v>
      </c>
      <c r="D2536" s="15" t="str">
        <f t="shared" si="39"/>
        <v>ModMed - RCM FBO - SUPP</v>
      </c>
      <c r="E2536" s="12" t="s">
        <v>154</v>
      </c>
      <c r="F2536" s="12" t="s">
        <v>163</v>
      </c>
      <c r="G2536" s="12" t="s">
        <v>164</v>
      </c>
      <c r="H2536" s="12" t="s">
        <v>1025</v>
      </c>
      <c r="I2536" s="12" t="s">
        <v>87</v>
      </c>
    </row>
    <row r="2537" spans="1:9">
      <c r="A2537" s="14">
        <v>12634</v>
      </c>
      <c r="B2537" s="14" t="s">
        <v>608</v>
      </c>
      <c r="C2537" s="12" t="s">
        <v>185</v>
      </c>
      <c r="D2537" s="15" t="str">
        <f t="shared" si="39"/>
        <v>Mt. Sinai Elmhurst - Coding - TPS</v>
      </c>
      <c r="E2537" s="12" t="s">
        <v>159</v>
      </c>
      <c r="F2537" s="12" t="s">
        <v>237</v>
      </c>
      <c r="G2537" s="12" t="s">
        <v>238</v>
      </c>
      <c r="H2537" s="12" t="s">
        <v>1025</v>
      </c>
      <c r="I2537" s="12" t="s">
        <v>87</v>
      </c>
    </row>
    <row r="2538" spans="1:9">
      <c r="A2538" s="14">
        <v>12108</v>
      </c>
      <c r="B2538" s="14" t="s">
        <v>516</v>
      </c>
      <c r="C2538" s="12" t="s">
        <v>177</v>
      </c>
      <c r="D2538" s="15" t="str">
        <f t="shared" si="39"/>
        <v>Mt.Sinai Sch of Nursing-AR - OPS</v>
      </c>
      <c r="E2538" s="12" t="s">
        <v>154</v>
      </c>
      <c r="F2538" s="12" t="s">
        <v>163</v>
      </c>
      <c r="G2538" s="12" t="s">
        <v>164</v>
      </c>
      <c r="H2538" s="12" t="s">
        <v>1025</v>
      </c>
      <c r="I2538" s="12" t="s">
        <v>87</v>
      </c>
    </row>
    <row r="2539" spans="1:9">
      <c r="A2539" s="14">
        <v>12108</v>
      </c>
      <c r="B2539" s="14" t="s">
        <v>516</v>
      </c>
      <c r="C2539" s="12" t="s">
        <v>116</v>
      </c>
      <c r="D2539" s="15" t="str">
        <f t="shared" si="39"/>
        <v>Mt.Sinai Sch of Nursing-AR - PRD</v>
      </c>
      <c r="E2539" s="12" t="s">
        <v>154</v>
      </c>
      <c r="F2539" s="12" t="s">
        <v>163</v>
      </c>
      <c r="G2539" s="12" t="s">
        <v>164</v>
      </c>
      <c r="H2539" s="12" t="s">
        <v>1025</v>
      </c>
      <c r="I2539" s="12" t="s">
        <v>87</v>
      </c>
    </row>
    <row r="2540" spans="1:9">
      <c r="A2540" s="14">
        <v>12108</v>
      </c>
      <c r="B2540" s="14" t="s">
        <v>516</v>
      </c>
      <c r="C2540" s="12" t="s">
        <v>332</v>
      </c>
      <c r="D2540" s="15" t="str">
        <f t="shared" si="39"/>
        <v>Mt.Sinai Sch of Nursing-AR - RCF</v>
      </c>
      <c r="E2540" s="12" t="s">
        <v>154</v>
      </c>
      <c r="F2540" s="12" t="s">
        <v>163</v>
      </c>
      <c r="G2540" s="12" t="s">
        <v>164</v>
      </c>
      <c r="H2540" s="12" t="s">
        <v>1025</v>
      </c>
      <c r="I2540" s="12" t="s">
        <v>87</v>
      </c>
    </row>
    <row r="2541" spans="1:9">
      <c r="A2541" s="14">
        <v>12108</v>
      </c>
      <c r="B2541" s="14" t="s">
        <v>516</v>
      </c>
      <c r="C2541" s="12" t="s">
        <v>185</v>
      </c>
      <c r="D2541" s="15" t="str">
        <f t="shared" si="39"/>
        <v>Mt.Sinai Sch of Nursing-AR - TPS</v>
      </c>
      <c r="E2541" s="12" t="s">
        <v>154</v>
      </c>
      <c r="F2541" s="12" t="s">
        <v>163</v>
      </c>
      <c r="G2541" s="12" t="s">
        <v>164</v>
      </c>
      <c r="H2541" s="12" t="s">
        <v>1025</v>
      </c>
      <c r="I2541" s="12" t="s">
        <v>87</v>
      </c>
    </row>
    <row r="2542" spans="1:9">
      <c r="A2542" s="14">
        <v>12116</v>
      </c>
      <c r="B2542" s="14" t="s">
        <v>519</v>
      </c>
      <c r="C2542" s="12" t="s">
        <v>133</v>
      </c>
      <c r="D2542" s="15" t="str">
        <f t="shared" si="39"/>
        <v>MultiPlan - AMG</v>
      </c>
      <c r="E2542" s="12" t="s">
        <v>141</v>
      </c>
      <c r="F2542" s="12" t="s">
        <v>163</v>
      </c>
      <c r="G2542" s="12" t="s">
        <v>164</v>
      </c>
      <c r="H2542" s="12" t="s">
        <v>1025</v>
      </c>
      <c r="I2542" s="12" t="s">
        <v>87</v>
      </c>
    </row>
    <row r="2543" spans="1:9">
      <c r="A2543" s="14">
        <v>12116</v>
      </c>
      <c r="B2543" s="14" t="s">
        <v>519</v>
      </c>
      <c r="C2543" s="12" t="s">
        <v>116</v>
      </c>
      <c r="D2543" s="15" t="str">
        <f t="shared" si="39"/>
        <v>MultiPlan - PRD</v>
      </c>
      <c r="E2543" s="12" t="s">
        <v>141</v>
      </c>
      <c r="F2543" s="12" t="s">
        <v>163</v>
      </c>
      <c r="G2543" s="12" t="s">
        <v>164</v>
      </c>
      <c r="H2543" s="12" t="s">
        <v>1025</v>
      </c>
      <c r="I2543" s="12" t="s">
        <v>87</v>
      </c>
    </row>
    <row r="2544" spans="1:9">
      <c r="A2544" s="14">
        <v>12116</v>
      </c>
      <c r="B2544" s="14" t="s">
        <v>519</v>
      </c>
      <c r="C2544" s="12" t="s">
        <v>111</v>
      </c>
      <c r="D2544" s="15" t="str">
        <f t="shared" si="39"/>
        <v>MultiPlan - QLY</v>
      </c>
      <c r="E2544" s="12" t="s">
        <v>118</v>
      </c>
      <c r="F2544" s="12" t="s">
        <v>113</v>
      </c>
      <c r="G2544" s="12" t="s">
        <v>114</v>
      </c>
      <c r="H2544" s="12" t="s">
        <v>1025</v>
      </c>
      <c r="I2544" s="12" t="s">
        <v>87</v>
      </c>
    </row>
    <row r="2545" spans="1:9">
      <c r="A2545" s="14">
        <v>12116</v>
      </c>
      <c r="B2545" s="14" t="s">
        <v>519</v>
      </c>
      <c r="C2545" s="12" t="s">
        <v>172</v>
      </c>
      <c r="D2545" s="15" t="str">
        <f t="shared" si="39"/>
        <v>MultiPlan - SME</v>
      </c>
      <c r="E2545" s="12" t="s">
        <v>141</v>
      </c>
      <c r="F2545" s="12" t="s">
        <v>163</v>
      </c>
      <c r="G2545" s="12" t="s">
        <v>164</v>
      </c>
      <c r="H2545" s="12" t="s">
        <v>1025</v>
      </c>
      <c r="I2545" s="12" t="s">
        <v>87</v>
      </c>
    </row>
    <row r="2546" spans="1:9">
      <c r="A2546" s="14">
        <v>12116</v>
      </c>
      <c r="B2546" s="14" t="s">
        <v>519</v>
      </c>
      <c r="C2546" s="12" t="s">
        <v>180</v>
      </c>
      <c r="D2546" s="15" t="str">
        <f t="shared" si="39"/>
        <v>MultiPlan - TMG</v>
      </c>
      <c r="E2546" s="12" t="s">
        <v>141</v>
      </c>
      <c r="F2546" s="12" t="s">
        <v>163</v>
      </c>
      <c r="G2546" s="12" t="s">
        <v>164</v>
      </c>
      <c r="H2546" s="12" t="s">
        <v>1025</v>
      </c>
      <c r="I2546" s="12" t="s">
        <v>87</v>
      </c>
    </row>
    <row r="2547" spans="1:9">
      <c r="A2547" s="14">
        <v>12116</v>
      </c>
      <c r="B2547" s="14" t="s">
        <v>519</v>
      </c>
      <c r="C2547" s="12" t="s">
        <v>185</v>
      </c>
      <c r="D2547" s="15" t="str">
        <f t="shared" si="39"/>
        <v>MultiPlan - TPS</v>
      </c>
      <c r="E2547" s="12" t="s">
        <v>141</v>
      </c>
      <c r="F2547" s="12" t="s">
        <v>163</v>
      </c>
      <c r="G2547" s="12" t="s">
        <v>164</v>
      </c>
      <c r="H2547" s="12" t="s">
        <v>1025</v>
      </c>
      <c r="I2547" s="12" t="s">
        <v>87</v>
      </c>
    </row>
    <row r="2548" spans="1:9">
      <c r="A2548" s="14">
        <v>12608</v>
      </c>
      <c r="B2548" s="14" t="s">
        <v>599</v>
      </c>
      <c r="C2548" s="12" t="s">
        <v>116</v>
      </c>
      <c r="D2548" s="15" t="str">
        <f t="shared" si="39"/>
        <v>NCSBN - Nursys.Org Tech Migrat - PRD</v>
      </c>
      <c r="E2548" s="12" t="s">
        <v>117</v>
      </c>
      <c r="F2548" s="12" t="s">
        <v>117</v>
      </c>
      <c r="G2548" s="12" t="s">
        <v>117</v>
      </c>
      <c r="H2548" s="12" t="s">
        <v>1025</v>
      </c>
      <c r="I2548" s="12" t="s">
        <v>87</v>
      </c>
    </row>
    <row r="2549" spans="1:9">
      <c r="A2549" s="14">
        <v>95102</v>
      </c>
      <c r="B2549" s="14" t="s">
        <v>762</v>
      </c>
      <c r="C2549" s="12" t="s">
        <v>415</v>
      </c>
      <c r="D2549" s="15" t="str">
        <f t="shared" si="39"/>
        <v>Networking - GTI</v>
      </c>
      <c r="E2549" s="12" t="s">
        <v>118</v>
      </c>
      <c r="F2549" s="12" t="s">
        <v>763</v>
      </c>
      <c r="G2549" s="12" t="s">
        <v>264</v>
      </c>
      <c r="H2549" s="12" t="s">
        <v>1025</v>
      </c>
      <c r="I2549" s="12" t="s">
        <v>87</v>
      </c>
    </row>
    <row r="2550" spans="1:9">
      <c r="A2550" s="14">
        <v>95102</v>
      </c>
      <c r="B2550" s="14" t="s">
        <v>762</v>
      </c>
      <c r="C2550" s="12" t="s">
        <v>129</v>
      </c>
      <c r="D2550" s="15" t="str">
        <f t="shared" si="39"/>
        <v>Networking - MGT</v>
      </c>
      <c r="E2550" s="12" t="s">
        <v>118</v>
      </c>
      <c r="F2550" s="12" t="s">
        <v>763</v>
      </c>
      <c r="G2550" s="12" t="s">
        <v>264</v>
      </c>
      <c r="H2550" s="12" t="s">
        <v>1025</v>
      </c>
      <c r="I2550" s="12" t="s">
        <v>87</v>
      </c>
    </row>
    <row r="2551" spans="1:9">
      <c r="A2551" s="14">
        <v>95102</v>
      </c>
      <c r="B2551" s="14" t="s">
        <v>762</v>
      </c>
      <c r="C2551" s="12" t="s">
        <v>139</v>
      </c>
      <c r="D2551" s="15" t="str">
        <f t="shared" si="39"/>
        <v>Networking - SMGT</v>
      </c>
      <c r="E2551" s="12" t="s">
        <v>118</v>
      </c>
      <c r="F2551" s="12" t="s">
        <v>763</v>
      </c>
      <c r="G2551" s="12" t="s">
        <v>264</v>
      </c>
      <c r="H2551" s="12" t="s">
        <v>1025</v>
      </c>
      <c r="I2551" s="12" t="s">
        <v>87</v>
      </c>
    </row>
    <row r="2552" spans="1:9">
      <c r="A2552" s="14">
        <v>95102</v>
      </c>
      <c r="B2552" s="14" t="s">
        <v>762</v>
      </c>
      <c r="C2552" s="12" t="s">
        <v>145</v>
      </c>
      <c r="D2552" s="15" t="str">
        <f t="shared" si="39"/>
        <v>Networking - SUP</v>
      </c>
      <c r="E2552" s="12" t="s">
        <v>118</v>
      </c>
      <c r="F2552" s="12" t="s">
        <v>763</v>
      </c>
      <c r="G2552" s="12" t="s">
        <v>264</v>
      </c>
      <c r="H2552" s="12" t="s">
        <v>1025</v>
      </c>
      <c r="I2552" s="12" t="s">
        <v>87</v>
      </c>
    </row>
    <row r="2553" spans="1:9">
      <c r="A2553" s="14">
        <v>12625</v>
      </c>
      <c r="B2553" s="14" t="s">
        <v>605</v>
      </c>
      <c r="C2553" s="12" t="s">
        <v>145</v>
      </c>
      <c r="D2553" s="15" t="str">
        <f t="shared" si="39"/>
        <v>NextGen - Support - SUP</v>
      </c>
      <c r="E2553" s="12" t="s">
        <v>117</v>
      </c>
      <c r="F2553" s="12" t="s">
        <v>117</v>
      </c>
      <c r="G2553" s="12" t="s">
        <v>117</v>
      </c>
      <c r="H2553" s="12" t="s">
        <v>1025</v>
      </c>
      <c r="I2553" s="12" t="s">
        <v>87</v>
      </c>
    </row>
    <row r="2554" spans="1:9">
      <c r="A2554" s="14">
        <v>12525</v>
      </c>
      <c r="B2554" s="14" t="s">
        <v>576</v>
      </c>
      <c r="C2554" s="12" t="s">
        <v>116</v>
      </c>
      <c r="D2554" s="15" t="str">
        <f t="shared" si="39"/>
        <v>NextGen Healthcare - PRD</v>
      </c>
      <c r="E2554" s="12" t="s">
        <v>117</v>
      </c>
      <c r="F2554" s="12" t="s">
        <v>117</v>
      </c>
      <c r="G2554" s="12" t="s">
        <v>117</v>
      </c>
      <c r="H2554" s="12" t="s">
        <v>1025</v>
      </c>
      <c r="I2554" s="12" t="s">
        <v>87</v>
      </c>
    </row>
    <row r="2555" spans="1:9">
      <c r="A2555" s="14">
        <v>12525</v>
      </c>
      <c r="B2555" s="14" t="s">
        <v>576</v>
      </c>
      <c r="C2555" s="12" t="s">
        <v>145</v>
      </c>
      <c r="D2555" s="15" t="str">
        <f t="shared" si="39"/>
        <v>NextGen Healthcare - SUP</v>
      </c>
      <c r="E2555" s="12" t="s">
        <v>117</v>
      </c>
      <c r="F2555" s="12" t="s">
        <v>117</v>
      </c>
      <c r="G2555" s="12" t="s">
        <v>117</v>
      </c>
      <c r="H2555" s="12" t="s">
        <v>1025</v>
      </c>
      <c r="I2555" s="12" t="s">
        <v>87</v>
      </c>
    </row>
    <row r="2556" spans="1:9">
      <c r="A2556" s="14">
        <v>12563</v>
      </c>
      <c r="B2556" s="14" t="s">
        <v>588</v>
      </c>
      <c r="C2556" s="12" t="s">
        <v>116</v>
      </c>
      <c r="D2556" s="15" t="str">
        <f t="shared" si="39"/>
        <v>Northwell - Credentialing - PRD</v>
      </c>
      <c r="E2556" s="12" t="s">
        <v>141</v>
      </c>
      <c r="F2556" s="12" t="s">
        <v>163</v>
      </c>
      <c r="G2556" s="12" t="s">
        <v>164</v>
      </c>
      <c r="H2556" s="12" t="s">
        <v>1025</v>
      </c>
      <c r="I2556" s="12" t="s">
        <v>87</v>
      </c>
    </row>
    <row r="2557" spans="1:9">
      <c r="A2557" s="14">
        <v>12472</v>
      </c>
      <c r="B2557" s="14" t="s">
        <v>560</v>
      </c>
      <c r="C2557" s="12" t="s">
        <v>116</v>
      </c>
      <c r="D2557" s="15" t="str">
        <f t="shared" si="39"/>
        <v>Northwell – PDM Tools - PRD</v>
      </c>
      <c r="E2557" s="12" t="s">
        <v>117</v>
      </c>
      <c r="F2557" s="12" t="s">
        <v>117</v>
      </c>
      <c r="G2557" s="12" t="s">
        <v>117</v>
      </c>
      <c r="H2557" s="12" t="s">
        <v>1025</v>
      </c>
      <c r="I2557" s="12" t="s">
        <v>87</v>
      </c>
    </row>
    <row r="2558" spans="1:9">
      <c r="A2558" s="14">
        <v>12576</v>
      </c>
      <c r="B2558" s="14" t="s">
        <v>592</v>
      </c>
      <c r="C2558" s="12" t="s">
        <v>116</v>
      </c>
      <c r="D2558" s="15" t="str">
        <f t="shared" si="39"/>
        <v>Northwell - RCM Dental - PRD</v>
      </c>
      <c r="E2558" s="12" t="s">
        <v>154</v>
      </c>
      <c r="F2558" s="12" t="s">
        <v>163</v>
      </c>
      <c r="G2558" s="12" t="s">
        <v>164</v>
      </c>
      <c r="H2558" s="12" t="s">
        <v>1025</v>
      </c>
      <c r="I2558" s="12" t="s">
        <v>87</v>
      </c>
    </row>
    <row r="2559" spans="1:9">
      <c r="A2559" s="14">
        <v>12420</v>
      </c>
      <c r="B2559" s="14" t="s">
        <v>544</v>
      </c>
      <c r="C2559" s="12" t="s">
        <v>116</v>
      </c>
      <c r="D2559" s="15" t="str">
        <f t="shared" si="39"/>
        <v>Northwell - RPA - PRD</v>
      </c>
      <c r="E2559" s="12" t="s">
        <v>118</v>
      </c>
      <c r="F2559" s="12" t="s">
        <v>117</v>
      </c>
      <c r="G2559" s="12" t="s">
        <v>117</v>
      </c>
      <c r="H2559" s="12" t="s">
        <v>1025</v>
      </c>
      <c r="I2559" s="12" t="s">
        <v>87</v>
      </c>
    </row>
    <row r="2560" spans="1:9">
      <c r="A2560" s="14">
        <v>12420</v>
      </c>
      <c r="B2560" s="14" t="s">
        <v>544</v>
      </c>
      <c r="C2560" s="12" t="s">
        <v>145</v>
      </c>
      <c r="D2560" s="15" t="str">
        <f t="shared" si="39"/>
        <v>Northwell - RPA - SUP</v>
      </c>
      <c r="E2560" s="12" t="s">
        <v>118</v>
      </c>
      <c r="F2560" s="12" t="s">
        <v>117</v>
      </c>
      <c r="G2560" s="12" t="s">
        <v>117</v>
      </c>
      <c r="H2560" s="12" t="s">
        <v>1025</v>
      </c>
      <c r="I2560" s="12" t="s">
        <v>87</v>
      </c>
    </row>
    <row r="2561" spans="1:9">
      <c r="A2561" s="14">
        <v>12124</v>
      </c>
      <c r="B2561" s="14" t="s">
        <v>520</v>
      </c>
      <c r="C2561" s="12" t="s">
        <v>224</v>
      </c>
      <c r="D2561" s="15" t="str">
        <f t="shared" si="39"/>
        <v>Northwell Commercial AR - ACM</v>
      </c>
      <c r="E2561" s="12" t="s">
        <v>154</v>
      </c>
      <c r="F2561" s="12" t="s">
        <v>163</v>
      </c>
      <c r="G2561" s="12" t="s">
        <v>164</v>
      </c>
      <c r="H2561" s="12" t="s">
        <v>1025</v>
      </c>
      <c r="I2561" s="12" t="s">
        <v>87</v>
      </c>
    </row>
    <row r="2562" spans="1:9">
      <c r="A2562" s="14">
        <v>12124</v>
      </c>
      <c r="B2562" s="14" t="s">
        <v>520</v>
      </c>
      <c r="C2562" s="12" t="s">
        <v>177</v>
      </c>
      <c r="D2562" s="15" t="str">
        <f t="shared" ref="D2562:D2625" si="40">B2562&amp;" - "&amp;C2562</f>
        <v>Northwell Commercial AR - OPS</v>
      </c>
      <c r="E2562" s="12" t="s">
        <v>154</v>
      </c>
      <c r="F2562" s="12" t="s">
        <v>163</v>
      </c>
      <c r="G2562" s="12" t="s">
        <v>164</v>
      </c>
      <c r="H2562" s="12" t="s">
        <v>1025</v>
      </c>
      <c r="I2562" s="12" t="s">
        <v>87</v>
      </c>
    </row>
    <row r="2563" spans="1:9">
      <c r="A2563" s="14">
        <v>12124</v>
      </c>
      <c r="B2563" s="14" t="s">
        <v>520</v>
      </c>
      <c r="C2563" s="12" t="s">
        <v>116</v>
      </c>
      <c r="D2563" s="15" t="str">
        <f t="shared" si="40"/>
        <v>Northwell Commercial AR - PRD</v>
      </c>
      <c r="E2563" s="12" t="s">
        <v>154</v>
      </c>
      <c r="F2563" s="12" t="s">
        <v>163</v>
      </c>
      <c r="G2563" s="12" t="s">
        <v>164</v>
      </c>
      <c r="H2563" s="12" t="s">
        <v>1025</v>
      </c>
      <c r="I2563" s="12" t="s">
        <v>87</v>
      </c>
    </row>
    <row r="2564" spans="1:9">
      <c r="A2564" s="14">
        <v>12124</v>
      </c>
      <c r="B2564" s="14" t="s">
        <v>520</v>
      </c>
      <c r="C2564" s="12" t="s">
        <v>111</v>
      </c>
      <c r="D2564" s="15" t="str">
        <f t="shared" si="40"/>
        <v>Northwell Commercial AR - QLY</v>
      </c>
      <c r="E2564" s="12" t="s">
        <v>118</v>
      </c>
      <c r="F2564" s="12" t="s">
        <v>113</v>
      </c>
      <c r="G2564" s="12" t="s">
        <v>114</v>
      </c>
      <c r="H2564" s="12" t="s">
        <v>1025</v>
      </c>
      <c r="I2564" s="12" t="s">
        <v>87</v>
      </c>
    </row>
    <row r="2565" spans="1:9">
      <c r="A2565" s="14">
        <v>12124</v>
      </c>
      <c r="B2565" s="14" t="s">
        <v>520</v>
      </c>
      <c r="C2565" s="12" t="s">
        <v>332</v>
      </c>
      <c r="D2565" s="15" t="str">
        <f t="shared" si="40"/>
        <v>Northwell Commercial AR - RCF</v>
      </c>
      <c r="E2565" s="12" t="s">
        <v>154</v>
      </c>
      <c r="F2565" s="12" t="s">
        <v>163</v>
      </c>
      <c r="G2565" s="12" t="s">
        <v>164</v>
      </c>
      <c r="H2565" s="12" t="s">
        <v>1025</v>
      </c>
      <c r="I2565" s="12" t="s">
        <v>87</v>
      </c>
    </row>
    <row r="2566" spans="1:9">
      <c r="A2566" s="14">
        <v>12124</v>
      </c>
      <c r="B2566" s="14" t="s">
        <v>520</v>
      </c>
      <c r="C2566" s="12" t="s">
        <v>145</v>
      </c>
      <c r="D2566" s="15" t="str">
        <f t="shared" si="40"/>
        <v>Northwell Commercial AR - SUP</v>
      </c>
      <c r="E2566" s="12" t="s">
        <v>154</v>
      </c>
      <c r="F2566" s="12" t="s">
        <v>163</v>
      </c>
      <c r="G2566" s="12" t="s">
        <v>164</v>
      </c>
      <c r="H2566" s="12" t="s">
        <v>1025</v>
      </c>
      <c r="I2566" s="12" t="s">
        <v>87</v>
      </c>
    </row>
    <row r="2567" spans="1:9">
      <c r="A2567" s="14">
        <v>12124</v>
      </c>
      <c r="B2567" s="14" t="s">
        <v>520</v>
      </c>
      <c r="C2567" s="12" t="s">
        <v>180</v>
      </c>
      <c r="D2567" s="15" t="str">
        <f t="shared" si="40"/>
        <v>Northwell Commercial AR - TMG</v>
      </c>
      <c r="E2567" s="12" t="s">
        <v>154</v>
      </c>
      <c r="F2567" s="12" t="s">
        <v>163</v>
      </c>
      <c r="G2567" s="12" t="s">
        <v>164</v>
      </c>
      <c r="H2567" s="12" t="s">
        <v>1025</v>
      </c>
      <c r="I2567" s="12" t="s">
        <v>87</v>
      </c>
    </row>
    <row r="2568" spans="1:9">
      <c r="A2568" s="14">
        <v>12124</v>
      </c>
      <c r="B2568" s="14" t="s">
        <v>520</v>
      </c>
      <c r="C2568" s="12" t="s">
        <v>185</v>
      </c>
      <c r="D2568" s="15" t="str">
        <f t="shared" si="40"/>
        <v>Northwell Commercial AR - TPS</v>
      </c>
      <c r="E2568" s="12" t="s">
        <v>154</v>
      </c>
      <c r="F2568" s="12" t="s">
        <v>163</v>
      </c>
      <c r="G2568" s="12" t="s">
        <v>164</v>
      </c>
      <c r="H2568" s="12" t="s">
        <v>1025</v>
      </c>
      <c r="I2568" s="12" t="s">
        <v>87</v>
      </c>
    </row>
    <row r="2569" spans="1:9">
      <c r="A2569" s="14">
        <v>12125</v>
      </c>
      <c r="B2569" s="14" t="s">
        <v>522</v>
      </c>
      <c r="C2569" s="12" t="s">
        <v>224</v>
      </c>
      <c r="D2569" s="15" t="str">
        <f t="shared" si="40"/>
        <v>Northwell Missing Check Proj - ACM</v>
      </c>
      <c r="E2569" s="12" t="s">
        <v>154</v>
      </c>
      <c r="F2569" s="12" t="s">
        <v>163</v>
      </c>
      <c r="G2569" s="12" t="s">
        <v>164</v>
      </c>
      <c r="H2569" s="12" t="s">
        <v>1025</v>
      </c>
      <c r="I2569" s="12" t="s">
        <v>87</v>
      </c>
    </row>
    <row r="2570" spans="1:9">
      <c r="A2570" s="14">
        <v>12125</v>
      </c>
      <c r="B2570" s="14" t="s">
        <v>522</v>
      </c>
      <c r="C2570" s="12" t="s">
        <v>177</v>
      </c>
      <c r="D2570" s="15" t="str">
        <f t="shared" si="40"/>
        <v>Northwell Missing Check Proj - OPS</v>
      </c>
      <c r="E2570" s="12" t="s">
        <v>154</v>
      </c>
      <c r="F2570" s="12" t="s">
        <v>163</v>
      </c>
      <c r="G2570" s="12" t="s">
        <v>164</v>
      </c>
      <c r="H2570" s="12" t="s">
        <v>1025</v>
      </c>
      <c r="I2570" s="12" t="s">
        <v>87</v>
      </c>
    </row>
    <row r="2571" spans="1:9">
      <c r="A2571" s="14">
        <v>12125</v>
      </c>
      <c r="B2571" s="14" t="s">
        <v>522</v>
      </c>
      <c r="C2571" s="12" t="s">
        <v>116</v>
      </c>
      <c r="D2571" s="15" t="str">
        <f t="shared" si="40"/>
        <v>Northwell Missing Check Proj - PRD</v>
      </c>
      <c r="E2571" s="12" t="s">
        <v>154</v>
      </c>
      <c r="F2571" s="12" t="s">
        <v>163</v>
      </c>
      <c r="G2571" s="12" t="s">
        <v>164</v>
      </c>
      <c r="H2571" s="12" t="s">
        <v>1025</v>
      </c>
      <c r="I2571" s="12" t="s">
        <v>87</v>
      </c>
    </row>
    <row r="2572" spans="1:9">
      <c r="A2572" s="14">
        <v>12125</v>
      </c>
      <c r="B2572" s="14" t="s">
        <v>522</v>
      </c>
      <c r="C2572" s="12" t="s">
        <v>332</v>
      </c>
      <c r="D2572" s="15" t="str">
        <f t="shared" si="40"/>
        <v>Northwell Missing Check Proj - RCF</v>
      </c>
      <c r="E2572" s="12" t="s">
        <v>154</v>
      </c>
      <c r="F2572" s="12" t="s">
        <v>163</v>
      </c>
      <c r="G2572" s="12" t="s">
        <v>164</v>
      </c>
      <c r="H2572" s="12" t="s">
        <v>1025</v>
      </c>
      <c r="I2572" s="12" t="s">
        <v>87</v>
      </c>
    </row>
    <row r="2573" spans="1:9">
      <c r="A2573" s="14">
        <v>12125</v>
      </c>
      <c r="B2573" s="14" t="s">
        <v>522</v>
      </c>
      <c r="C2573" s="12" t="s">
        <v>180</v>
      </c>
      <c r="D2573" s="15" t="str">
        <f t="shared" si="40"/>
        <v>Northwell Missing Check Proj - TMG</v>
      </c>
      <c r="E2573" s="12" t="s">
        <v>154</v>
      </c>
      <c r="F2573" s="12" t="s">
        <v>163</v>
      </c>
      <c r="G2573" s="12" t="s">
        <v>164</v>
      </c>
      <c r="H2573" s="12" t="s">
        <v>1025</v>
      </c>
      <c r="I2573" s="12" t="s">
        <v>87</v>
      </c>
    </row>
    <row r="2574" spans="1:9">
      <c r="A2574" s="14">
        <v>12125</v>
      </c>
      <c r="B2574" s="14" t="s">
        <v>522</v>
      </c>
      <c r="C2574" s="12" t="s">
        <v>185</v>
      </c>
      <c r="D2574" s="15" t="str">
        <f t="shared" si="40"/>
        <v>Northwell Missing Check Proj - TPS</v>
      </c>
      <c r="E2574" s="12" t="s">
        <v>154</v>
      </c>
      <c r="F2574" s="12" t="s">
        <v>163</v>
      </c>
      <c r="G2574" s="12" t="s">
        <v>164</v>
      </c>
      <c r="H2574" s="12" t="s">
        <v>1025</v>
      </c>
      <c r="I2574" s="12" t="s">
        <v>87</v>
      </c>
    </row>
    <row r="2575" spans="1:9">
      <c r="A2575" s="14">
        <v>12502</v>
      </c>
      <c r="B2575" s="14" t="s">
        <v>568</v>
      </c>
      <c r="C2575" s="12" t="s">
        <v>177</v>
      </c>
      <c r="D2575" s="15" t="str">
        <f t="shared" si="40"/>
        <v>Northwell RCM - PAP - OPS</v>
      </c>
      <c r="E2575" s="12" t="s">
        <v>154</v>
      </c>
      <c r="F2575" s="12" t="s">
        <v>163</v>
      </c>
      <c r="G2575" s="12" t="s">
        <v>164</v>
      </c>
      <c r="H2575" s="12" t="s">
        <v>1025</v>
      </c>
      <c r="I2575" s="12" t="s">
        <v>87</v>
      </c>
    </row>
    <row r="2576" spans="1:9">
      <c r="A2576" s="14">
        <v>12502</v>
      </c>
      <c r="B2576" s="14" t="s">
        <v>568</v>
      </c>
      <c r="C2576" s="12" t="s">
        <v>116</v>
      </c>
      <c r="D2576" s="15" t="str">
        <f t="shared" si="40"/>
        <v>Northwell RCM - PAP - PRD</v>
      </c>
      <c r="E2576" s="12" t="s">
        <v>154</v>
      </c>
      <c r="F2576" s="12" t="s">
        <v>163</v>
      </c>
      <c r="G2576" s="12" t="s">
        <v>164</v>
      </c>
      <c r="H2576" s="12" t="s">
        <v>1025</v>
      </c>
      <c r="I2576" s="12" t="s">
        <v>87</v>
      </c>
    </row>
    <row r="2577" spans="1:9">
      <c r="A2577" s="14">
        <v>12614</v>
      </c>
      <c r="B2577" s="14" t="s">
        <v>601</v>
      </c>
      <c r="C2577" s="12" t="s">
        <v>116</v>
      </c>
      <c r="D2577" s="15" t="str">
        <f t="shared" si="40"/>
        <v>Northwell RCM - SurgiCare - PRD</v>
      </c>
      <c r="E2577" s="12" t="s">
        <v>154</v>
      </c>
      <c r="F2577" s="12" t="s">
        <v>163</v>
      </c>
      <c r="G2577" s="12" t="s">
        <v>164</v>
      </c>
      <c r="H2577" s="12" t="s">
        <v>1025</v>
      </c>
      <c r="I2577" s="12" t="s">
        <v>87</v>
      </c>
    </row>
    <row r="2578" spans="1:9">
      <c r="A2578" s="14">
        <v>12626</v>
      </c>
      <c r="B2578" s="14" t="s">
        <v>606</v>
      </c>
      <c r="C2578" s="12" t="s">
        <v>185</v>
      </c>
      <c r="D2578" s="15" t="str">
        <f t="shared" si="40"/>
        <v>Northwell RCM – Gastro - TPS</v>
      </c>
      <c r="E2578" s="12" t="s">
        <v>154</v>
      </c>
      <c r="F2578" s="12" t="s">
        <v>163</v>
      </c>
      <c r="G2578" s="12" t="s">
        <v>164</v>
      </c>
      <c r="H2578" s="12" t="s">
        <v>1025</v>
      </c>
      <c r="I2578" s="12" t="s">
        <v>87</v>
      </c>
    </row>
    <row r="2579" spans="1:9">
      <c r="A2579" s="14">
        <v>12635</v>
      </c>
      <c r="B2579" s="14" t="s">
        <v>609</v>
      </c>
      <c r="C2579" s="12" t="s">
        <v>185</v>
      </c>
      <c r="D2579" s="15" t="str">
        <f t="shared" si="40"/>
        <v>Northwell RCM-Neurology Legacy - TPS</v>
      </c>
      <c r="E2579" s="12" t="s">
        <v>154</v>
      </c>
      <c r="F2579" s="12" t="s">
        <v>163</v>
      </c>
      <c r="G2579" s="12" t="s">
        <v>164</v>
      </c>
      <c r="H2579" s="12" t="s">
        <v>1025</v>
      </c>
      <c r="I2579" s="12" t="s">
        <v>87</v>
      </c>
    </row>
    <row r="2580" spans="1:9">
      <c r="A2580" s="14">
        <v>12126</v>
      </c>
      <c r="B2580" s="14" t="s">
        <v>523</v>
      </c>
      <c r="C2580" s="12" t="s">
        <v>116</v>
      </c>
      <c r="D2580" s="15" t="str">
        <f t="shared" si="40"/>
        <v>Northwell_Coding Services - PRD</v>
      </c>
      <c r="E2580" s="12" t="s">
        <v>159</v>
      </c>
      <c r="F2580" s="12" t="s">
        <v>237</v>
      </c>
      <c r="G2580" s="12" t="s">
        <v>238</v>
      </c>
      <c r="H2580" s="12" t="s">
        <v>1025</v>
      </c>
      <c r="I2580" s="12" t="s">
        <v>87</v>
      </c>
    </row>
    <row r="2581" spans="1:9">
      <c r="A2581" s="14">
        <v>12126</v>
      </c>
      <c r="B2581" s="14" t="s">
        <v>523</v>
      </c>
      <c r="C2581" s="12" t="s">
        <v>230</v>
      </c>
      <c r="D2581" s="15" t="str">
        <f t="shared" si="40"/>
        <v>Northwell_Coding Services - PRSP</v>
      </c>
      <c r="E2581" s="12" t="s">
        <v>159</v>
      </c>
      <c r="F2581" s="12" t="s">
        <v>237</v>
      </c>
      <c r="G2581" s="12" t="s">
        <v>238</v>
      </c>
      <c r="H2581" s="12" t="s">
        <v>1025</v>
      </c>
      <c r="I2581" s="12" t="s">
        <v>87</v>
      </c>
    </row>
    <row r="2582" spans="1:9">
      <c r="A2582" s="14">
        <v>12126</v>
      </c>
      <c r="B2582" s="14" t="s">
        <v>523</v>
      </c>
      <c r="C2582" s="12" t="s">
        <v>145</v>
      </c>
      <c r="D2582" s="15" t="str">
        <f t="shared" si="40"/>
        <v>Northwell_Coding Services - SUP</v>
      </c>
      <c r="E2582" s="12" t="s">
        <v>159</v>
      </c>
      <c r="F2582" s="12" t="s">
        <v>237</v>
      </c>
      <c r="G2582" s="12" t="s">
        <v>238</v>
      </c>
      <c r="H2582" s="12" t="s">
        <v>1025</v>
      </c>
      <c r="I2582" s="12" t="s">
        <v>87</v>
      </c>
    </row>
    <row r="2583" spans="1:9">
      <c r="A2583" s="14">
        <v>12126</v>
      </c>
      <c r="B2583" s="14" t="s">
        <v>523</v>
      </c>
      <c r="C2583" s="12" t="s">
        <v>185</v>
      </c>
      <c r="D2583" s="15" t="str">
        <f t="shared" si="40"/>
        <v>Northwell_Coding Services - TPS</v>
      </c>
      <c r="E2583" s="12" t="s">
        <v>159</v>
      </c>
      <c r="F2583" s="12" t="s">
        <v>237</v>
      </c>
      <c r="G2583" s="12" t="s">
        <v>238</v>
      </c>
      <c r="H2583" s="12" t="s">
        <v>1025</v>
      </c>
      <c r="I2583" s="12" t="s">
        <v>87</v>
      </c>
    </row>
    <row r="2584" spans="1:9">
      <c r="A2584" s="14">
        <v>12413</v>
      </c>
      <c r="B2584" s="14" t="s">
        <v>543</v>
      </c>
      <c r="C2584" s="12" t="s">
        <v>116</v>
      </c>
      <c r="D2584" s="15" t="str">
        <f t="shared" si="40"/>
        <v>Nyack In-Patient - Coding - PRD</v>
      </c>
      <c r="E2584" s="12" t="s">
        <v>159</v>
      </c>
      <c r="F2584" s="12" t="s">
        <v>237</v>
      </c>
      <c r="G2584" s="12" t="s">
        <v>238</v>
      </c>
      <c r="H2584" s="12" t="s">
        <v>1025</v>
      </c>
      <c r="I2584" s="12" t="s">
        <v>87</v>
      </c>
    </row>
    <row r="2585" spans="1:9">
      <c r="A2585" s="14">
        <v>12413</v>
      </c>
      <c r="B2585" s="14" t="s">
        <v>543</v>
      </c>
      <c r="C2585" s="12" t="s">
        <v>145</v>
      </c>
      <c r="D2585" s="15" t="str">
        <f t="shared" si="40"/>
        <v>Nyack In-Patient - Coding - SUP</v>
      </c>
      <c r="E2585" s="12" t="s">
        <v>159</v>
      </c>
      <c r="F2585" s="12" t="s">
        <v>237</v>
      </c>
      <c r="G2585" s="12" t="s">
        <v>238</v>
      </c>
      <c r="H2585" s="12" t="s">
        <v>1025</v>
      </c>
      <c r="I2585" s="12" t="s">
        <v>87</v>
      </c>
    </row>
    <row r="2586" spans="1:9">
      <c r="A2586" s="14">
        <v>12413</v>
      </c>
      <c r="B2586" s="14" t="s">
        <v>543</v>
      </c>
      <c r="C2586" s="12" t="s">
        <v>185</v>
      </c>
      <c r="D2586" s="15" t="str">
        <f t="shared" si="40"/>
        <v>Nyack In-Patient - Coding - TPS</v>
      </c>
      <c r="E2586" s="12" t="s">
        <v>159</v>
      </c>
      <c r="F2586" s="12" t="s">
        <v>237</v>
      </c>
      <c r="G2586" s="12" t="s">
        <v>238</v>
      </c>
      <c r="H2586" s="12" t="s">
        <v>1025</v>
      </c>
      <c r="I2586" s="12" t="s">
        <v>87</v>
      </c>
    </row>
    <row r="2587" spans="1:9">
      <c r="A2587" s="14">
        <v>12422</v>
      </c>
      <c r="B2587" s="14" t="s">
        <v>548</v>
      </c>
      <c r="C2587" s="12" t="s">
        <v>230</v>
      </c>
      <c r="D2587" s="15" t="str">
        <f t="shared" si="40"/>
        <v>NYC Health - Coding - PRSP</v>
      </c>
      <c r="E2587" s="12" t="s">
        <v>159</v>
      </c>
      <c r="F2587" s="12" t="s">
        <v>237</v>
      </c>
      <c r="G2587" s="12" t="s">
        <v>238</v>
      </c>
      <c r="H2587" s="12" t="s">
        <v>1025</v>
      </c>
      <c r="I2587" s="12" t="s">
        <v>87</v>
      </c>
    </row>
    <row r="2588" spans="1:9">
      <c r="A2588" s="14">
        <v>12422</v>
      </c>
      <c r="B2588" s="14" t="s">
        <v>548</v>
      </c>
      <c r="C2588" s="12" t="s">
        <v>185</v>
      </c>
      <c r="D2588" s="15" t="str">
        <f t="shared" si="40"/>
        <v>NYC Health - Coding - TPS</v>
      </c>
      <c r="E2588" s="12" t="s">
        <v>159</v>
      </c>
      <c r="F2588" s="12" t="s">
        <v>237</v>
      </c>
      <c r="G2588" s="12" t="s">
        <v>238</v>
      </c>
      <c r="H2588" s="12" t="s">
        <v>1025</v>
      </c>
      <c r="I2588" s="12" t="s">
        <v>87</v>
      </c>
    </row>
    <row r="2589" spans="1:9">
      <c r="A2589" s="14">
        <v>12431</v>
      </c>
      <c r="B2589" s="14" t="s">
        <v>550</v>
      </c>
      <c r="C2589" s="12" t="s">
        <v>116</v>
      </c>
      <c r="D2589" s="15" t="str">
        <f t="shared" si="40"/>
        <v>NYC Health - PH AR - PRD</v>
      </c>
      <c r="E2589" s="12" t="s">
        <v>148</v>
      </c>
      <c r="F2589" s="12" t="s">
        <v>163</v>
      </c>
      <c r="G2589" s="12" t="s">
        <v>164</v>
      </c>
      <c r="H2589" s="12" t="s">
        <v>1025</v>
      </c>
      <c r="I2589" s="12" t="s">
        <v>87</v>
      </c>
    </row>
    <row r="2590" spans="1:9">
      <c r="A2590" s="14">
        <v>12431</v>
      </c>
      <c r="B2590" s="14" t="s">
        <v>550</v>
      </c>
      <c r="C2590" s="12" t="s">
        <v>145</v>
      </c>
      <c r="D2590" s="15" t="str">
        <f t="shared" si="40"/>
        <v>NYC Health - PH AR - SUP</v>
      </c>
      <c r="E2590" s="12" t="s">
        <v>148</v>
      </c>
      <c r="F2590" s="12" t="s">
        <v>163</v>
      </c>
      <c r="G2590" s="12" t="s">
        <v>164</v>
      </c>
      <c r="H2590" s="12" t="s">
        <v>1025</v>
      </c>
      <c r="I2590" s="12" t="s">
        <v>87</v>
      </c>
    </row>
    <row r="2591" spans="1:9">
      <c r="A2591" s="14">
        <v>12431</v>
      </c>
      <c r="B2591" s="14" t="s">
        <v>550</v>
      </c>
      <c r="C2591" s="12" t="s">
        <v>180</v>
      </c>
      <c r="D2591" s="15" t="str">
        <f t="shared" si="40"/>
        <v>NYC Health - PH AR - TMG</v>
      </c>
      <c r="E2591" s="12" t="s">
        <v>148</v>
      </c>
      <c r="F2591" s="12" t="s">
        <v>163</v>
      </c>
      <c r="G2591" s="12" t="s">
        <v>164</v>
      </c>
      <c r="H2591" s="12" t="s">
        <v>1025</v>
      </c>
      <c r="I2591" s="12" t="s">
        <v>87</v>
      </c>
    </row>
    <row r="2592" spans="1:9">
      <c r="A2592" s="14">
        <v>21492</v>
      </c>
      <c r="B2592" s="14" t="s">
        <v>646</v>
      </c>
      <c r="C2592" s="12" t="s">
        <v>116</v>
      </c>
      <c r="D2592" s="15" t="str">
        <f t="shared" si="40"/>
        <v>NYC Health - SP - PRD</v>
      </c>
      <c r="E2592" s="12" t="s">
        <v>148</v>
      </c>
      <c r="F2592" s="12" t="s">
        <v>163</v>
      </c>
      <c r="G2592" s="12" t="s">
        <v>164</v>
      </c>
      <c r="H2592" s="12" t="s">
        <v>1025</v>
      </c>
      <c r="I2592" s="12" t="s">
        <v>87</v>
      </c>
    </row>
    <row r="2593" spans="1:9">
      <c r="A2593" s="14">
        <v>97322</v>
      </c>
      <c r="B2593" s="14" t="s">
        <v>808</v>
      </c>
      <c r="C2593" s="12" t="s">
        <v>129</v>
      </c>
      <c r="D2593" s="15" t="str">
        <f t="shared" si="40"/>
        <v>Org Capability Development - MGT</v>
      </c>
      <c r="E2593" s="12" t="s">
        <v>118</v>
      </c>
      <c r="F2593" s="12" t="s">
        <v>370</v>
      </c>
      <c r="G2593" s="12" t="s">
        <v>205</v>
      </c>
      <c r="H2593" s="12" t="s">
        <v>1025</v>
      </c>
      <c r="I2593" s="12" t="s">
        <v>87</v>
      </c>
    </row>
    <row r="2594" spans="1:9">
      <c r="A2594" s="14">
        <v>97322</v>
      </c>
      <c r="B2594" s="14" t="s">
        <v>808</v>
      </c>
      <c r="C2594" s="12" t="s">
        <v>145</v>
      </c>
      <c r="D2594" s="15" t="str">
        <f t="shared" si="40"/>
        <v>Org Capability Development - SUP</v>
      </c>
      <c r="E2594" s="12" t="s">
        <v>118</v>
      </c>
      <c r="F2594" s="12" t="s">
        <v>370</v>
      </c>
      <c r="G2594" s="12" t="s">
        <v>205</v>
      </c>
      <c r="H2594" s="12" t="s">
        <v>1025</v>
      </c>
      <c r="I2594" s="12" t="s">
        <v>87</v>
      </c>
    </row>
    <row r="2595" spans="1:9">
      <c r="A2595" s="14">
        <v>12313</v>
      </c>
      <c r="B2595" s="14" t="s">
        <v>530</v>
      </c>
      <c r="C2595" s="12" t="s">
        <v>230</v>
      </c>
      <c r="D2595" s="15" t="str">
        <f t="shared" si="40"/>
        <v>Palomar - Coding - PRSP</v>
      </c>
      <c r="E2595" s="12" t="s">
        <v>159</v>
      </c>
      <c r="F2595" s="12" t="s">
        <v>237</v>
      </c>
      <c r="G2595" s="12" t="s">
        <v>238</v>
      </c>
      <c r="H2595" s="12" t="s">
        <v>1025</v>
      </c>
      <c r="I2595" s="12" t="s">
        <v>87</v>
      </c>
    </row>
    <row r="2596" spans="1:9">
      <c r="A2596" s="14">
        <v>12313</v>
      </c>
      <c r="B2596" s="14" t="s">
        <v>530</v>
      </c>
      <c r="C2596" s="12" t="s">
        <v>145</v>
      </c>
      <c r="D2596" s="15" t="str">
        <f t="shared" si="40"/>
        <v>Palomar - Coding - SUP</v>
      </c>
      <c r="E2596" s="12" t="s">
        <v>159</v>
      </c>
      <c r="F2596" s="12" t="s">
        <v>237</v>
      </c>
      <c r="G2596" s="12" t="s">
        <v>238</v>
      </c>
      <c r="H2596" s="12" t="s">
        <v>1025</v>
      </c>
      <c r="I2596" s="12" t="s">
        <v>87</v>
      </c>
    </row>
    <row r="2597" spans="1:9">
      <c r="A2597" s="14">
        <v>12313</v>
      </c>
      <c r="B2597" s="14" t="s">
        <v>530</v>
      </c>
      <c r="C2597" s="12" t="s">
        <v>180</v>
      </c>
      <c r="D2597" s="15" t="str">
        <f t="shared" si="40"/>
        <v>Palomar - Coding - TMG</v>
      </c>
      <c r="E2597" s="12" t="s">
        <v>159</v>
      </c>
      <c r="F2597" s="12" t="s">
        <v>237</v>
      </c>
      <c r="G2597" s="12" t="s">
        <v>238</v>
      </c>
      <c r="H2597" s="12" t="s">
        <v>1025</v>
      </c>
      <c r="I2597" s="12" t="s">
        <v>87</v>
      </c>
    </row>
    <row r="2598" spans="1:9">
      <c r="A2598" s="14">
        <v>12313</v>
      </c>
      <c r="B2598" s="14" t="s">
        <v>530</v>
      </c>
      <c r="C2598" s="12" t="s">
        <v>185</v>
      </c>
      <c r="D2598" s="15" t="str">
        <f t="shared" si="40"/>
        <v>Palomar - Coding - TPS</v>
      </c>
      <c r="E2598" s="12" t="s">
        <v>159</v>
      </c>
      <c r="F2598" s="12" t="s">
        <v>237</v>
      </c>
      <c r="G2598" s="12" t="s">
        <v>238</v>
      </c>
      <c r="H2598" s="12" t="s">
        <v>1025</v>
      </c>
      <c r="I2598" s="12" t="s">
        <v>87</v>
      </c>
    </row>
    <row r="2599" spans="1:9">
      <c r="A2599" s="14">
        <v>96118</v>
      </c>
      <c r="B2599" s="14" t="s">
        <v>554</v>
      </c>
      <c r="C2599" s="12" t="s">
        <v>121</v>
      </c>
      <c r="D2599" s="15" t="str">
        <f t="shared" si="40"/>
        <v>Payroll - F&amp;A</v>
      </c>
      <c r="E2599" s="12" t="s">
        <v>118</v>
      </c>
      <c r="F2599" s="12" t="s">
        <v>554</v>
      </c>
      <c r="G2599" s="12" t="s">
        <v>114</v>
      </c>
      <c r="H2599" s="12" t="s">
        <v>1025</v>
      </c>
      <c r="I2599" s="12" t="s">
        <v>87</v>
      </c>
    </row>
    <row r="2600" spans="1:9">
      <c r="A2600" s="14">
        <v>96118</v>
      </c>
      <c r="B2600" s="14" t="s">
        <v>554</v>
      </c>
      <c r="C2600" s="12" t="s">
        <v>145</v>
      </c>
      <c r="D2600" s="15" t="str">
        <f t="shared" si="40"/>
        <v>Payroll - SUP</v>
      </c>
      <c r="E2600" s="12" t="s">
        <v>118</v>
      </c>
      <c r="F2600" s="12" t="s">
        <v>554</v>
      </c>
      <c r="G2600" s="12" t="s">
        <v>114</v>
      </c>
      <c r="H2600" s="12" t="s">
        <v>1025</v>
      </c>
      <c r="I2600" s="12" t="s">
        <v>87</v>
      </c>
    </row>
    <row r="2601" spans="1:9">
      <c r="A2601" s="14">
        <v>12421</v>
      </c>
      <c r="B2601" s="14" t="s">
        <v>545</v>
      </c>
      <c r="C2601" s="12" t="s">
        <v>116</v>
      </c>
      <c r="D2601" s="15" t="str">
        <f t="shared" si="40"/>
        <v>Philips - CT V&amp;V and Simulator - PRD</v>
      </c>
      <c r="E2601" s="12" t="s">
        <v>117</v>
      </c>
      <c r="F2601" s="12" t="s">
        <v>117</v>
      </c>
      <c r="G2601" s="12" t="s">
        <v>117</v>
      </c>
      <c r="H2601" s="12" t="s">
        <v>1025</v>
      </c>
      <c r="I2601" s="12" t="s">
        <v>87</v>
      </c>
    </row>
    <row r="2602" spans="1:9">
      <c r="A2602" s="14">
        <v>12421</v>
      </c>
      <c r="B2602" s="14" t="s">
        <v>545</v>
      </c>
      <c r="C2602" s="12" t="s">
        <v>172</v>
      </c>
      <c r="D2602" s="15" t="str">
        <f t="shared" si="40"/>
        <v>Philips - CT V&amp;V and Simulator - SME</v>
      </c>
      <c r="E2602" s="12" t="s">
        <v>117</v>
      </c>
      <c r="F2602" s="12" t="s">
        <v>117</v>
      </c>
      <c r="G2602" s="12" t="s">
        <v>117</v>
      </c>
      <c r="H2602" s="12" t="s">
        <v>1025</v>
      </c>
      <c r="I2602" s="12" t="s">
        <v>87</v>
      </c>
    </row>
    <row r="2603" spans="1:9">
      <c r="A2603" s="14">
        <v>12421</v>
      </c>
      <c r="B2603" s="14" t="s">
        <v>545</v>
      </c>
      <c r="C2603" s="12" t="s">
        <v>139</v>
      </c>
      <c r="D2603" s="15" t="str">
        <f t="shared" si="40"/>
        <v>Philips - CT V&amp;V and Simulator - SMGT</v>
      </c>
      <c r="E2603" s="12" t="s">
        <v>117</v>
      </c>
      <c r="F2603" s="12" t="s">
        <v>117</v>
      </c>
      <c r="G2603" s="12" t="s">
        <v>117</v>
      </c>
      <c r="H2603" s="12" t="s">
        <v>1025</v>
      </c>
      <c r="I2603" s="12" t="s">
        <v>87</v>
      </c>
    </row>
    <row r="2604" spans="1:9">
      <c r="A2604" s="14">
        <v>12421</v>
      </c>
      <c r="B2604" s="14" t="s">
        <v>545</v>
      </c>
      <c r="C2604" s="12" t="s">
        <v>145</v>
      </c>
      <c r="D2604" s="15" t="str">
        <f t="shared" si="40"/>
        <v>Philips - CT V&amp;V and Simulator - SUP</v>
      </c>
      <c r="E2604" s="12" t="s">
        <v>117</v>
      </c>
      <c r="F2604" s="12" t="s">
        <v>117</v>
      </c>
      <c r="G2604" s="12" t="s">
        <v>117</v>
      </c>
      <c r="H2604" s="12" t="s">
        <v>1025</v>
      </c>
      <c r="I2604" s="12" t="s">
        <v>87</v>
      </c>
    </row>
    <row r="2605" spans="1:9">
      <c r="A2605" s="14">
        <v>12421</v>
      </c>
      <c r="B2605" s="14" t="s">
        <v>545</v>
      </c>
      <c r="C2605" s="12" t="s">
        <v>180</v>
      </c>
      <c r="D2605" s="15" t="str">
        <f t="shared" si="40"/>
        <v>Philips - CT V&amp;V and Simulator - TMG</v>
      </c>
      <c r="E2605" s="12" t="s">
        <v>117</v>
      </c>
      <c r="F2605" s="12" t="s">
        <v>117</v>
      </c>
      <c r="G2605" s="12" t="s">
        <v>117</v>
      </c>
      <c r="H2605" s="12" t="s">
        <v>1025</v>
      </c>
      <c r="I2605" s="12" t="s">
        <v>87</v>
      </c>
    </row>
    <row r="2606" spans="1:9">
      <c r="A2606" s="14">
        <v>12496</v>
      </c>
      <c r="B2606" s="14" t="s">
        <v>564</v>
      </c>
      <c r="C2606" s="12" t="s">
        <v>116</v>
      </c>
      <c r="D2606" s="15" t="str">
        <f t="shared" si="40"/>
        <v>Philips - IAP Consolidation - PRD</v>
      </c>
      <c r="E2606" s="12" t="s">
        <v>117</v>
      </c>
      <c r="F2606" s="12" t="s">
        <v>117</v>
      </c>
      <c r="G2606" s="12" t="s">
        <v>117</v>
      </c>
      <c r="H2606" s="12" t="s">
        <v>1025</v>
      </c>
      <c r="I2606" s="12" t="s">
        <v>87</v>
      </c>
    </row>
    <row r="2607" spans="1:9">
      <c r="A2607" s="14">
        <v>12561</v>
      </c>
      <c r="B2607" s="14" t="s">
        <v>587</v>
      </c>
      <c r="C2607" s="12" t="s">
        <v>116</v>
      </c>
      <c r="D2607" s="15" t="str">
        <f t="shared" si="40"/>
        <v>Philips-FY23 Growth Opportunit - PRD</v>
      </c>
      <c r="E2607" s="12" t="s">
        <v>117</v>
      </c>
      <c r="F2607" s="12" t="s">
        <v>117</v>
      </c>
      <c r="G2607" s="12" t="s">
        <v>117</v>
      </c>
      <c r="H2607" s="12" t="s">
        <v>1025</v>
      </c>
      <c r="I2607" s="12" t="s">
        <v>87</v>
      </c>
    </row>
    <row r="2608" spans="1:9">
      <c r="A2608" s="14">
        <v>12619</v>
      </c>
      <c r="B2608" s="14" t="s">
        <v>603</v>
      </c>
      <c r="C2608" s="12" t="s">
        <v>116</v>
      </c>
      <c r="D2608" s="15" t="str">
        <f t="shared" si="40"/>
        <v>Philips-FY24 G. Opportunities - PRD</v>
      </c>
      <c r="E2608" s="12" t="s">
        <v>117</v>
      </c>
      <c r="F2608" s="12" t="s">
        <v>117</v>
      </c>
      <c r="G2608" s="12" t="s">
        <v>117</v>
      </c>
      <c r="H2608" s="12" t="s">
        <v>1025</v>
      </c>
      <c r="I2608" s="12" t="s">
        <v>87</v>
      </c>
    </row>
    <row r="2609" spans="1:9">
      <c r="A2609" s="14">
        <v>93680</v>
      </c>
      <c r="B2609" s="14" t="s">
        <v>825</v>
      </c>
      <c r="C2609" s="12" t="s">
        <v>504</v>
      </c>
      <c r="D2609" s="15" t="str">
        <f t="shared" si="40"/>
        <v>Platform Application&amp;Automate - CH AGT</v>
      </c>
      <c r="E2609" s="12" t="s">
        <v>118</v>
      </c>
      <c r="F2609" s="12" t="s">
        <v>117</v>
      </c>
      <c r="G2609" s="12" t="s">
        <v>117</v>
      </c>
      <c r="H2609" s="12" t="s">
        <v>1025</v>
      </c>
      <c r="I2609" s="12" t="s">
        <v>87</v>
      </c>
    </row>
    <row r="2610" spans="1:9">
      <c r="A2610" s="14">
        <v>93680</v>
      </c>
      <c r="B2610" s="14" t="s">
        <v>825</v>
      </c>
      <c r="C2610" s="12" t="s">
        <v>218</v>
      </c>
      <c r="D2610" s="15" t="str">
        <f t="shared" si="40"/>
        <v>Platform Application&amp;Automate - EMAIL</v>
      </c>
      <c r="E2610" s="12" t="s">
        <v>118</v>
      </c>
      <c r="F2610" s="12" t="s">
        <v>117</v>
      </c>
      <c r="G2610" s="12" t="s">
        <v>117</v>
      </c>
      <c r="H2610" s="12" t="s">
        <v>1025</v>
      </c>
      <c r="I2610" s="12" t="s">
        <v>87</v>
      </c>
    </row>
    <row r="2611" spans="1:9">
      <c r="A2611" s="14">
        <v>93680</v>
      </c>
      <c r="B2611" s="14" t="s">
        <v>825</v>
      </c>
      <c r="C2611" s="12" t="s">
        <v>262</v>
      </c>
      <c r="D2611" s="15" t="str">
        <f t="shared" si="40"/>
        <v>Platform Application&amp;Automate - GSI</v>
      </c>
      <c r="E2611" s="12" t="s">
        <v>118</v>
      </c>
      <c r="F2611" s="12" t="s">
        <v>117</v>
      </c>
      <c r="G2611" s="12" t="s">
        <v>117</v>
      </c>
      <c r="H2611" s="12" t="s">
        <v>1025</v>
      </c>
      <c r="I2611" s="12" t="s">
        <v>87</v>
      </c>
    </row>
    <row r="2612" spans="1:9">
      <c r="A2612" s="14">
        <v>93680</v>
      </c>
      <c r="B2612" s="14" t="s">
        <v>825</v>
      </c>
      <c r="C2612" s="12" t="s">
        <v>129</v>
      </c>
      <c r="D2612" s="15" t="str">
        <f t="shared" si="40"/>
        <v>Platform Application&amp;Automate - MGT</v>
      </c>
      <c r="E2612" s="12" t="s">
        <v>118</v>
      </c>
      <c r="F2612" s="12" t="s">
        <v>117</v>
      </c>
      <c r="G2612" s="12" t="s">
        <v>117</v>
      </c>
      <c r="H2612" s="12" t="s">
        <v>1025</v>
      </c>
      <c r="I2612" s="12" t="s">
        <v>87</v>
      </c>
    </row>
    <row r="2613" spans="1:9">
      <c r="A2613" s="14">
        <v>93680</v>
      </c>
      <c r="B2613" s="14" t="s">
        <v>825</v>
      </c>
      <c r="C2613" s="12" t="s">
        <v>172</v>
      </c>
      <c r="D2613" s="15" t="str">
        <f t="shared" si="40"/>
        <v>Platform Application&amp;Automate - SME</v>
      </c>
      <c r="E2613" s="12" t="s">
        <v>118</v>
      </c>
      <c r="F2613" s="12" t="s">
        <v>117</v>
      </c>
      <c r="G2613" s="12" t="s">
        <v>117</v>
      </c>
      <c r="H2613" s="12" t="s">
        <v>1025</v>
      </c>
      <c r="I2613" s="12" t="s">
        <v>87</v>
      </c>
    </row>
    <row r="2614" spans="1:9">
      <c r="A2614" s="14">
        <v>93680</v>
      </c>
      <c r="B2614" s="14" t="s">
        <v>825</v>
      </c>
      <c r="C2614" s="12" t="s">
        <v>145</v>
      </c>
      <c r="D2614" s="15" t="str">
        <f t="shared" si="40"/>
        <v>Platform Application&amp;Automate - SUP</v>
      </c>
      <c r="E2614" s="12" t="s">
        <v>118</v>
      </c>
      <c r="F2614" s="12" t="s">
        <v>117</v>
      </c>
      <c r="G2614" s="12" t="s">
        <v>117</v>
      </c>
      <c r="H2614" s="12" t="s">
        <v>1025</v>
      </c>
      <c r="I2614" s="12" t="s">
        <v>87</v>
      </c>
    </row>
    <row r="2615" spans="1:9">
      <c r="A2615" s="14">
        <v>93680</v>
      </c>
      <c r="B2615" s="14" t="s">
        <v>825</v>
      </c>
      <c r="C2615" s="12" t="s">
        <v>198</v>
      </c>
      <c r="D2615" s="15" t="str">
        <f t="shared" si="40"/>
        <v>Platform Application&amp;Automate - TEC</v>
      </c>
      <c r="E2615" s="12" t="s">
        <v>118</v>
      </c>
      <c r="F2615" s="12" t="s">
        <v>117</v>
      </c>
      <c r="G2615" s="12" t="s">
        <v>117</v>
      </c>
      <c r="H2615" s="12" t="s">
        <v>1025</v>
      </c>
      <c r="I2615" s="12" t="s">
        <v>87</v>
      </c>
    </row>
    <row r="2616" spans="1:9">
      <c r="A2616" s="14">
        <v>93604</v>
      </c>
      <c r="B2616" s="14" t="s">
        <v>834</v>
      </c>
      <c r="C2616" s="12" t="s">
        <v>835</v>
      </c>
      <c r="D2616" s="15" t="str">
        <f t="shared" si="40"/>
        <v>Platform NextGen - BTG</v>
      </c>
      <c r="E2616" s="12" t="s">
        <v>118</v>
      </c>
      <c r="F2616" s="12" t="s">
        <v>117</v>
      </c>
      <c r="G2616" s="12" t="s">
        <v>117</v>
      </c>
      <c r="H2616" s="12" t="s">
        <v>1025</v>
      </c>
      <c r="I2616" s="12" t="s">
        <v>87</v>
      </c>
    </row>
    <row r="2617" spans="1:9">
      <c r="A2617" s="14">
        <v>93604</v>
      </c>
      <c r="B2617" s="14" t="s">
        <v>834</v>
      </c>
      <c r="C2617" s="12" t="s">
        <v>262</v>
      </c>
      <c r="D2617" s="15" t="str">
        <f t="shared" si="40"/>
        <v>Platform NextGen - GSI</v>
      </c>
      <c r="E2617" s="12" t="s">
        <v>118</v>
      </c>
      <c r="F2617" s="12" t="s">
        <v>117</v>
      </c>
      <c r="G2617" s="12" t="s">
        <v>117</v>
      </c>
      <c r="H2617" s="12" t="s">
        <v>1025</v>
      </c>
      <c r="I2617" s="12" t="s">
        <v>87</v>
      </c>
    </row>
    <row r="2618" spans="1:9">
      <c r="A2618" s="14">
        <v>93604</v>
      </c>
      <c r="B2618" s="14" t="s">
        <v>834</v>
      </c>
      <c r="C2618" s="12" t="s">
        <v>250</v>
      </c>
      <c r="D2618" s="15" t="str">
        <f t="shared" si="40"/>
        <v>Platform NextGen - LED</v>
      </c>
      <c r="E2618" s="12" t="s">
        <v>118</v>
      </c>
      <c r="F2618" s="12" t="s">
        <v>117</v>
      </c>
      <c r="G2618" s="12" t="s">
        <v>117</v>
      </c>
      <c r="H2618" s="12" t="s">
        <v>1025</v>
      </c>
      <c r="I2618" s="12" t="s">
        <v>87</v>
      </c>
    </row>
    <row r="2619" spans="1:9">
      <c r="A2619" s="14">
        <v>93604</v>
      </c>
      <c r="B2619" s="14" t="s">
        <v>834</v>
      </c>
      <c r="C2619" s="12" t="s">
        <v>129</v>
      </c>
      <c r="D2619" s="15" t="str">
        <f t="shared" si="40"/>
        <v>Platform NextGen - MGT</v>
      </c>
      <c r="E2619" s="12" t="s">
        <v>118</v>
      </c>
      <c r="F2619" s="12" t="s">
        <v>117</v>
      </c>
      <c r="G2619" s="12" t="s">
        <v>117</v>
      </c>
      <c r="H2619" s="12" t="s">
        <v>1025</v>
      </c>
      <c r="I2619" s="12" t="s">
        <v>87</v>
      </c>
    </row>
    <row r="2620" spans="1:9">
      <c r="A2620" s="14">
        <v>93604</v>
      </c>
      <c r="B2620" s="14" t="s">
        <v>834</v>
      </c>
      <c r="C2620" s="12" t="s">
        <v>139</v>
      </c>
      <c r="D2620" s="15" t="str">
        <f t="shared" si="40"/>
        <v>Platform NextGen - SMGT</v>
      </c>
      <c r="E2620" s="12" t="s">
        <v>118</v>
      </c>
      <c r="F2620" s="12" t="s">
        <v>117</v>
      </c>
      <c r="G2620" s="12" t="s">
        <v>117</v>
      </c>
      <c r="H2620" s="12" t="s">
        <v>1025</v>
      </c>
      <c r="I2620" s="12" t="s">
        <v>87</v>
      </c>
    </row>
    <row r="2621" spans="1:9">
      <c r="A2621" s="14">
        <v>93604</v>
      </c>
      <c r="B2621" s="14" t="s">
        <v>834</v>
      </c>
      <c r="C2621" s="12" t="s">
        <v>145</v>
      </c>
      <c r="D2621" s="15" t="str">
        <f t="shared" si="40"/>
        <v>Platform NextGen - SUP</v>
      </c>
      <c r="E2621" s="12" t="s">
        <v>118</v>
      </c>
      <c r="F2621" s="12" t="s">
        <v>117</v>
      </c>
      <c r="G2621" s="12" t="s">
        <v>117</v>
      </c>
      <c r="H2621" s="12" t="s">
        <v>1025</v>
      </c>
      <c r="I2621" s="12" t="s">
        <v>87</v>
      </c>
    </row>
    <row r="2622" spans="1:9">
      <c r="A2622" s="14">
        <v>93604</v>
      </c>
      <c r="B2622" s="14" t="s">
        <v>834</v>
      </c>
      <c r="C2622" s="12" t="s">
        <v>196</v>
      </c>
      <c r="D2622" s="15" t="str">
        <f t="shared" si="40"/>
        <v>Platform NextGen - SUT</v>
      </c>
      <c r="E2622" s="12" t="s">
        <v>118</v>
      </c>
      <c r="F2622" s="12" t="s">
        <v>117</v>
      </c>
      <c r="G2622" s="12" t="s">
        <v>117</v>
      </c>
      <c r="H2622" s="12" t="s">
        <v>1025</v>
      </c>
      <c r="I2622" s="12" t="s">
        <v>87</v>
      </c>
    </row>
    <row r="2623" spans="1:9">
      <c r="A2623" s="14">
        <v>89012</v>
      </c>
      <c r="B2623" s="14" t="s">
        <v>843</v>
      </c>
      <c r="C2623" s="12" t="s">
        <v>116</v>
      </c>
      <c r="D2623" s="15" t="str">
        <f t="shared" si="40"/>
        <v>Platform Others - PRD</v>
      </c>
      <c r="E2623" s="12" t="s">
        <v>117</v>
      </c>
      <c r="F2623" s="12" t="s">
        <v>117</v>
      </c>
      <c r="G2623" s="12" t="s">
        <v>117</v>
      </c>
      <c r="H2623" s="12" t="s">
        <v>1025</v>
      </c>
      <c r="I2623" s="12" t="s">
        <v>87</v>
      </c>
    </row>
    <row r="2624" spans="1:9">
      <c r="A2624" s="14">
        <v>10759</v>
      </c>
      <c r="B2624" s="14" t="s">
        <v>362</v>
      </c>
      <c r="C2624" s="12" t="s">
        <v>336</v>
      </c>
      <c r="D2624" s="15" t="str">
        <f t="shared" si="40"/>
        <v>Plixer- Network Testing - TSL</v>
      </c>
      <c r="E2624" s="12" t="s">
        <v>117</v>
      </c>
      <c r="F2624" s="12" t="s">
        <v>117</v>
      </c>
      <c r="G2624" s="12" t="s">
        <v>117</v>
      </c>
      <c r="H2624" s="12" t="s">
        <v>1025</v>
      </c>
      <c r="I2624" s="12" t="s">
        <v>87</v>
      </c>
    </row>
    <row r="2625" spans="1:9">
      <c r="A2625" s="14">
        <v>95502</v>
      </c>
      <c r="B2625" s="14" t="s">
        <v>846</v>
      </c>
      <c r="C2625" s="12" t="s">
        <v>415</v>
      </c>
      <c r="D2625" s="15" t="str">
        <f t="shared" si="40"/>
        <v>PMO - GTI</v>
      </c>
      <c r="E2625" s="12" t="s">
        <v>118</v>
      </c>
      <c r="F2625" s="12" t="s">
        <v>263</v>
      </c>
      <c r="G2625" s="12" t="s">
        <v>264</v>
      </c>
      <c r="H2625" s="12" t="s">
        <v>1025</v>
      </c>
      <c r="I2625" s="12" t="s">
        <v>87</v>
      </c>
    </row>
    <row r="2626" spans="1:9">
      <c r="A2626" s="14">
        <v>95502</v>
      </c>
      <c r="B2626" s="14" t="s">
        <v>846</v>
      </c>
      <c r="C2626" s="12" t="s">
        <v>129</v>
      </c>
      <c r="D2626" s="15" t="str">
        <f t="shared" ref="D2626:D2689" si="41">B2626&amp;" - "&amp;C2626</f>
        <v>PMO - MGT</v>
      </c>
      <c r="E2626" s="12" t="s">
        <v>118</v>
      </c>
      <c r="F2626" s="12" t="s">
        <v>263</v>
      </c>
      <c r="G2626" s="12" t="s">
        <v>264</v>
      </c>
      <c r="H2626" s="12" t="s">
        <v>1025</v>
      </c>
      <c r="I2626" s="12" t="s">
        <v>87</v>
      </c>
    </row>
    <row r="2627" spans="1:9">
      <c r="A2627" s="14">
        <v>95502</v>
      </c>
      <c r="B2627" s="14" t="s">
        <v>846</v>
      </c>
      <c r="C2627" s="12" t="s">
        <v>139</v>
      </c>
      <c r="D2627" s="15" t="str">
        <f t="shared" si="41"/>
        <v>PMO - SMGT</v>
      </c>
      <c r="E2627" s="12" t="s">
        <v>118</v>
      </c>
      <c r="F2627" s="12" t="s">
        <v>263</v>
      </c>
      <c r="G2627" s="12" t="s">
        <v>264</v>
      </c>
      <c r="H2627" s="12" t="s">
        <v>1025</v>
      </c>
      <c r="I2627" s="12" t="s">
        <v>87</v>
      </c>
    </row>
    <row r="2628" spans="1:9">
      <c r="A2628" s="14">
        <v>95502</v>
      </c>
      <c r="B2628" s="14" t="s">
        <v>846</v>
      </c>
      <c r="C2628" s="12" t="s">
        <v>145</v>
      </c>
      <c r="D2628" s="15" t="str">
        <f t="shared" si="41"/>
        <v>PMO - SUP</v>
      </c>
      <c r="E2628" s="12" t="s">
        <v>118</v>
      </c>
      <c r="F2628" s="12" t="s">
        <v>263</v>
      </c>
      <c r="G2628" s="12" t="s">
        <v>264</v>
      </c>
      <c r="H2628" s="12" t="s">
        <v>1025</v>
      </c>
      <c r="I2628" s="12" t="s">
        <v>87</v>
      </c>
    </row>
    <row r="2629" spans="1:9">
      <c r="A2629" s="14">
        <v>88131</v>
      </c>
      <c r="B2629" s="14" t="s">
        <v>851</v>
      </c>
      <c r="C2629" s="12" t="s">
        <v>129</v>
      </c>
      <c r="D2629" s="15" t="str">
        <f t="shared" si="41"/>
        <v>PP - Operational Mgmt (Coding) - MGT</v>
      </c>
      <c r="E2629" s="12" t="s">
        <v>159</v>
      </c>
      <c r="F2629" s="12" t="s">
        <v>237</v>
      </c>
      <c r="G2629" s="12" t="s">
        <v>238</v>
      </c>
      <c r="H2629" s="12" t="s">
        <v>1025</v>
      </c>
      <c r="I2629" s="12" t="s">
        <v>87</v>
      </c>
    </row>
    <row r="2630" spans="1:9">
      <c r="A2630" s="14">
        <v>88131</v>
      </c>
      <c r="B2630" s="14" t="s">
        <v>851</v>
      </c>
      <c r="C2630" s="12" t="s">
        <v>139</v>
      </c>
      <c r="D2630" s="15" t="str">
        <f t="shared" si="41"/>
        <v>PP - Operational Mgmt (Coding) - SMGT</v>
      </c>
      <c r="E2630" s="12" t="s">
        <v>159</v>
      </c>
      <c r="F2630" s="12" t="s">
        <v>237</v>
      </c>
      <c r="G2630" s="12" t="s">
        <v>238</v>
      </c>
      <c r="H2630" s="12" t="s">
        <v>1025</v>
      </c>
      <c r="I2630" s="12" t="s">
        <v>87</v>
      </c>
    </row>
    <row r="2631" spans="1:9">
      <c r="A2631" s="14">
        <v>88131</v>
      </c>
      <c r="B2631" s="14" t="s">
        <v>851</v>
      </c>
      <c r="C2631" s="12" t="s">
        <v>145</v>
      </c>
      <c r="D2631" s="15" t="str">
        <f t="shared" si="41"/>
        <v>PP - Operational Mgmt (Coding) - SUP</v>
      </c>
      <c r="E2631" s="12" t="s">
        <v>159</v>
      </c>
      <c r="F2631" s="12" t="s">
        <v>237</v>
      </c>
      <c r="G2631" s="12" t="s">
        <v>238</v>
      </c>
      <c r="H2631" s="12" t="s">
        <v>1025</v>
      </c>
      <c r="I2631" s="12" t="s">
        <v>87</v>
      </c>
    </row>
    <row r="2632" spans="1:9">
      <c r="A2632" s="14">
        <v>88130</v>
      </c>
      <c r="B2632" s="14" t="s">
        <v>855</v>
      </c>
      <c r="C2632" s="12" t="s">
        <v>145</v>
      </c>
      <c r="D2632" s="15" t="str">
        <f t="shared" si="41"/>
        <v>PP - Operational Mgmt (RCMS) - SUP</v>
      </c>
      <c r="E2632" s="12" t="s">
        <v>154</v>
      </c>
      <c r="F2632" s="12" t="s">
        <v>163</v>
      </c>
      <c r="G2632" s="12" t="s">
        <v>164</v>
      </c>
      <c r="H2632" s="12" t="s">
        <v>1025</v>
      </c>
      <c r="I2632" s="12" t="s">
        <v>87</v>
      </c>
    </row>
    <row r="2633" spans="1:9">
      <c r="A2633" s="14">
        <v>97312</v>
      </c>
      <c r="B2633" s="14" t="s">
        <v>857</v>
      </c>
      <c r="C2633" s="12" t="s">
        <v>858</v>
      </c>
      <c r="D2633" s="15" t="str">
        <f t="shared" si="41"/>
        <v>PP- Support Training RCMS - CLS</v>
      </c>
      <c r="E2633" s="12" t="s">
        <v>118</v>
      </c>
      <c r="F2633" s="12" t="s">
        <v>204</v>
      </c>
      <c r="G2633" s="12" t="s">
        <v>205</v>
      </c>
      <c r="H2633" s="12" t="s">
        <v>1025</v>
      </c>
      <c r="I2633" s="12" t="s">
        <v>87</v>
      </c>
    </row>
    <row r="2634" spans="1:9">
      <c r="A2634" s="14">
        <v>97312</v>
      </c>
      <c r="B2634" s="14" t="s">
        <v>857</v>
      </c>
      <c r="C2634" s="12" t="s">
        <v>172</v>
      </c>
      <c r="D2634" s="15" t="str">
        <f t="shared" si="41"/>
        <v>PP- Support Training RCMS - SME</v>
      </c>
      <c r="E2634" s="12" t="s">
        <v>118</v>
      </c>
      <c r="F2634" s="12" t="s">
        <v>204</v>
      </c>
      <c r="G2634" s="12" t="s">
        <v>205</v>
      </c>
      <c r="H2634" s="12" t="s">
        <v>1025</v>
      </c>
      <c r="I2634" s="12" t="s">
        <v>87</v>
      </c>
    </row>
    <row r="2635" spans="1:9">
      <c r="A2635" s="14">
        <v>97312</v>
      </c>
      <c r="B2635" s="14" t="s">
        <v>857</v>
      </c>
      <c r="C2635" s="12" t="s">
        <v>145</v>
      </c>
      <c r="D2635" s="15" t="str">
        <f t="shared" si="41"/>
        <v>PP- Support Training RCMS - SUP</v>
      </c>
      <c r="E2635" s="12" t="s">
        <v>118</v>
      </c>
      <c r="F2635" s="12" t="s">
        <v>204</v>
      </c>
      <c r="G2635" s="12" t="s">
        <v>205</v>
      </c>
      <c r="H2635" s="12" t="s">
        <v>1025</v>
      </c>
      <c r="I2635" s="12" t="s">
        <v>87</v>
      </c>
    </row>
    <row r="2636" spans="1:9">
      <c r="A2636" s="14">
        <v>97312</v>
      </c>
      <c r="B2636" s="14" t="s">
        <v>857</v>
      </c>
      <c r="C2636" s="12" t="s">
        <v>185</v>
      </c>
      <c r="D2636" s="15" t="str">
        <f t="shared" si="41"/>
        <v>PP- Support Training RCMS - TPS</v>
      </c>
      <c r="E2636" s="12" t="s">
        <v>118</v>
      </c>
      <c r="F2636" s="12" t="s">
        <v>204</v>
      </c>
      <c r="G2636" s="12" t="s">
        <v>205</v>
      </c>
      <c r="H2636" s="12" t="s">
        <v>1025</v>
      </c>
      <c r="I2636" s="12" t="s">
        <v>87</v>
      </c>
    </row>
    <row r="2637" spans="1:9">
      <c r="A2637" s="14">
        <v>97312</v>
      </c>
      <c r="B2637" s="14" t="s">
        <v>857</v>
      </c>
      <c r="C2637" s="12" t="s">
        <v>863</v>
      </c>
      <c r="D2637" s="15" t="str">
        <f t="shared" si="41"/>
        <v>PP- Support Training RCMS - TRA</v>
      </c>
      <c r="E2637" s="12" t="s">
        <v>118</v>
      </c>
      <c r="F2637" s="12" t="s">
        <v>204</v>
      </c>
      <c r="G2637" s="12" t="s">
        <v>205</v>
      </c>
      <c r="H2637" s="12" t="s">
        <v>1025</v>
      </c>
      <c r="I2637" s="12" t="s">
        <v>87</v>
      </c>
    </row>
    <row r="2638" spans="1:9">
      <c r="A2638" s="14">
        <v>97312</v>
      </c>
      <c r="B2638" s="14" t="s">
        <v>857</v>
      </c>
      <c r="C2638" s="12" t="s">
        <v>203</v>
      </c>
      <c r="D2638" s="15" t="str">
        <f t="shared" si="41"/>
        <v>PP- Support Training RCMS - TRG</v>
      </c>
      <c r="E2638" s="12" t="s">
        <v>118</v>
      </c>
      <c r="F2638" s="12" t="s">
        <v>204</v>
      </c>
      <c r="G2638" s="12" t="s">
        <v>205</v>
      </c>
      <c r="H2638" s="12" t="s">
        <v>1025</v>
      </c>
      <c r="I2638" s="12" t="s">
        <v>87</v>
      </c>
    </row>
    <row r="2639" spans="1:9">
      <c r="A2639" s="14">
        <v>97312</v>
      </c>
      <c r="B2639" s="14" t="s">
        <v>857</v>
      </c>
      <c r="C2639" s="12" t="s">
        <v>208</v>
      </c>
      <c r="D2639" s="15" t="str">
        <f t="shared" si="41"/>
        <v>PP- Support Training RCMS - TTR</v>
      </c>
      <c r="E2639" s="12" t="s">
        <v>118</v>
      </c>
      <c r="F2639" s="12" t="s">
        <v>204</v>
      </c>
      <c r="G2639" s="12" t="s">
        <v>205</v>
      </c>
      <c r="H2639" s="12" t="s">
        <v>1025</v>
      </c>
      <c r="I2639" s="12" t="s">
        <v>87</v>
      </c>
    </row>
    <row r="2640" spans="1:9">
      <c r="A2640" s="14">
        <v>88117</v>
      </c>
      <c r="B2640" s="14" t="s">
        <v>868</v>
      </c>
      <c r="C2640" s="12" t="s">
        <v>116</v>
      </c>
      <c r="D2640" s="15" t="str">
        <f t="shared" si="41"/>
        <v>PP-Coding_Bench - PRD</v>
      </c>
      <c r="E2640" s="12" t="s">
        <v>159</v>
      </c>
      <c r="F2640" s="12" t="s">
        <v>237</v>
      </c>
      <c r="G2640" s="12" t="s">
        <v>238</v>
      </c>
      <c r="H2640" s="12" t="s">
        <v>1025</v>
      </c>
      <c r="I2640" s="12" t="s">
        <v>87</v>
      </c>
    </row>
    <row r="2641" spans="1:9">
      <c r="A2641" s="14">
        <v>88117</v>
      </c>
      <c r="B2641" s="14" t="s">
        <v>868</v>
      </c>
      <c r="C2641" s="12" t="s">
        <v>230</v>
      </c>
      <c r="D2641" s="15" t="str">
        <f t="shared" si="41"/>
        <v>PP-Coding_Bench - PRSP</v>
      </c>
      <c r="E2641" s="12" t="s">
        <v>159</v>
      </c>
      <c r="F2641" s="12" t="s">
        <v>237</v>
      </c>
      <c r="G2641" s="12" t="s">
        <v>238</v>
      </c>
      <c r="H2641" s="12" t="s">
        <v>1025</v>
      </c>
      <c r="I2641" s="12" t="s">
        <v>87</v>
      </c>
    </row>
    <row r="2642" spans="1:9">
      <c r="A2642" s="14">
        <v>88117</v>
      </c>
      <c r="B2642" s="14" t="s">
        <v>868</v>
      </c>
      <c r="C2642" s="12" t="s">
        <v>180</v>
      </c>
      <c r="D2642" s="15" t="str">
        <f t="shared" si="41"/>
        <v>PP-Coding_Bench - TMG</v>
      </c>
      <c r="E2642" s="12" t="s">
        <v>159</v>
      </c>
      <c r="F2642" s="12" t="s">
        <v>237</v>
      </c>
      <c r="G2642" s="12" t="s">
        <v>238</v>
      </c>
      <c r="H2642" s="12" t="s">
        <v>1025</v>
      </c>
      <c r="I2642" s="12" t="s">
        <v>87</v>
      </c>
    </row>
    <row r="2643" spans="1:9">
      <c r="A2643" s="14">
        <v>88117</v>
      </c>
      <c r="B2643" s="14" t="s">
        <v>868</v>
      </c>
      <c r="C2643" s="12" t="s">
        <v>185</v>
      </c>
      <c r="D2643" s="15" t="str">
        <f t="shared" si="41"/>
        <v>PP-Coding_Bench - TPS</v>
      </c>
      <c r="E2643" s="12" t="s">
        <v>159</v>
      </c>
      <c r="F2643" s="12" t="s">
        <v>237</v>
      </c>
      <c r="G2643" s="12" t="s">
        <v>238</v>
      </c>
      <c r="H2643" s="12" t="s">
        <v>1025</v>
      </c>
      <c r="I2643" s="12" t="s">
        <v>87</v>
      </c>
    </row>
    <row r="2644" spans="1:9">
      <c r="A2644" s="14">
        <v>88129</v>
      </c>
      <c r="B2644" s="14" t="s">
        <v>874</v>
      </c>
      <c r="C2644" s="12" t="s">
        <v>177</v>
      </c>
      <c r="D2644" s="15" t="str">
        <f t="shared" si="41"/>
        <v>PP-RCMS_Bench - NFB/Logo - OPS</v>
      </c>
      <c r="E2644" s="12" t="s">
        <v>154</v>
      </c>
      <c r="F2644" s="12" t="s">
        <v>163</v>
      </c>
      <c r="G2644" s="12" t="s">
        <v>164</v>
      </c>
      <c r="H2644" s="12" t="s">
        <v>1025</v>
      </c>
      <c r="I2644" s="12" t="s">
        <v>87</v>
      </c>
    </row>
    <row r="2645" spans="1:9">
      <c r="A2645" s="14">
        <v>88129</v>
      </c>
      <c r="B2645" s="14" t="s">
        <v>874</v>
      </c>
      <c r="C2645" s="12" t="s">
        <v>116</v>
      </c>
      <c r="D2645" s="15" t="str">
        <f t="shared" si="41"/>
        <v>PP-RCMS_Bench - NFB/Logo - PRD</v>
      </c>
      <c r="E2645" s="12" t="s">
        <v>154</v>
      </c>
      <c r="F2645" s="12" t="s">
        <v>163</v>
      </c>
      <c r="G2645" s="12" t="s">
        <v>164</v>
      </c>
      <c r="H2645" s="12" t="s">
        <v>1025</v>
      </c>
      <c r="I2645" s="12" t="s">
        <v>87</v>
      </c>
    </row>
    <row r="2646" spans="1:9">
      <c r="A2646" s="14">
        <v>88129</v>
      </c>
      <c r="B2646" s="14" t="s">
        <v>874</v>
      </c>
      <c r="C2646" s="12" t="s">
        <v>185</v>
      </c>
      <c r="D2646" s="15" t="str">
        <f t="shared" si="41"/>
        <v>PP-RCMS_Bench - NFB/Logo - TPS</v>
      </c>
      <c r="E2646" s="12" t="s">
        <v>154</v>
      </c>
      <c r="F2646" s="12" t="s">
        <v>163</v>
      </c>
      <c r="G2646" s="12" t="s">
        <v>164</v>
      </c>
      <c r="H2646" s="12" t="s">
        <v>1025</v>
      </c>
      <c r="I2646" s="12" t="s">
        <v>87</v>
      </c>
    </row>
    <row r="2647" spans="1:9">
      <c r="A2647" s="14">
        <v>97311</v>
      </c>
      <c r="B2647" s="14" t="s">
        <v>879</v>
      </c>
      <c r="C2647" s="12" t="s">
        <v>145</v>
      </c>
      <c r="D2647" s="15" t="str">
        <f t="shared" si="41"/>
        <v>PP-Support Training Coding - SUP</v>
      </c>
      <c r="E2647" s="12" t="s">
        <v>159</v>
      </c>
      <c r="F2647" s="12" t="s">
        <v>237</v>
      </c>
      <c r="G2647" s="12" t="s">
        <v>238</v>
      </c>
      <c r="H2647" s="12" t="s">
        <v>1025</v>
      </c>
      <c r="I2647" s="12" t="s">
        <v>87</v>
      </c>
    </row>
    <row r="2648" spans="1:9">
      <c r="A2648" s="14">
        <v>91084</v>
      </c>
      <c r="B2648" s="14" t="s">
        <v>881</v>
      </c>
      <c r="C2648" s="12" t="s">
        <v>145</v>
      </c>
      <c r="D2648" s="15" t="str">
        <f t="shared" si="41"/>
        <v>Prohance chargeback - OE - SUP</v>
      </c>
      <c r="E2648" s="12" t="s">
        <v>118</v>
      </c>
      <c r="F2648" s="12" t="s">
        <v>401</v>
      </c>
      <c r="G2648" s="12" t="s">
        <v>114</v>
      </c>
      <c r="H2648" s="12" t="s">
        <v>1025</v>
      </c>
      <c r="I2648" s="12" t="s">
        <v>87</v>
      </c>
    </row>
    <row r="2649" spans="1:9">
      <c r="A2649" s="14">
        <v>97121</v>
      </c>
      <c r="B2649" s="14" t="s">
        <v>883</v>
      </c>
      <c r="C2649" s="12" t="s">
        <v>121</v>
      </c>
      <c r="D2649" s="15" t="str">
        <f t="shared" si="41"/>
        <v>Project 80 - F&amp;A</v>
      </c>
      <c r="E2649" s="12" t="s">
        <v>118</v>
      </c>
      <c r="F2649" s="12" t="s">
        <v>410</v>
      </c>
      <c r="G2649" s="12" t="s">
        <v>114</v>
      </c>
      <c r="H2649" s="12" t="s">
        <v>1025</v>
      </c>
      <c r="I2649" s="12" t="s">
        <v>87</v>
      </c>
    </row>
    <row r="2650" spans="1:9">
      <c r="A2650" s="14">
        <v>97121</v>
      </c>
      <c r="B2650" s="14" t="s">
        <v>883</v>
      </c>
      <c r="C2650" s="12" t="s">
        <v>556</v>
      </c>
      <c r="D2650" s="15" t="str">
        <f t="shared" si="41"/>
        <v>Project 80 - HRD</v>
      </c>
      <c r="E2650" s="12" t="s">
        <v>118</v>
      </c>
      <c r="F2650" s="12" t="s">
        <v>410</v>
      </c>
      <c r="G2650" s="12" t="s">
        <v>114</v>
      </c>
      <c r="H2650" s="12" t="s">
        <v>1025</v>
      </c>
      <c r="I2650" s="12" t="s">
        <v>87</v>
      </c>
    </row>
    <row r="2651" spans="1:9">
      <c r="A2651" s="14">
        <v>97121</v>
      </c>
      <c r="B2651" s="14" t="s">
        <v>883</v>
      </c>
      <c r="C2651" s="12" t="s">
        <v>145</v>
      </c>
      <c r="D2651" s="15" t="str">
        <f t="shared" si="41"/>
        <v>Project 80 - SUP</v>
      </c>
      <c r="E2651" s="12" t="s">
        <v>118</v>
      </c>
      <c r="F2651" s="12" t="s">
        <v>410</v>
      </c>
      <c r="G2651" s="12" t="s">
        <v>114</v>
      </c>
      <c r="H2651" s="12" t="s">
        <v>1025</v>
      </c>
      <c r="I2651" s="12" t="s">
        <v>87</v>
      </c>
    </row>
    <row r="2652" spans="1:9">
      <c r="A2652" s="14">
        <v>88136</v>
      </c>
      <c r="B2652" s="14" t="s">
        <v>887</v>
      </c>
      <c r="C2652" s="12" t="s">
        <v>116</v>
      </c>
      <c r="D2652" s="15" t="str">
        <f t="shared" si="41"/>
        <v>PY - Operational Mgmt (Payer) - PRD</v>
      </c>
      <c r="E2652" s="12" t="s">
        <v>141</v>
      </c>
      <c r="F2652" s="12" t="s">
        <v>163</v>
      </c>
      <c r="G2652" s="12" t="s">
        <v>164</v>
      </c>
      <c r="H2652" s="12" t="s">
        <v>1025</v>
      </c>
      <c r="I2652" s="12" t="s">
        <v>87</v>
      </c>
    </row>
    <row r="2653" spans="1:9">
      <c r="A2653" s="14">
        <v>88136</v>
      </c>
      <c r="B2653" s="43" t="s">
        <v>887</v>
      </c>
      <c r="C2653" s="44" t="s">
        <v>230</v>
      </c>
      <c r="D2653" s="15" t="str">
        <f t="shared" si="41"/>
        <v>PY - Operational Mgmt (Payer) - PRSP</v>
      </c>
      <c r="E2653" s="12" t="s">
        <v>141</v>
      </c>
      <c r="F2653" s="12" t="s">
        <v>163</v>
      </c>
      <c r="G2653" s="12" t="s">
        <v>164</v>
      </c>
      <c r="H2653" s="12" t="s">
        <v>1025</v>
      </c>
      <c r="I2653" s="12" t="s">
        <v>87</v>
      </c>
    </row>
    <row r="2654" spans="1:9">
      <c r="A2654" s="14">
        <v>88136</v>
      </c>
      <c r="B2654" s="43" t="s">
        <v>887</v>
      </c>
      <c r="C2654" s="44" t="s">
        <v>145</v>
      </c>
      <c r="D2654" s="15" t="str">
        <f t="shared" si="41"/>
        <v>PY - Operational Mgmt (Payer) - SUP</v>
      </c>
      <c r="E2654" s="12" t="s">
        <v>141</v>
      </c>
      <c r="F2654" s="12" t="s">
        <v>163</v>
      </c>
      <c r="G2654" s="12" t="s">
        <v>164</v>
      </c>
      <c r="H2654" s="12" t="s">
        <v>1025</v>
      </c>
      <c r="I2654" s="12" t="s">
        <v>87</v>
      </c>
    </row>
    <row r="2655" spans="1:9">
      <c r="A2655" s="14">
        <v>88136</v>
      </c>
      <c r="B2655" s="43" t="s">
        <v>887</v>
      </c>
      <c r="C2655" s="44" t="s">
        <v>180</v>
      </c>
      <c r="D2655" s="15" t="str">
        <f t="shared" si="41"/>
        <v>PY - Operational Mgmt (Payer) - TMG</v>
      </c>
      <c r="E2655" s="12" t="s">
        <v>141</v>
      </c>
      <c r="F2655" s="12" t="s">
        <v>163</v>
      </c>
      <c r="G2655" s="12" t="s">
        <v>164</v>
      </c>
      <c r="H2655" s="12" t="s">
        <v>1025</v>
      </c>
      <c r="I2655" s="12" t="s">
        <v>87</v>
      </c>
    </row>
    <row r="2656" spans="1:9">
      <c r="A2656" s="14">
        <v>88136</v>
      </c>
      <c r="B2656" s="43" t="s">
        <v>887</v>
      </c>
      <c r="C2656" s="44" t="s">
        <v>185</v>
      </c>
      <c r="D2656" s="15" t="str">
        <f t="shared" si="41"/>
        <v>PY - Operational Mgmt (Payer) - TPS</v>
      </c>
      <c r="E2656" s="12" t="s">
        <v>141</v>
      </c>
      <c r="F2656" s="12" t="s">
        <v>163</v>
      </c>
      <c r="G2656" s="12" t="s">
        <v>164</v>
      </c>
      <c r="H2656" s="12" t="s">
        <v>1025</v>
      </c>
      <c r="I2656" s="12" t="s">
        <v>87</v>
      </c>
    </row>
    <row r="2657" spans="1:9">
      <c r="A2657" s="14">
        <v>88122</v>
      </c>
      <c r="B2657" s="14" t="s">
        <v>893</v>
      </c>
      <c r="C2657" s="12" t="s">
        <v>198</v>
      </c>
      <c r="D2657" s="15" t="str">
        <f t="shared" si="41"/>
        <v>PY-Others Support _Bench - TEC</v>
      </c>
      <c r="E2657" s="12" t="s">
        <v>141</v>
      </c>
      <c r="F2657" s="12" t="s">
        <v>163</v>
      </c>
      <c r="G2657" s="12" t="s">
        <v>164</v>
      </c>
      <c r="H2657" s="12" t="s">
        <v>1025</v>
      </c>
      <c r="I2657" s="12" t="s">
        <v>87</v>
      </c>
    </row>
    <row r="2658" spans="1:9">
      <c r="A2658" s="14">
        <v>88122</v>
      </c>
      <c r="B2658" s="14" t="s">
        <v>893</v>
      </c>
      <c r="C2658" s="12" t="s">
        <v>185</v>
      </c>
      <c r="D2658" s="15" t="str">
        <f t="shared" si="41"/>
        <v>PY-Others Support _Bench - TPS</v>
      </c>
      <c r="E2658" s="12" t="s">
        <v>141</v>
      </c>
      <c r="F2658" s="12" t="s">
        <v>163</v>
      </c>
      <c r="G2658" s="12" t="s">
        <v>164</v>
      </c>
      <c r="H2658" s="12" t="s">
        <v>1025</v>
      </c>
      <c r="I2658" s="12" t="s">
        <v>87</v>
      </c>
    </row>
    <row r="2659" spans="1:9">
      <c r="A2659" s="14">
        <v>97313</v>
      </c>
      <c r="B2659" s="14" t="s">
        <v>896</v>
      </c>
      <c r="C2659" s="12" t="s">
        <v>129</v>
      </c>
      <c r="D2659" s="15" t="str">
        <f t="shared" si="41"/>
        <v>PY-Support Training - MGT</v>
      </c>
      <c r="E2659" s="12" t="s">
        <v>118</v>
      </c>
      <c r="F2659" s="12" t="s">
        <v>370</v>
      </c>
      <c r="G2659" s="12" t="s">
        <v>205</v>
      </c>
      <c r="H2659" s="12" t="s">
        <v>1025</v>
      </c>
      <c r="I2659" s="12" t="s">
        <v>87</v>
      </c>
    </row>
    <row r="2660" spans="1:9">
      <c r="A2660" s="14">
        <v>97313</v>
      </c>
      <c r="B2660" s="14" t="s">
        <v>896</v>
      </c>
      <c r="C2660" s="12" t="s">
        <v>116</v>
      </c>
      <c r="D2660" s="15" t="str">
        <f t="shared" si="41"/>
        <v>PY-Support Training - PRD</v>
      </c>
      <c r="E2660" s="12" t="s">
        <v>118</v>
      </c>
      <c r="F2660" s="12" t="s">
        <v>370</v>
      </c>
      <c r="G2660" s="12" t="s">
        <v>205</v>
      </c>
      <c r="H2660" s="12" t="s">
        <v>1025</v>
      </c>
      <c r="I2660" s="12" t="s">
        <v>87</v>
      </c>
    </row>
    <row r="2661" spans="1:9">
      <c r="A2661" s="14">
        <v>97313</v>
      </c>
      <c r="B2661" s="14" t="s">
        <v>896</v>
      </c>
      <c r="C2661" s="12" t="s">
        <v>145</v>
      </c>
      <c r="D2661" s="15" t="str">
        <f t="shared" si="41"/>
        <v>PY-Support Training - SUP</v>
      </c>
      <c r="E2661" s="12" t="s">
        <v>118</v>
      </c>
      <c r="F2661" s="12" t="s">
        <v>370</v>
      </c>
      <c r="G2661" s="12" t="s">
        <v>205</v>
      </c>
      <c r="H2661" s="12" t="s">
        <v>1025</v>
      </c>
      <c r="I2661" s="12" t="s">
        <v>87</v>
      </c>
    </row>
    <row r="2662" spans="1:9">
      <c r="A2662" s="14">
        <v>97313</v>
      </c>
      <c r="B2662" s="14" t="s">
        <v>896</v>
      </c>
      <c r="C2662" s="12" t="s">
        <v>208</v>
      </c>
      <c r="D2662" s="15" t="str">
        <f t="shared" si="41"/>
        <v>PY-Support Training - TTR</v>
      </c>
      <c r="E2662" s="12" t="s">
        <v>118</v>
      </c>
      <c r="F2662" s="12" t="s">
        <v>370</v>
      </c>
      <c r="G2662" s="12" t="s">
        <v>205</v>
      </c>
      <c r="H2662" s="12" t="s">
        <v>1025</v>
      </c>
      <c r="I2662" s="12" t="s">
        <v>87</v>
      </c>
    </row>
    <row r="2663" spans="1:9">
      <c r="A2663" s="14">
        <v>12320</v>
      </c>
      <c r="B2663" s="14" t="s">
        <v>531</v>
      </c>
      <c r="C2663" s="12" t="s">
        <v>116</v>
      </c>
      <c r="D2663" s="15" t="str">
        <f t="shared" si="41"/>
        <v>Recondo - Maintenance - PRD</v>
      </c>
      <c r="E2663" s="12" t="s">
        <v>117</v>
      </c>
      <c r="F2663" s="12" t="s">
        <v>117</v>
      </c>
      <c r="G2663" s="12" t="s">
        <v>117</v>
      </c>
      <c r="H2663" s="12" t="s">
        <v>1025</v>
      </c>
      <c r="I2663" s="12" t="s">
        <v>87</v>
      </c>
    </row>
    <row r="2664" spans="1:9">
      <c r="A2664" s="14">
        <v>97204</v>
      </c>
      <c r="B2664" s="14" t="s">
        <v>898</v>
      </c>
      <c r="C2664" s="12" t="s">
        <v>129</v>
      </c>
      <c r="D2664" s="15" t="str">
        <f t="shared" si="41"/>
        <v>Recruiting - Sourcing Team - MGT</v>
      </c>
      <c r="E2664" s="12" t="s">
        <v>118</v>
      </c>
      <c r="F2664" s="12" t="s">
        <v>512</v>
      </c>
      <c r="G2664" s="12" t="s">
        <v>114</v>
      </c>
      <c r="H2664" s="12" t="s">
        <v>1025</v>
      </c>
      <c r="I2664" s="12" t="s">
        <v>87</v>
      </c>
    </row>
    <row r="2665" spans="1:9">
      <c r="A2665" s="14">
        <v>97204</v>
      </c>
      <c r="B2665" s="14" t="s">
        <v>898</v>
      </c>
      <c r="C2665" s="12" t="s">
        <v>514</v>
      </c>
      <c r="D2665" s="15" t="str">
        <f t="shared" si="41"/>
        <v>Recruiting - Sourcing Team - REC</v>
      </c>
      <c r="E2665" s="12" t="s">
        <v>118</v>
      </c>
      <c r="F2665" s="12" t="s">
        <v>512</v>
      </c>
      <c r="G2665" s="12" t="s">
        <v>114</v>
      </c>
      <c r="H2665" s="12" t="s">
        <v>1025</v>
      </c>
      <c r="I2665" s="12" t="s">
        <v>87</v>
      </c>
    </row>
    <row r="2666" spans="1:9">
      <c r="A2666" s="14">
        <v>97204</v>
      </c>
      <c r="B2666" s="14" t="s">
        <v>898</v>
      </c>
      <c r="C2666" s="12" t="s">
        <v>145</v>
      </c>
      <c r="D2666" s="15" t="str">
        <f t="shared" si="41"/>
        <v>Recruiting - Sourcing Team - SUP</v>
      </c>
      <c r="E2666" s="12" t="s">
        <v>118</v>
      </c>
      <c r="F2666" s="12" t="s">
        <v>512</v>
      </c>
      <c r="G2666" s="12" t="s">
        <v>114</v>
      </c>
      <c r="H2666" s="12" t="s">
        <v>1025</v>
      </c>
      <c r="I2666" s="12" t="s">
        <v>87</v>
      </c>
    </row>
    <row r="2667" spans="1:9">
      <c r="A2667" s="14">
        <v>97223</v>
      </c>
      <c r="B2667" s="14" t="s">
        <v>900</v>
      </c>
      <c r="C2667" s="12" t="s">
        <v>556</v>
      </c>
      <c r="D2667" s="15" t="str">
        <f t="shared" si="41"/>
        <v>Recruitment - CLM - HRD</v>
      </c>
      <c r="E2667" s="12" t="s">
        <v>118</v>
      </c>
      <c r="F2667" s="12" t="s">
        <v>512</v>
      </c>
      <c r="G2667" s="12" t="s">
        <v>114</v>
      </c>
      <c r="H2667" s="12" t="s">
        <v>1025</v>
      </c>
      <c r="I2667" s="12" t="s">
        <v>87</v>
      </c>
    </row>
    <row r="2668" spans="1:9">
      <c r="A2668" s="14">
        <v>97223</v>
      </c>
      <c r="B2668" s="14" t="s">
        <v>900</v>
      </c>
      <c r="C2668" s="12" t="s">
        <v>129</v>
      </c>
      <c r="D2668" s="15" t="str">
        <f t="shared" si="41"/>
        <v>Recruitment - CLM - MGT</v>
      </c>
      <c r="E2668" s="12" t="s">
        <v>118</v>
      </c>
      <c r="F2668" s="12" t="s">
        <v>512</v>
      </c>
      <c r="G2668" s="12" t="s">
        <v>114</v>
      </c>
      <c r="H2668" s="12" t="s">
        <v>1025</v>
      </c>
      <c r="I2668" s="12" t="s">
        <v>87</v>
      </c>
    </row>
    <row r="2669" spans="1:9">
      <c r="A2669" s="14">
        <v>97223</v>
      </c>
      <c r="B2669" s="14" t="s">
        <v>900</v>
      </c>
      <c r="C2669" s="12" t="s">
        <v>514</v>
      </c>
      <c r="D2669" s="15" t="str">
        <f t="shared" si="41"/>
        <v>Recruitment - CLM - REC</v>
      </c>
      <c r="E2669" s="12" t="s">
        <v>118</v>
      </c>
      <c r="F2669" s="12" t="s">
        <v>512</v>
      </c>
      <c r="G2669" s="12" t="s">
        <v>114</v>
      </c>
      <c r="H2669" s="12" t="s">
        <v>1025</v>
      </c>
      <c r="I2669" s="12" t="s">
        <v>87</v>
      </c>
    </row>
    <row r="2670" spans="1:9">
      <c r="A2670" s="14">
        <v>97223</v>
      </c>
      <c r="B2670" s="14" t="s">
        <v>900</v>
      </c>
      <c r="C2670" s="12" t="s">
        <v>172</v>
      </c>
      <c r="D2670" s="15" t="str">
        <f t="shared" si="41"/>
        <v>Recruitment - CLM - SME</v>
      </c>
      <c r="E2670" s="12" t="s">
        <v>118</v>
      </c>
      <c r="F2670" s="12" t="s">
        <v>512</v>
      </c>
      <c r="G2670" s="12" t="s">
        <v>114</v>
      </c>
      <c r="H2670" s="12" t="s">
        <v>1025</v>
      </c>
      <c r="I2670" s="12" t="s">
        <v>87</v>
      </c>
    </row>
    <row r="2671" spans="1:9">
      <c r="A2671" s="14">
        <v>97223</v>
      </c>
      <c r="B2671" s="14" t="s">
        <v>900</v>
      </c>
      <c r="C2671" s="12" t="s">
        <v>139</v>
      </c>
      <c r="D2671" s="15" t="str">
        <f t="shared" si="41"/>
        <v>Recruitment - CLM - SMGT</v>
      </c>
      <c r="E2671" s="12" t="s">
        <v>118</v>
      </c>
      <c r="F2671" s="12" t="s">
        <v>512</v>
      </c>
      <c r="G2671" s="12" t="s">
        <v>114</v>
      </c>
      <c r="H2671" s="12" t="s">
        <v>1025</v>
      </c>
      <c r="I2671" s="12" t="s">
        <v>87</v>
      </c>
    </row>
    <row r="2672" spans="1:9">
      <c r="A2672" s="14">
        <v>97223</v>
      </c>
      <c r="B2672" s="14" t="s">
        <v>900</v>
      </c>
      <c r="C2672" s="12" t="s">
        <v>145</v>
      </c>
      <c r="D2672" s="15" t="str">
        <f t="shared" si="41"/>
        <v>Recruitment - CLM - SUP</v>
      </c>
      <c r="E2672" s="12" t="s">
        <v>118</v>
      </c>
      <c r="F2672" s="12" t="s">
        <v>512</v>
      </c>
      <c r="G2672" s="12" t="s">
        <v>114</v>
      </c>
      <c r="H2672" s="12" t="s">
        <v>1025</v>
      </c>
      <c r="I2672" s="12" t="s">
        <v>87</v>
      </c>
    </row>
    <row r="2673" spans="1:9">
      <c r="A2673" s="14">
        <v>97229</v>
      </c>
      <c r="B2673" s="14" t="s">
        <v>909</v>
      </c>
      <c r="C2673" s="12" t="s">
        <v>145</v>
      </c>
      <c r="D2673" s="15" t="str">
        <f t="shared" si="41"/>
        <v>Recruitment - GLA - SUP</v>
      </c>
      <c r="E2673" s="12" t="s">
        <v>118</v>
      </c>
      <c r="F2673" s="12" t="s">
        <v>512</v>
      </c>
      <c r="G2673" s="12" t="s">
        <v>114</v>
      </c>
      <c r="H2673" s="12" t="s">
        <v>1025</v>
      </c>
      <c r="I2673" s="12" t="s">
        <v>87</v>
      </c>
    </row>
    <row r="2674" spans="1:9">
      <c r="A2674" s="14">
        <v>97229</v>
      </c>
      <c r="B2674" s="14" t="s">
        <v>909</v>
      </c>
      <c r="C2674" s="12" t="s">
        <v>203</v>
      </c>
      <c r="D2674" s="15" t="str">
        <f t="shared" si="41"/>
        <v>Recruitment - GLA - TRG</v>
      </c>
      <c r="E2674" s="12" t="s">
        <v>118</v>
      </c>
      <c r="F2674" s="12" t="s">
        <v>512</v>
      </c>
      <c r="G2674" s="12" t="s">
        <v>114</v>
      </c>
      <c r="H2674" s="12" t="s">
        <v>1025</v>
      </c>
      <c r="I2674" s="12" t="s">
        <v>87</v>
      </c>
    </row>
    <row r="2675" spans="1:9">
      <c r="A2675" s="14">
        <v>97217</v>
      </c>
      <c r="B2675" s="14" t="s">
        <v>912</v>
      </c>
      <c r="C2675" s="12" t="s">
        <v>556</v>
      </c>
      <c r="D2675" s="15" t="str">
        <f t="shared" si="41"/>
        <v>Recruitment – Leadership - HRD</v>
      </c>
      <c r="E2675" s="12" t="s">
        <v>118</v>
      </c>
      <c r="F2675" s="12" t="s">
        <v>512</v>
      </c>
      <c r="G2675" s="12" t="s">
        <v>114</v>
      </c>
      <c r="H2675" s="12" t="s">
        <v>1025</v>
      </c>
      <c r="I2675" s="12" t="s">
        <v>87</v>
      </c>
    </row>
    <row r="2676" spans="1:9">
      <c r="A2676" s="14">
        <v>97217</v>
      </c>
      <c r="B2676" s="14" t="s">
        <v>912</v>
      </c>
      <c r="C2676" s="12" t="s">
        <v>514</v>
      </c>
      <c r="D2676" s="15" t="str">
        <f t="shared" si="41"/>
        <v>Recruitment – Leadership - REC</v>
      </c>
      <c r="E2676" s="12" t="s">
        <v>118</v>
      </c>
      <c r="F2676" s="12" t="s">
        <v>512</v>
      </c>
      <c r="G2676" s="12" t="s">
        <v>114</v>
      </c>
      <c r="H2676" s="12" t="s">
        <v>1025</v>
      </c>
      <c r="I2676" s="12" t="s">
        <v>87</v>
      </c>
    </row>
    <row r="2677" spans="1:9">
      <c r="A2677" s="14">
        <v>97217</v>
      </c>
      <c r="B2677" s="14" t="s">
        <v>912</v>
      </c>
      <c r="C2677" s="12" t="s">
        <v>145</v>
      </c>
      <c r="D2677" s="15" t="str">
        <f t="shared" si="41"/>
        <v>Recruitment – Leadership - SUP</v>
      </c>
      <c r="E2677" s="12" t="s">
        <v>118</v>
      </c>
      <c r="F2677" s="12" t="s">
        <v>512</v>
      </c>
      <c r="G2677" s="12" t="s">
        <v>114</v>
      </c>
      <c r="H2677" s="12" t="s">
        <v>1025</v>
      </c>
      <c r="I2677" s="12" t="s">
        <v>87</v>
      </c>
    </row>
    <row r="2678" spans="1:9">
      <c r="A2678" s="14">
        <v>97230</v>
      </c>
      <c r="B2678" s="14" t="s">
        <v>913</v>
      </c>
      <c r="C2678" s="12" t="s">
        <v>129</v>
      </c>
      <c r="D2678" s="15" t="str">
        <f t="shared" si="41"/>
        <v>Recruitment - Program SS - MGT</v>
      </c>
      <c r="E2678" s="12" t="s">
        <v>118</v>
      </c>
      <c r="F2678" s="12" t="s">
        <v>512</v>
      </c>
      <c r="G2678" s="12" t="s">
        <v>114</v>
      </c>
      <c r="H2678" s="12" t="s">
        <v>1025</v>
      </c>
      <c r="I2678" s="12" t="s">
        <v>87</v>
      </c>
    </row>
    <row r="2679" spans="1:9">
      <c r="A2679" s="14">
        <v>97230</v>
      </c>
      <c r="B2679" s="14" t="s">
        <v>913</v>
      </c>
      <c r="C2679" s="12" t="s">
        <v>514</v>
      </c>
      <c r="D2679" s="15" t="str">
        <f t="shared" si="41"/>
        <v>Recruitment - Program SS - REC</v>
      </c>
      <c r="E2679" s="12" t="s">
        <v>118</v>
      </c>
      <c r="F2679" s="12" t="s">
        <v>512</v>
      </c>
      <c r="G2679" s="12" t="s">
        <v>114</v>
      </c>
      <c r="H2679" s="12" t="s">
        <v>1025</v>
      </c>
      <c r="I2679" s="12" t="s">
        <v>87</v>
      </c>
    </row>
    <row r="2680" spans="1:9">
      <c r="A2680" s="14">
        <v>97230</v>
      </c>
      <c r="B2680" s="14" t="s">
        <v>913</v>
      </c>
      <c r="C2680" s="12" t="s">
        <v>145</v>
      </c>
      <c r="D2680" s="15" t="str">
        <f t="shared" si="41"/>
        <v>Recruitment - Program SS - SUP</v>
      </c>
      <c r="E2680" s="12" t="s">
        <v>118</v>
      </c>
      <c r="F2680" s="12" t="s">
        <v>512</v>
      </c>
      <c r="G2680" s="12" t="s">
        <v>114</v>
      </c>
      <c r="H2680" s="12" t="s">
        <v>1025</v>
      </c>
      <c r="I2680" s="12" t="s">
        <v>87</v>
      </c>
    </row>
    <row r="2681" spans="1:9">
      <c r="A2681" s="14">
        <v>95260</v>
      </c>
      <c r="B2681" s="14" t="s">
        <v>914</v>
      </c>
      <c r="C2681" s="12" t="s">
        <v>262</v>
      </c>
      <c r="D2681" s="15" t="str">
        <f t="shared" si="41"/>
        <v>Reporting - GSI - GSI</v>
      </c>
      <c r="E2681" s="12" t="s">
        <v>118</v>
      </c>
      <c r="F2681" s="12" t="s">
        <v>263</v>
      </c>
      <c r="G2681" s="12" t="s">
        <v>264</v>
      </c>
      <c r="H2681" s="12" t="s">
        <v>1025</v>
      </c>
      <c r="I2681" s="12" t="s">
        <v>87</v>
      </c>
    </row>
    <row r="2682" spans="1:9">
      <c r="A2682" s="14">
        <v>95260</v>
      </c>
      <c r="B2682" s="14" t="s">
        <v>914</v>
      </c>
      <c r="C2682" s="12" t="s">
        <v>415</v>
      </c>
      <c r="D2682" s="15" t="str">
        <f t="shared" si="41"/>
        <v>Reporting - GSI - GTI</v>
      </c>
      <c r="E2682" s="12" t="s">
        <v>118</v>
      </c>
      <c r="F2682" s="12" t="s">
        <v>263</v>
      </c>
      <c r="G2682" s="12" t="s">
        <v>264</v>
      </c>
      <c r="H2682" s="12" t="s">
        <v>1025</v>
      </c>
      <c r="I2682" s="12" t="s">
        <v>87</v>
      </c>
    </row>
    <row r="2683" spans="1:9">
      <c r="A2683" s="14">
        <v>95260</v>
      </c>
      <c r="B2683" s="14" t="s">
        <v>914</v>
      </c>
      <c r="C2683" s="12" t="s">
        <v>145</v>
      </c>
      <c r="D2683" s="15" t="str">
        <f t="shared" si="41"/>
        <v>Reporting - GSI - SUP</v>
      </c>
      <c r="E2683" s="12" t="s">
        <v>118</v>
      </c>
      <c r="F2683" s="12" t="s">
        <v>263</v>
      </c>
      <c r="G2683" s="12" t="s">
        <v>264</v>
      </c>
      <c r="H2683" s="12" t="s">
        <v>1025</v>
      </c>
      <c r="I2683" s="12" t="s">
        <v>87</v>
      </c>
    </row>
    <row r="2684" spans="1:9">
      <c r="A2684" s="14">
        <v>95220</v>
      </c>
      <c r="B2684" s="14" t="s">
        <v>915</v>
      </c>
      <c r="C2684" s="12" t="s">
        <v>262</v>
      </c>
      <c r="D2684" s="15" t="str">
        <f t="shared" si="41"/>
        <v>Requirements Team - GSI</v>
      </c>
      <c r="E2684" s="12" t="s">
        <v>118</v>
      </c>
      <c r="F2684" s="12" t="s">
        <v>263</v>
      </c>
      <c r="G2684" s="12" t="s">
        <v>264</v>
      </c>
      <c r="H2684" s="12" t="s">
        <v>1025</v>
      </c>
      <c r="I2684" s="12" t="s">
        <v>87</v>
      </c>
    </row>
    <row r="2685" spans="1:9">
      <c r="A2685" s="14">
        <v>95220</v>
      </c>
      <c r="B2685" s="14" t="s">
        <v>915</v>
      </c>
      <c r="C2685" s="12" t="s">
        <v>129</v>
      </c>
      <c r="D2685" s="15" t="str">
        <f t="shared" si="41"/>
        <v>Requirements Team - MGT</v>
      </c>
      <c r="E2685" s="12" t="s">
        <v>118</v>
      </c>
      <c r="F2685" s="12" t="s">
        <v>263</v>
      </c>
      <c r="G2685" s="12" t="s">
        <v>264</v>
      </c>
      <c r="H2685" s="12" t="s">
        <v>1025</v>
      </c>
      <c r="I2685" s="12" t="s">
        <v>87</v>
      </c>
    </row>
    <row r="2686" spans="1:9">
      <c r="A2686" s="14">
        <v>95220</v>
      </c>
      <c r="B2686" s="14" t="s">
        <v>915</v>
      </c>
      <c r="C2686" s="12" t="s">
        <v>145</v>
      </c>
      <c r="D2686" s="15" t="str">
        <f t="shared" si="41"/>
        <v>Requirements Team - SUP</v>
      </c>
      <c r="E2686" s="12" t="s">
        <v>118</v>
      </c>
      <c r="F2686" s="12" t="s">
        <v>263</v>
      </c>
      <c r="G2686" s="12" t="s">
        <v>264</v>
      </c>
      <c r="H2686" s="12" t="s">
        <v>1025</v>
      </c>
      <c r="I2686" s="12" t="s">
        <v>87</v>
      </c>
    </row>
    <row r="2687" spans="1:9">
      <c r="A2687" s="14">
        <v>10824</v>
      </c>
      <c r="B2687" s="14" t="s">
        <v>411</v>
      </c>
      <c r="C2687" s="12" t="s">
        <v>193</v>
      </c>
      <c r="D2687" s="15" t="str">
        <f t="shared" si="41"/>
        <v>Saks-data engineering POD-Ind - DEV</v>
      </c>
      <c r="E2687" s="12" t="s">
        <v>117</v>
      </c>
      <c r="F2687" s="12" t="s">
        <v>117</v>
      </c>
      <c r="G2687" s="12" t="s">
        <v>117</v>
      </c>
      <c r="H2687" s="12" t="s">
        <v>1025</v>
      </c>
      <c r="I2687" s="12" t="s">
        <v>87</v>
      </c>
    </row>
    <row r="2688" spans="1:9">
      <c r="A2688" s="14">
        <v>51537</v>
      </c>
      <c r="B2688" s="14" t="s">
        <v>839</v>
      </c>
      <c r="C2688" s="12" t="s">
        <v>145</v>
      </c>
      <c r="D2688" s="15" t="str">
        <f t="shared" si="41"/>
        <v>SDS-NRUCFC-2312-2405-Tester-R - SUP</v>
      </c>
      <c r="E2688" s="12" t="s">
        <v>117</v>
      </c>
      <c r="F2688" s="12" t="s">
        <v>117</v>
      </c>
      <c r="G2688" s="12" t="s">
        <v>117</v>
      </c>
      <c r="H2688" s="12" t="s">
        <v>1025</v>
      </c>
      <c r="I2688" s="12" t="s">
        <v>87</v>
      </c>
    </row>
    <row r="2689" spans="1:9">
      <c r="A2689" s="14">
        <v>95503</v>
      </c>
      <c r="B2689" s="14" t="s">
        <v>917</v>
      </c>
      <c r="C2689" s="12" t="s">
        <v>415</v>
      </c>
      <c r="D2689" s="15" t="str">
        <f t="shared" si="41"/>
        <v>Security Engineering - GTI</v>
      </c>
      <c r="E2689" s="12" t="s">
        <v>118</v>
      </c>
      <c r="F2689" s="12" t="s">
        <v>918</v>
      </c>
      <c r="G2689" s="12" t="s">
        <v>264</v>
      </c>
      <c r="H2689" s="12" t="s">
        <v>1025</v>
      </c>
      <c r="I2689" s="12" t="s">
        <v>87</v>
      </c>
    </row>
    <row r="2690" spans="1:9">
      <c r="A2690" s="14">
        <v>95503</v>
      </c>
      <c r="B2690" s="14" t="s">
        <v>917</v>
      </c>
      <c r="C2690" s="12" t="s">
        <v>145</v>
      </c>
      <c r="D2690" s="15" t="str">
        <f t="shared" ref="D2690:D2753" si="42">B2690&amp;" - "&amp;C2690</f>
        <v>Security Engineering - SUP</v>
      </c>
      <c r="E2690" s="12" t="s">
        <v>118</v>
      </c>
      <c r="F2690" s="12" t="s">
        <v>918</v>
      </c>
      <c r="G2690" s="12" t="s">
        <v>264</v>
      </c>
      <c r="H2690" s="12" t="s">
        <v>1025</v>
      </c>
      <c r="I2690" s="12" t="s">
        <v>87</v>
      </c>
    </row>
    <row r="2691" spans="1:9">
      <c r="A2691" s="14">
        <v>92104</v>
      </c>
      <c r="B2691" s="14" t="s">
        <v>919</v>
      </c>
      <c r="C2691" s="12" t="s">
        <v>920</v>
      </c>
      <c r="D2691" s="15" t="str">
        <f t="shared" si="42"/>
        <v>Security Management - GM - FSM</v>
      </c>
      <c r="E2691" s="12" t="s">
        <v>118</v>
      </c>
      <c r="F2691" s="12" t="s">
        <v>518</v>
      </c>
      <c r="G2691" s="12" t="s">
        <v>350</v>
      </c>
      <c r="H2691" s="12" t="s">
        <v>1025</v>
      </c>
      <c r="I2691" s="12" t="s">
        <v>87</v>
      </c>
    </row>
    <row r="2692" spans="1:9">
      <c r="A2692" s="14">
        <v>92104</v>
      </c>
      <c r="B2692" s="14" t="s">
        <v>919</v>
      </c>
      <c r="C2692" s="12" t="s">
        <v>145</v>
      </c>
      <c r="D2692" s="15" t="str">
        <f t="shared" si="42"/>
        <v>Security Management - GM - SUP</v>
      </c>
      <c r="E2692" s="12" t="s">
        <v>118</v>
      </c>
      <c r="F2692" s="12" t="s">
        <v>518</v>
      </c>
      <c r="G2692" s="12" t="s">
        <v>350</v>
      </c>
      <c r="H2692" s="12" t="s">
        <v>1025</v>
      </c>
      <c r="I2692" s="12" t="s">
        <v>87</v>
      </c>
    </row>
    <row r="2693" spans="1:9">
      <c r="A2693" s="14">
        <v>95106</v>
      </c>
      <c r="B2693" s="14" t="s">
        <v>921</v>
      </c>
      <c r="C2693" s="12" t="s">
        <v>415</v>
      </c>
      <c r="D2693" s="15" t="str">
        <f t="shared" si="42"/>
        <v>Server - GTI</v>
      </c>
      <c r="E2693" s="12" t="s">
        <v>117</v>
      </c>
      <c r="F2693" s="12" t="s">
        <v>117</v>
      </c>
      <c r="G2693" s="12" t="s">
        <v>117</v>
      </c>
      <c r="H2693" s="12" t="s">
        <v>1025</v>
      </c>
      <c r="I2693" s="12" t="s">
        <v>87</v>
      </c>
    </row>
    <row r="2694" spans="1:9">
      <c r="A2694" s="14">
        <v>95106</v>
      </c>
      <c r="B2694" s="14" t="s">
        <v>921</v>
      </c>
      <c r="C2694" s="12" t="s">
        <v>145</v>
      </c>
      <c r="D2694" s="15" t="str">
        <f t="shared" si="42"/>
        <v>Server - SUP</v>
      </c>
      <c r="E2694" s="12" t="s">
        <v>117</v>
      </c>
      <c r="F2694" s="12" t="s">
        <v>117</v>
      </c>
      <c r="G2694" s="12" t="s">
        <v>117</v>
      </c>
      <c r="H2694" s="12" t="s">
        <v>1025</v>
      </c>
      <c r="I2694" s="12" t="s">
        <v>87</v>
      </c>
    </row>
    <row r="2695" spans="1:9">
      <c r="A2695" s="14">
        <v>91004</v>
      </c>
      <c r="B2695" s="14" t="s">
        <v>923</v>
      </c>
      <c r="C2695" s="12" t="s">
        <v>133</v>
      </c>
      <c r="D2695" s="15" t="str">
        <f t="shared" si="42"/>
        <v>Service  Excellence - AMG</v>
      </c>
      <c r="E2695" s="12" t="s">
        <v>118</v>
      </c>
      <c r="F2695" s="12" t="s">
        <v>401</v>
      </c>
      <c r="G2695" s="12" t="s">
        <v>114</v>
      </c>
      <c r="H2695" s="12" t="s">
        <v>1025</v>
      </c>
      <c r="I2695" s="12" t="s">
        <v>87</v>
      </c>
    </row>
    <row r="2696" spans="1:9">
      <c r="A2696" s="14">
        <v>91004</v>
      </c>
      <c r="B2696" s="14" t="s">
        <v>923</v>
      </c>
      <c r="C2696" s="12" t="s">
        <v>129</v>
      </c>
      <c r="D2696" s="15" t="str">
        <f t="shared" si="42"/>
        <v>Service  Excellence - MGT</v>
      </c>
      <c r="E2696" s="12" t="s">
        <v>118</v>
      </c>
      <c r="F2696" s="12" t="s">
        <v>401</v>
      </c>
      <c r="G2696" s="12" t="s">
        <v>114</v>
      </c>
      <c r="H2696" s="12" t="s">
        <v>1025</v>
      </c>
      <c r="I2696" s="12" t="s">
        <v>87</v>
      </c>
    </row>
    <row r="2697" spans="1:9">
      <c r="A2697" s="14">
        <v>91004</v>
      </c>
      <c r="B2697" s="14" t="s">
        <v>923</v>
      </c>
      <c r="C2697" s="12" t="s">
        <v>177</v>
      </c>
      <c r="D2697" s="15" t="str">
        <f t="shared" si="42"/>
        <v>Service  Excellence - OPS</v>
      </c>
      <c r="E2697" s="12" t="s">
        <v>118</v>
      </c>
      <c r="F2697" s="12" t="s">
        <v>401</v>
      </c>
      <c r="G2697" s="12" t="s">
        <v>114</v>
      </c>
      <c r="H2697" s="12" t="s">
        <v>1025</v>
      </c>
      <c r="I2697" s="12" t="s">
        <v>87</v>
      </c>
    </row>
    <row r="2698" spans="1:9">
      <c r="A2698" s="14">
        <v>91004</v>
      </c>
      <c r="B2698" s="14" t="s">
        <v>923</v>
      </c>
      <c r="C2698" s="12" t="s">
        <v>230</v>
      </c>
      <c r="D2698" s="15" t="str">
        <f t="shared" si="42"/>
        <v>Service  Excellence - PRSP</v>
      </c>
      <c r="E2698" s="12" t="s">
        <v>118</v>
      </c>
      <c r="F2698" s="12" t="s">
        <v>401</v>
      </c>
      <c r="G2698" s="12" t="s">
        <v>114</v>
      </c>
      <c r="H2698" s="12" t="s">
        <v>1025</v>
      </c>
      <c r="I2698" s="12" t="s">
        <v>87</v>
      </c>
    </row>
    <row r="2699" spans="1:9">
      <c r="A2699" s="14">
        <v>91004</v>
      </c>
      <c r="B2699" s="14" t="s">
        <v>923</v>
      </c>
      <c r="C2699" s="12" t="s">
        <v>111</v>
      </c>
      <c r="D2699" s="15" t="str">
        <f t="shared" si="42"/>
        <v>Service  Excellence - QLY</v>
      </c>
      <c r="E2699" s="12" t="s">
        <v>118</v>
      </c>
      <c r="F2699" s="12" t="s">
        <v>401</v>
      </c>
      <c r="G2699" s="12" t="s">
        <v>114</v>
      </c>
      <c r="H2699" s="12" t="s">
        <v>1025</v>
      </c>
      <c r="I2699" s="12" t="s">
        <v>87</v>
      </c>
    </row>
    <row r="2700" spans="1:9">
      <c r="A2700" s="14">
        <v>91004</v>
      </c>
      <c r="B2700" s="14" t="s">
        <v>923</v>
      </c>
      <c r="C2700" s="12" t="s">
        <v>139</v>
      </c>
      <c r="D2700" s="15" t="str">
        <f t="shared" si="42"/>
        <v>Service  Excellence - SMGT</v>
      </c>
      <c r="E2700" s="12" t="s">
        <v>118</v>
      </c>
      <c r="F2700" s="12" t="s">
        <v>401</v>
      </c>
      <c r="G2700" s="12" t="s">
        <v>114</v>
      </c>
      <c r="H2700" s="12" t="s">
        <v>1025</v>
      </c>
      <c r="I2700" s="12" t="s">
        <v>87</v>
      </c>
    </row>
    <row r="2701" spans="1:9">
      <c r="A2701" s="14">
        <v>91004</v>
      </c>
      <c r="B2701" s="14" t="s">
        <v>923</v>
      </c>
      <c r="C2701" s="12" t="s">
        <v>145</v>
      </c>
      <c r="D2701" s="15" t="str">
        <f t="shared" si="42"/>
        <v>Service  Excellence - SUP</v>
      </c>
      <c r="E2701" s="12" t="s">
        <v>118</v>
      </c>
      <c r="F2701" s="12" t="s">
        <v>401</v>
      </c>
      <c r="G2701" s="12" t="s">
        <v>114</v>
      </c>
      <c r="H2701" s="12" t="s">
        <v>1025</v>
      </c>
      <c r="I2701" s="12" t="s">
        <v>87</v>
      </c>
    </row>
    <row r="2702" spans="1:9">
      <c r="A2702" s="14">
        <v>91004</v>
      </c>
      <c r="B2702" s="14" t="s">
        <v>923</v>
      </c>
      <c r="C2702" s="12" t="s">
        <v>925</v>
      </c>
      <c r="D2702" s="15" t="str">
        <f t="shared" si="42"/>
        <v>Service  Excellence - SXL</v>
      </c>
      <c r="E2702" s="12" t="s">
        <v>118</v>
      </c>
      <c r="F2702" s="12" t="s">
        <v>401</v>
      </c>
      <c r="G2702" s="12" t="s">
        <v>114</v>
      </c>
      <c r="H2702" s="12" t="s">
        <v>1025</v>
      </c>
      <c r="I2702" s="12" t="s">
        <v>87</v>
      </c>
    </row>
    <row r="2703" spans="1:9">
      <c r="A2703" s="14">
        <v>91004</v>
      </c>
      <c r="B2703" s="14" t="s">
        <v>923</v>
      </c>
      <c r="C2703" s="12" t="s">
        <v>180</v>
      </c>
      <c r="D2703" s="15" t="str">
        <f t="shared" si="42"/>
        <v>Service  Excellence - TMG</v>
      </c>
      <c r="E2703" s="12" t="s">
        <v>118</v>
      </c>
      <c r="F2703" s="12" t="s">
        <v>401</v>
      </c>
      <c r="G2703" s="12" t="s">
        <v>114</v>
      </c>
      <c r="H2703" s="12" t="s">
        <v>1025</v>
      </c>
      <c r="I2703" s="12" t="s">
        <v>87</v>
      </c>
    </row>
    <row r="2704" spans="1:9">
      <c r="A2704" s="14">
        <v>91737</v>
      </c>
      <c r="B2704" s="14" t="s">
        <v>927</v>
      </c>
      <c r="C2704" s="12" t="s">
        <v>145</v>
      </c>
      <c r="D2704" s="15" t="str">
        <f t="shared" si="42"/>
        <v>Service Delivery - Healthcare - SUP</v>
      </c>
      <c r="E2704" s="12" t="s">
        <v>154</v>
      </c>
      <c r="F2704" s="12" t="s">
        <v>163</v>
      </c>
      <c r="G2704" s="12" t="s">
        <v>164</v>
      </c>
      <c r="H2704" s="12" t="s">
        <v>1025</v>
      </c>
      <c r="I2704" s="12" t="s">
        <v>87</v>
      </c>
    </row>
    <row r="2705" spans="1:9">
      <c r="A2705" s="14">
        <v>97245</v>
      </c>
      <c r="B2705" s="14" t="s">
        <v>929</v>
      </c>
      <c r="C2705" s="12" t="s">
        <v>129</v>
      </c>
      <c r="D2705" s="15" t="str">
        <f t="shared" si="42"/>
        <v>SGS Digital Recruitment - MGT</v>
      </c>
      <c r="E2705" s="12" t="s">
        <v>118</v>
      </c>
      <c r="F2705" s="12" t="s">
        <v>512</v>
      </c>
      <c r="G2705" s="12" t="s">
        <v>114</v>
      </c>
      <c r="H2705" s="12" t="s">
        <v>1025</v>
      </c>
      <c r="I2705" s="12" t="s">
        <v>87</v>
      </c>
    </row>
    <row r="2706" spans="1:9">
      <c r="A2706" s="14">
        <v>97245</v>
      </c>
      <c r="B2706" s="14" t="s">
        <v>929</v>
      </c>
      <c r="C2706" s="12" t="s">
        <v>514</v>
      </c>
      <c r="D2706" s="15" t="str">
        <f t="shared" si="42"/>
        <v>SGS Digital Recruitment - REC</v>
      </c>
      <c r="E2706" s="12" t="s">
        <v>118</v>
      </c>
      <c r="F2706" s="12" t="s">
        <v>512</v>
      </c>
      <c r="G2706" s="12" t="s">
        <v>114</v>
      </c>
      <c r="H2706" s="12" t="s">
        <v>1025</v>
      </c>
      <c r="I2706" s="12" t="s">
        <v>87</v>
      </c>
    </row>
    <row r="2707" spans="1:9">
      <c r="A2707" s="14">
        <v>97245</v>
      </c>
      <c r="B2707" s="14" t="s">
        <v>929</v>
      </c>
      <c r="C2707" s="12" t="s">
        <v>145</v>
      </c>
      <c r="D2707" s="15" t="str">
        <f t="shared" si="42"/>
        <v>SGS Digital Recruitment - SUP</v>
      </c>
      <c r="E2707" s="12" t="s">
        <v>118</v>
      </c>
      <c r="F2707" s="12" t="s">
        <v>512</v>
      </c>
      <c r="G2707" s="12" t="s">
        <v>114</v>
      </c>
      <c r="H2707" s="12" t="s">
        <v>1025</v>
      </c>
      <c r="I2707" s="12" t="s">
        <v>87</v>
      </c>
    </row>
    <row r="2708" spans="1:9">
      <c r="A2708" s="14">
        <v>98006</v>
      </c>
      <c r="B2708" s="14" t="s">
        <v>932</v>
      </c>
      <c r="C2708" s="12" t="s">
        <v>133</v>
      </c>
      <c r="D2708" s="15" t="str">
        <f t="shared" si="42"/>
        <v>SHARED SERVICES - TRAVEL - AMG</v>
      </c>
      <c r="E2708" s="12" t="s">
        <v>118</v>
      </c>
      <c r="F2708" s="12" t="s">
        <v>518</v>
      </c>
      <c r="G2708" s="12" t="s">
        <v>350</v>
      </c>
      <c r="H2708" s="12" t="s">
        <v>1025</v>
      </c>
      <c r="I2708" s="12" t="s">
        <v>87</v>
      </c>
    </row>
    <row r="2709" spans="1:9">
      <c r="A2709" s="14">
        <v>98006</v>
      </c>
      <c r="B2709" s="14" t="s">
        <v>932</v>
      </c>
      <c r="C2709" s="12" t="s">
        <v>129</v>
      </c>
      <c r="D2709" s="15" t="str">
        <f t="shared" si="42"/>
        <v>SHARED SERVICES - TRAVEL - MGT</v>
      </c>
      <c r="E2709" s="12" t="s">
        <v>118</v>
      </c>
      <c r="F2709" s="12" t="s">
        <v>518</v>
      </c>
      <c r="G2709" s="12" t="s">
        <v>350</v>
      </c>
      <c r="H2709" s="12" t="s">
        <v>1025</v>
      </c>
      <c r="I2709" s="12" t="s">
        <v>87</v>
      </c>
    </row>
    <row r="2710" spans="1:9">
      <c r="A2710" s="14">
        <v>98006</v>
      </c>
      <c r="B2710" s="14" t="s">
        <v>932</v>
      </c>
      <c r="C2710" s="12" t="s">
        <v>145</v>
      </c>
      <c r="D2710" s="15" t="str">
        <f t="shared" si="42"/>
        <v>SHARED SERVICES - TRAVEL - SUP</v>
      </c>
      <c r="E2710" s="12" t="s">
        <v>118</v>
      </c>
      <c r="F2710" s="12" t="s">
        <v>518</v>
      </c>
      <c r="G2710" s="12" t="s">
        <v>350</v>
      </c>
      <c r="H2710" s="12" t="s">
        <v>1025</v>
      </c>
      <c r="I2710" s="12" t="s">
        <v>87</v>
      </c>
    </row>
    <row r="2711" spans="1:9">
      <c r="A2711" s="14">
        <v>98006</v>
      </c>
      <c r="B2711" s="14" t="s">
        <v>932</v>
      </c>
      <c r="C2711" s="12" t="s">
        <v>180</v>
      </c>
      <c r="D2711" s="15" t="str">
        <f t="shared" si="42"/>
        <v>SHARED SERVICES - TRAVEL - TMG</v>
      </c>
      <c r="E2711" s="12" t="s">
        <v>118</v>
      </c>
      <c r="F2711" s="12" t="s">
        <v>518</v>
      </c>
      <c r="G2711" s="12" t="s">
        <v>350</v>
      </c>
      <c r="H2711" s="12" t="s">
        <v>1025</v>
      </c>
      <c r="I2711" s="12" t="s">
        <v>87</v>
      </c>
    </row>
    <row r="2712" spans="1:9">
      <c r="A2712" s="14">
        <v>95500</v>
      </c>
      <c r="B2712" s="14" t="s">
        <v>935</v>
      </c>
      <c r="C2712" s="12" t="s">
        <v>584</v>
      </c>
      <c r="D2712" s="15" t="str">
        <f t="shared" si="42"/>
        <v>SHD - STE</v>
      </c>
      <c r="E2712" s="12" t="s">
        <v>118</v>
      </c>
      <c r="F2712" s="12" t="s">
        <v>918</v>
      </c>
      <c r="G2712" s="12" t="s">
        <v>264</v>
      </c>
      <c r="H2712" s="12" t="s">
        <v>1025</v>
      </c>
      <c r="I2712" s="12" t="s">
        <v>87</v>
      </c>
    </row>
    <row r="2713" spans="1:9">
      <c r="A2713" s="14">
        <v>95500</v>
      </c>
      <c r="B2713" s="14" t="s">
        <v>935</v>
      </c>
      <c r="C2713" s="12" t="s">
        <v>145</v>
      </c>
      <c r="D2713" s="15" t="str">
        <f t="shared" si="42"/>
        <v>SHD - SUP</v>
      </c>
      <c r="E2713" s="12" t="s">
        <v>118</v>
      </c>
      <c r="F2713" s="12" t="s">
        <v>918</v>
      </c>
      <c r="G2713" s="12" t="s">
        <v>264</v>
      </c>
      <c r="H2713" s="12" t="s">
        <v>1025</v>
      </c>
      <c r="I2713" s="12" t="s">
        <v>87</v>
      </c>
    </row>
    <row r="2714" spans="1:9">
      <c r="A2714" s="14">
        <v>93808</v>
      </c>
      <c r="B2714" s="14" t="s">
        <v>937</v>
      </c>
      <c r="C2714" s="12" t="s">
        <v>835</v>
      </c>
      <c r="D2714" s="15" t="str">
        <f t="shared" si="42"/>
        <v>SHS Solutioning - TnT - BTG</v>
      </c>
      <c r="E2714" s="12" t="s">
        <v>118</v>
      </c>
      <c r="F2714" s="12" t="s">
        <v>938</v>
      </c>
      <c r="G2714" s="12" t="s">
        <v>114</v>
      </c>
      <c r="H2714" s="12" t="s">
        <v>1025</v>
      </c>
      <c r="I2714" s="12" t="s">
        <v>87</v>
      </c>
    </row>
    <row r="2715" spans="1:9">
      <c r="A2715" s="14">
        <v>93808</v>
      </c>
      <c r="B2715" s="14" t="s">
        <v>937</v>
      </c>
      <c r="C2715" s="12" t="s">
        <v>145</v>
      </c>
      <c r="D2715" s="15" t="str">
        <f t="shared" si="42"/>
        <v>SHS Solutioning - TnT - SUP</v>
      </c>
      <c r="E2715" s="12" t="s">
        <v>118</v>
      </c>
      <c r="F2715" s="12" t="s">
        <v>938</v>
      </c>
      <c r="G2715" s="12" t="s">
        <v>114</v>
      </c>
      <c r="H2715" s="12" t="s">
        <v>1025</v>
      </c>
      <c r="I2715" s="12" t="s">
        <v>87</v>
      </c>
    </row>
    <row r="2716" spans="1:9">
      <c r="A2716" s="14">
        <v>91082</v>
      </c>
      <c r="B2716" s="14" t="s">
        <v>936</v>
      </c>
      <c r="C2716" s="12" t="s">
        <v>129</v>
      </c>
      <c r="D2716" s="15" t="str">
        <f t="shared" si="42"/>
        <v>SHS-Organizational  Excellence - MGT</v>
      </c>
      <c r="E2716" s="12" t="s">
        <v>118</v>
      </c>
      <c r="F2716" s="12" t="s">
        <v>401</v>
      </c>
      <c r="G2716" s="12" t="s">
        <v>114</v>
      </c>
      <c r="H2716" s="12" t="s">
        <v>1025</v>
      </c>
      <c r="I2716" s="12" t="s">
        <v>87</v>
      </c>
    </row>
    <row r="2717" spans="1:9">
      <c r="A2717" s="14">
        <v>91082</v>
      </c>
      <c r="B2717" s="14" t="s">
        <v>936</v>
      </c>
      <c r="C2717" s="12" t="s">
        <v>145</v>
      </c>
      <c r="D2717" s="15" t="str">
        <f t="shared" si="42"/>
        <v>SHS-Organizational  Excellence - SUP</v>
      </c>
      <c r="E2717" s="12" t="s">
        <v>118</v>
      </c>
      <c r="F2717" s="12" t="s">
        <v>401</v>
      </c>
      <c r="G2717" s="12" t="s">
        <v>114</v>
      </c>
      <c r="H2717" s="12" t="s">
        <v>1025</v>
      </c>
      <c r="I2717" s="12" t="s">
        <v>87</v>
      </c>
    </row>
    <row r="2718" spans="1:9">
      <c r="A2718" s="14">
        <v>93801</v>
      </c>
      <c r="B2718" s="14" t="s">
        <v>942</v>
      </c>
      <c r="C2718" s="12" t="s">
        <v>145</v>
      </c>
      <c r="D2718" s="15" t="str">
        <f t="shared" si="42"/>
        <v>Solutioning - Bid Proposal - SUP</v>
      </c>
      <c r="E2718" s="12" t="s">
        <v>118</v>
      </c>
      <c r="F2718" s="12" t="s">
        <v>938</v>
      </c>
      <c r="G2718" s="12" t="s">
        <v>114</v>
      </c>
      <c r="H2718" s="12" t="s">
        <v>1025</v>
      </c>
      <c r="I2718" s="12" t="s">
        <v>87</v>
      </c>
    </row>
    <row r="2719" spans="1:9">
      <c r="A2719" s="14">
        <v>93806</v>
      </c>
      <c r="B2719" s="14" t="s">
        <v>943</v>
      </c>
      <c r="C2719" s="12" t="s">
        <v>129</v>
      </c>
      <c r="D2719" s="15" t="str">
        <f t="shared" si="42"/>
        <v>Solutioning - BPT - FTP - MGT</v>
      </c>
      <c r="E2719" s="12" t="s">
        <v>118</v>
      </c>
      <c r="F2719" s="12" t="s">
        <v>938</v>
      </c>
      <c r="G2719" s="12" t="s">
        <v>114</v>
      </c>
      <c r="H2719" s="12" t="s">
        <v>1025</v>
      </c>
      <c r="I2719" s="12" t="s">
        <v>87</v>
      </c>
    </row>
    <row r="2720" spans="1:9">
      <c r="A2720" s="14">
        <v>93806</v>
      </c>
      <c r="B2720" s="14" t="s">
        <v>943</v>
      </c>
      <c r="C2720" s="12" t="s">
        <v>139</v>
      </c>
      <c r="D2720" s="15" t="str">
        <f t="shared" si="42"/>
        <v>Solutioning - BPT - FTP - SMGT</v>
      </c>
      <c r="E2720" s="12" t="s">
        <v>118</v>
      </c>
      <c r="F2720" s="12" t="s">
        <v>938</v>
      </c>
      <c r="G2720" s="12" t="s">
        <v>114</v>
      </c>
      <c r="H2720" s="12" t="s">
        <v>1025</v>
      </c>
      <c r="I2720" s="12" t="s">
        <v>87</v>
      </c>
    </row>
    <row r="2721" spans="1:9">
      <c r="A2721" s="14">
        <v>93806</v>
      </c>
      <c r="B2721" s="14" t="s">
        <v>943</v>
      </c>
      <c r="C2721" s="12" t="s">
        <v>145</v>
      </c>
      <c r="D2721" s="15" t="str">
        <f t="shared" si="42"/>
        <v>Solutioning - BPT - FTP - SUP</v>
      </c>
      <c r="E2721" s="12" t="s">
        <v>118</v>
      </c>
      <c r="F2721" s="12" t="s">
        <v>938</v>
      </c>
      <c r="G2721" s="12" t="s">
        <v>114</v>
      </c>
      <c r="H2721" s="12" t="s">
        <v>1025</v>
      </c>
      <c r="I2721" s="12" t="s">
        <v>87</v>
      </c>
    </row>
    <row r="2722" spans="1:9">
      <c r="A2722" s="14">
        <v>93807</v>
      </c>
      <c r="B2722" s="14" t="s">
        <v>947</v>
      </c>
      <c r="C2722" s="12" t="s">
        <v>133</v>
      </c>
      <c r="D2722" s="15" t="str">
        <f t="shared" si="42"/>
        <v>Solutioning - CET - AMG</v>
      </c>
      <c r="E2722" s="12" t="s">
        <v>118</v>
      </c>
      <c r="F2722" s="12" t="s">
        <v>938</v>
      </c>
      <c r="G2722" s="12" t="s">
        <v>114</v>
      </c>
      <c r="H2722" s="12" t="s">
        <v>1025</v>
      </c>
      <c r="I2722" s="12" t="s">
        <v>87</v>
      </c>
    </row>
    <row r="2723" spans="1:9">
      <c r="A2723" s="14">
        <v>93807</v>
      </c>
      <c r="B2723" s="14" t="s">
        <v>947</v>
      </c>
      <c r="C2723" s="12" t="s">
        <v>139</v>
      </c>
      <c r="D2723" s="15" t="str">
        <f t="shared" si="42"/>
        <v>Solutioning - CET - SMGT</v>
      </c>
      <c r="E2723" s="12" t="s">
        <v>118</v>
      </c>
      <c r="F2723" s="12" t="s">
        <v>938</v>
      </c>
      <c r="G2723" s="12" t="s">
        <v>114</v>
      </c>
      <c r="H2723" s="12" t="s">
        <v>1025</v>
      </c>
      <c r="I2723" s="12" t="s">
        <v>87</v>
      </c>
    </row>
    <row r="2724" spans="1:9">
      <c r="A2724" s="14">
        <v>93807</v>
      </c>
      <c r="B2724" s="14" t="s">
        <v>947</v>
      </c>
      <c r="C2724" s="12" t="s">
        <v>145</v>
      </c>
      <c r="D2724" s="15" t="str">
        <f t="shared" si="42"/>
        <v>Solutioning - CET - SUP</v>
      </c>
      <c r="E2724" s="12" t="s">
        <v>118</v>
      </c>
      <c r="F2724" s="12" t="s">
        <v>938</v>
      </c>
      <c r="G2724" s="12" t="s">
        <v>114</v>
      </c>
      <c r="H2724" s="12" t="s">
        <v>1025</v>
      </c>
      <c r="I2724" s="12" t="s">
        <v>87</v>
      </c>
    </row>
    <row r="2725" spans="1:9">
      <c r="A2725" s="14">
        <v>93802</v>
      </c>
      <c r="B2725" s="14" t="s">
        <v>949</v>
      </c>
      <c r="C2725" s="12" t="s">
        <v>121</v>
      </c>
      <c r="D2725" s="15" t="str">
        <f t="shared" si="42"/>
        <v>Solutioning - Pricing - F&amp;A</v>
      </c>
      <c r="E2725" s="12" t="s">
        <v>118</v>
      </c>
      <c r="F2725" s="12" t="s">
        <v>938</v>
      </c>
      <c r="G2725" s="12" t="s">
        <v>114</v>
      </c>
      <c r="H2725" s="12" t="s">
        <v>1025</v>
      </c>
      <c r="I2725" s="12" t="s">
        <v>87</v>
      </c>
    </row>
    <row r="2726" spans="1:9">
      <c r="A2726" s="14">
        <v>93802</v>
      </c>
      <c r="B2726" s="14" t="s">
        <v>949</v>
      </c>
      <c r="C2726" s="12" t="s">
        <v>129</v>
      </c>
      <c r="D2726" s="15" t="str">
        <f t="shared" si="42"/>
        <v>Solutioning - Pricing - MGT</v>
      </c>
      <c r="E2726" s="12" t="s">
        <v>118</v>
      </c>
      <c r="F2726" s="12" t="s">
        <v>938</v>
      </c>
      <c r="G2726" s="12" t="s">
        <v>114</v>
      </c>
      <c r="H2726" s="12" t="s">
        <v>1025</v>
      </c>
      <c r="I2726" s="12" t="s">
        <v>87</v>
      </c>
    </row>
    <row r="2727" spans="1:9">
      <c r="A2727" s="14">
        <v>93802</v>
      </c>
      <c r="B2727" s="14" t="s">
        <v>949</v>
      </c>
      <c r="C2727" s="12" t="s">
        <v>139</v>
      </c>
      <c r="D2727" s="15" t="str">
        <f t="shared" si="42"/>
        <v>Solutioning - Pricing - SMGT</v>
      </c>
      <c r="E2727" s="12" t="s">
        <v>118</v>
      </c>
      <c r="F2727" s="12" t="s">
        <v>938</v>
      </c>
      <c r="G2727" s="12" t="s">
        <v>114</v>
      </c>
      <c r="H2727" s="12" t="s">
        <v>1025</v>
      </c>
      <c r="I2727" s="12" t="s">
        <v>87</v>
      </c>
    </row>
    <row r="2728" spans="1:9">
      <c r="A2728" s="14">
        <v>93802</v>
      </c>
      <c r="B2728" s="14" t="s">
        <v>949</v>
      </c>
      <c r="C2728" s="12" t="s">
        <v>145</v>
      </c>
      <c r="D2728" s="15" t="str">
        <f t="shared" si="42"/>
        <v>Solutioning - Pricing - SUP</v>
      </c>
      <c r="E2728" s="12" t="s">
        <v>118</v>
      </c>
      <c r="F2728" s="12" t="s">
        <v>938</v>
      </c>
      <c r="G2728" s="12" t="s">
        <v>114</v>
      </c>
      <c r="H2728" s="12" t="s">
        <v>1025</v>
      </c>
      <c r="I2728" s="12" t="s">
        <v>87</v>
      </c>
    </row>
    <row r="2729" spans="1:9">
      <c r="A2729" s="14">
        <v>93803</v>
      </c>
      <c r="B2729" s="14" t="s">
        <v>951</v>
      </c>
      <c r="C2729" s="12" t="s">
        <v>835</v>
      </c>
      <c r="D2729" s="15" t="str">
        <f t="shared" si="42"/>
        <v>Solutioning - TnT - BTG</v>
      </c>
      <c r="E2729" s="12" t="s">
        <v>118</v>
      </c>
      <c r="F2729" s="12" t="s">
        <v>938</v>
      </c>
      <c r="G2729" s="12" t="s">
        <v>114</v>
      </c>
      <c r="H2729" s="12" t="s">
        <v>1025</v>
      </c>
      <c r="I2729" s="12" t="s">
        <v>87</v>
      </c>
    </row>
    <row r="2730" spans="1:9">
      <c r="A2730" s="14">
        <v>93803</v>
      </c>
      <c r="B2730" s="14" t="s">
        <v>951</v>
      </c>
      <c r="C2730" s="12" t="s">
        <v>145</v>
      </c>
      <c r="D2730" s="15" t="str">
        <f t="shared" si="42"/>
        <v>Solutioning - TnT - SUP</v>
      </c>
      <c r="E2730" s="12" t="s">
        <v>118</v>
      </c>
      <c r="F2730" s="12" t="s">
        <v>938</v>
      </c>
      <c r="G2730" s="12" t="s">
        <v>114</v>
      </c>
      <c r="H2730" s="12" t="s">
        <v>1025</v>
      </c>
      <c r="I2730" s="12" t="s">
        <v>87</v>
      </c>
    </row>
    <row r="2731" spans="1:9">
      <c r="A2731" s="14">
        <v>93899</v>
      </c>
      <c r="B2731" s="14" t="s">
        <v>952</v>
      </c>
      <c r="C2731" s="12" t="s">
        <v>352</v>
      </c>
      <c r="D2731" s="15" t="str">
        <f t="shared" si="42"/>
        <v>Solutioning Common - EAT</v>
      </c>
      <c r="E2731" s="12" t="s">
        <v>118</v>
      </c>
      <c r="F2731" s="12" t="s">
        <v>938</v>
      </c>
      <c r="G2731" s="12" t="s">
        <v>114</v>
      </c>
      <c r="H2731" s="12" t="s">
        <v>1025</v>
      </c>
      <c r="I2731" s="12" t="s">
        <v>87</v>
      </c>
    </row>
    <row r="2732" spans="1:9">
      <c r="A2732" s="14">
        <v>93899</v>
      </c>
      <c r="B2732" s="14" t="s">
        <v>952</v>
      </c>
      <c r="C2732" s="12" t="s">
        <v>145</v>
      </c>
      <c r="D2732" s="15" t="str">
        <f t="shared" si="42"/>
        <v>Solutioning Common - SUP</v>
      </c>
      <c r="E2732" s="12" t="s">
        <v>118</v>
      </c>
      <c r="F2732" s="12" t="s">
        <v>938</v>
      </c>
      <c r="G2732" s="12" t="s">
        <v>114</v>
      </c>
      <c r="H2732" s="12" t="s">
        <v>1025</v>
      </c>
      <c r="I2732" s="12" t="s">
        <v>87</v>
      </c>
    </row>
    <row r="2733" spans="1:9">
      <c r="A2733" s="14">
        <v>10947</v>
      </c>
      <c r="B2733" s="14" t="s">
        <v>485</v>
      </c>
      <c r="C2733" s="12" t="s">
        <v>116</v>
      </c>
      <c r="D2733" s="15" t="str">
        <f t="shared" si="42"/>
        <v>Spotify DES Cust Cost JC - PRD</v>
      </c>
      <c r="E2733" s="12" t="s">
        <v>117</v>
      </c>
      <c r="F2733" s="12" t="s">
        <v>117</v>
      </c>
      <c r="G2733" s="12" t="s">
        <v>117</v>
      </c>
      <c r="H2733" s="12" t="s">
        <v>1025</v>
      </c>
      <c r="I2733" s="12" t="s">
        <v>87</v>
      </c>
    </row>
    <row r="2734" spans="1:9">
      <c r="A2734" s="14">
        <v>86223</v>
      </c>
      <c r="B2734" s="14" t="s">
        <v>891</v>
      </c>
      <c r="C2734" s="12" t="s">
        <v>129</v>
      </c>
      <c r="D2734" s="15" t="str">
        <f t="shared" si="42"/>
        <v>SQMS - PH Quality - MGT</v>
      </c>
      <c r="E2734" s="12" t="s">
        <v>148</v>
      </c>
      <c r="F2734" s="12" t="s">
        <v>113</v>
      </c>
      <c r="G2734" s="12" t="s">
        <v>114</v>
      </c>
      <c r="H2734" s="12" t="s">
        <v>1025</v>
      </c>
      <c r="I2734" s="12" t="s">
        <v>87</v>
      </c>
    </row>
    <row r="2735" spans="1:9">
      <c r="A2735" s="14">
        <v>86223</v>
      </c>
      <c r="B2735" s="14" t="s">
        <v>891</v>
      </c>
      <c r="C2735" s="12" t="s">
        <v>111</v>
      </c>
      <c r="D2735" s="15" t="str">
        <f t="shared" si="42"/>
        <v>SQMS - PH Quality - QLY</v>
      </c>
      <c r="E2735" s="12" t="s">
        <v>148</v>
      </c>
      <c r="F2735" s="12" t="s">
        <v>113</v>
      </c>
      <c r="G2735" s="12" t="s">
        <v>114</v>
      </c>
      <c r="H2735" s="12" t="s">
        <v>1025</v>
      </c>
      <c r="I2735" s="12" t="s">
        <v>87</v>
      </c>
    </row>
    <row r="2736" spans="1:9">
      <c r="A2736" s="14">
        <v>86223</v>
      </c>
      <c r="B2736" s="14" t="s">
        <v>891</v>
      </c>
      <c r="C2736" s="12" t="s">
        <v>145</v>
      </c>
      <c r="D2736" s="15" t="str">
        <f t="shared" si="42"/>
        <v>SQMS - PH Quality - SUP</v>
      </c>
      <c r="E2736" s="12" t="s">
        <v>148</v>
      </c>
      <c r="F2736" s="12" t="s">
        <v>113</v>
      </c>
      <c r="G2736" s="12" t="s">
        <v>114</v>
      </c>
      <c r="H2736" s="12" t="s">
        <v>1025</v>
      </c>
      <c r="I2736" s="12" t="s">
        <v>87</v>
      </c>
    </row>
    <row r="2737" spans="1:9">
      <c r="A2737" s="14">
        <v>86224</v>
      </c>
      <c r="B2737" s="14" t="s">
        <v>892</v>
      </c>
      <c r="C2737" s="12" t="s">
        <v>129</v>
      </c>
      <c r="D2737" s="15" t="str">
        <f t="shared" si="42"/>
        <v>SQMS - PP Quality - MGT</v>
      </c>
      <c r="E2737" s="12" t="s">
        <v>154</v>
      </c>
      <c r="F2737" s="12" t="s">
        <v>113</v>
      </c>
      <c r="G2737" s="12" t="s">
        <v>114</v>
      </c>
      <c r="H2737" s="12" t="s">
        <v>1025</v>
      </c>
      <c r="I2737" s="12" t="s">
        <v>87</v>
      </c>
    </row>
    <row r="2738" spans="1:9">
      <c r="A2738" s="14">
        <v>86224</v>
      </c>
      <c r="B2738" s="14" t="s">
        <v>892</v>
      </c>
      <c r="C2738" s="12" t="s">
        <v>111</v>
      </c>
      <c r="D2738" s="15" t="str">
        <f t="shared" si="42"/>
        <v>SQMS - PP Quality - QLY</v>
      </c>
      <c r="E2738" s="12" t="s">
        <v>154</v>
      </c>
      <c r="F2738" s="12" t="s">
        <v>113</v>
      </c>
      <c r="G2738" s="12" t="s">
        <v>114</v>
      </c>
      <c r="H2738" s="12" t="s">
        <v>1025</v>
      </c>
      <c r="I2738" s="12" t="s">
        <v>87</v>
      </c>
    </row>
    <row r="2739" spans="1:9">
      <c r="A2739" s="14">
        <v>86224</v>
      </c>
      <c r="B2739" s="14" t="s">
        <v>892</v>
      </c>
      <c r="C2739" s="12" t="s">
        <v>119</v>
      </c>
      <c r="D2739" s="15" t="str">
        <f t="shared" si="42"/>
        <v>SQMS - PP Quality - SQM</v>
      </c>
      <c r="E2739" s="12" t="s">
        <v>154</v>
      </c>
      <c r="F2739" s="12" t="s">
        <v>113</v>
      </c>
      <c r="G2739" s="12" t="s">
        <v>114</v>
      </c>
      <c r="H2739" s="12" t="s">
        <v>1025</v>
      </c>
      <c r="I2739" s="12" t="s">
        <v>87</v>
      </c>
    </row>
    <row r="2740" spans="1:9">
      <c r="A2740" s="14">
        <v>86224</v>
      </c>
      <c r="B2740" s="14" t="s">
        <v>892</v>
      </c>
      <c r="C2740" s="12" t="s">
        <v>145</v>
      </c>
      <c r="D2740" s="15" t="str">
        <f t="shared" si="42"/>
        <v>SQMS - PP Quality - SUP</v>
      </c>
      <c r="E2740" s="12" t="s">
        <v>154</v>
      </c>
      <c r="F2740" s="12" t="s">
        <v>113</v>
      </c>
      <c r="G2740" s="12" t="s">
        <v>114</v>
      </c>
      <c r="H2740" s="12" t="s">
        <v>1025</v>
      </c>
      <c r="I2740" s="12" t="s">
        <v>87</v>
      </c>
    </row>
    <row r="2741" spans="1:9">
      <c r="A2741" s="14">
        <v>86225</v>
      </c>
      <c r="B2741" s="14" t="s">
        <v>894</v>
      </c>
      <c r="C2741" s="12" t="s">
        <v>129</v>
      </c>
      <c r="D2741" s="15" t="str">
        <f t="shared" si="42"/>
        <v>SQMS - PY Quality BLM - MGT</v>
      </c>
      <c r="E2741" s="12" t="s">
        <v>141</v>
      </c>
      <c r="F2741" s="12" t="s">
        <v>113</v>
      </c>
      <c r="G2741" s="12" t="s">
        <v>114</v>
      </c>
      <c r="H2741" s="12" t="s">
        <v>1025</v>
      </c>
      <c r="I2741" s="12" t="s">
        <v>87</v>
      </c>
    </row>
    <row r="2742" spans="1:9">
      <c r="A2742" s="14">
        <v>86225</v>
      </c>
      <c r="B2742" s="14" t="s">
        <v>894</v>
      </c>
      <c r="C2742" s="12" t="s">
        <v>116</v>
      </c>
      <c r="D2742" s="15" t="str">
        <f t="shared" si="42"/>
        <v>SQMS - PY Quality BLM - PRD</v>
      </c>
      <c r="E2742" s="12" t="s">
        <v>141</v>
      </c>
      <c r="F2742" s="12" t="s">
        <v>113</v>
      </c>
      <c r="G2742" s="12" t="s">
        <v>114</v>
      </c>
      <c r="H2742" s="12" t="s">
        <v>1025</v>
      </c>
      <c r="I2742" s="12" t="s">
        <v>87</v>
      </c>
    </row>
    <row r="2743" spans="1:9">
      <c r="A2743" s="14">
        <v>86225</v>
      </c>
      <c r="B2743" s="14" t="s">
        <v>894</v>
      </c>
      <c r="C2743" s="12" t="s">
        <v>111</v>
      </c>
      <c r="D2743" s="15" t="str">
        <f t="shared" si="42"/>
        <v>SQMS - PY Quality BLM - QLY</v>
      </c>
      <c r="E2743" s="12" t="s">
        <v>141</v>
      </c>
      <c r="F2743" s="12" t="s">
        <v>113</v>
      </c>
      <c r="G2743" s="12" t="s">
        <v>114</v>
      </c>
      <c r="H2743" s="12" t="s">
        <v>1025</v>
      </c>
      <c r="I2743" s="12" t="s">
        <v>87</v>
      </c>
    </row>
    <row r="2744" spans="1:9">
      <c r="A2744" s="14">
        <v>86225</v>
      </c>
      <c r="B2744" s="14" t="s">
        <v>894</v>
      </c>
      <c r="C2744" s="12" t="s">
        <v>145</v>
      </c>
      <c r="D2744" s="15" t="str">
        <f t="shared" si="42"/>
        <v>SQMS - PY Quality BLM - SUP</v>
      </c>
      <c r="E2744" s="12" t="s">
        <v>141</v>
      </c>
      <c r="F2744" s="12" t="s">
        <v>113</v>
      </c>
      <c r="G2744" s="12" t="s">
        <v>114</v>
      </c>
      <c r="H2744" s="12" t="s">
        <v>1025</v>
      </c>
      <c r="I2744" s="12" t="s">
        <v>87</v>
      </c>
    </row>
    <row r="2745" spans="1:9">
      <c r="A2745" s="14">
        <v>86225</v>
      </c>
      <c r="B2745" s="14" t="s">
        <v>894</v>
      </c>
      <c r="C2745" s="12" t="s">
        <v>180</v>
      </c>
      <c r="D2745" s="15" t="str">
        <f t="shared" si="42"/>
        <v>SQMS - PY Quality BLM - TMG</v>
      </c>
      <c r="E2745" s="12" t="s">
        <v>141</v>
      </c>
      <c r="F2745" s="12" t="s">
        <v>113</v>
      </c>
      <c r="G2745" s="12" t="s">
        <v>114</v>
      </c>
      <c r="H2745" s="12" t="s">
        <v>1025</v>
      </c>
      <c r="I2745" s="12" t="s">
        <v>87</v>
      </c>
    </row>
    <row r="2746" spans="1:9">
      <c r="A2746" s="14">
        <v>86225</v>
      </c>
      <c r="B2746" s="14" t="s">
        <v>894</v>
      </c>
      <c r="C2746" s="12" t="s">
        <v>185</v>
      </c>
      <c r="D2746" s="15" t="str">
        <f t="shared" si="42"/>
        <v>SQMS - PY Quality BLM - TPS</v>
      </c>
      <c r="E2746" s="12" t="s">
        <v>141</v>
      </c>
      <c r="F2746" s="12" t="s">
        <v>113</v>
      </c>
      <c r="G2746" s="12" t="s">
        <v>114</v>
      </c>
      <c r="H2746" s="12" t="s">
        <v>1025</v>
      </c>
      <c r="I2746" s="12" t="s">
        <v>87</v>
      </c>
    </row>
    <row r="2747" spans="1:9">
      <c r="A2747" s="14">
        <v>86226</v>
      </c>
      <c r="B2747" s="14" t="s">
        <v>895</v>
      </c>
      <c r="C2747" s="12" t="s">
        <v>129</v>
      </c>
      <c r="D2747" s="15" t="str">
        <f t="shared" si="42"/>
        <v>SQMS - PY Quality CLM - MGT</v>
      </c>
      <c r="E2747" s="12" t="s">
        <v>141</v>
      </c>
      <c r="F2747" s="12" t="s">
        <v>113</v>
      </c>
      <c r="G2747" s="12" t="s">
        <v>114</v>
      </c>
      <c r="H2747" s="12" t="s">
        <v>1025</v>
      </c>
      <c r="I2747" s="12" t="s">
        <v>87</v>
      </c>
    </row>
    <row r="2748" spans="1:9">
      <c r="A2748" s="14">
        <v>86226</v>
      </c>
      <c r="B2748" s="14" t="s">
        <v>895</v>
      </c>
      <c r="C2748" s="12" t="s">
        <v>116</v>
      </c>
      <c r="D2748" s="15" t="str">
        <f t="shared" si="42"/>
        <v>SQMS - PY Quality CLM - PRD</v>
      </c>
      <c r="E2748" s="12" t="s">
        <v>141</v>
      </c>
      <c r="F2748" s="12" t="s">
        <v>113</v>
      </c>
      <c r="G2748" s="12" t="s">
        <v>114</v>
      </c>
      <c r="H2748" s="12" t="s">
        <v>1025</v>
      </c>
      <c r="I2748" s="12" t="s">
        <v>87</v>
      </c>
    </row>
    <row r="2749" spans="1:9">
      <c r="A2749" s="14">
        <v>86226</v>
      </c>
      <c r="B2749" s="14" t="s">
        <v>895</v>
      </c>
      <c r="C2749" s="12" t="s">
        <v>111</v>
      </c>
      <c r="D2749" s="15" t="str">
        <f t="shared" si="42"/>
        <v>SQMS - PY Quality CLM - QLY</v>
      </c>
      <c r="E2749" s="12" t="s">
        <v>141</v>
      </c>
      <c r="F2749" s="12" t="s">
        <v>113</v>
      </c>
      <c r="G2749" s="12" t="s">
        <v>114</v>
      </c>
      <c r="H2749" s="12" t="s">
        <v>1025</v>
      </c>
      <c r="I2749" s="12" t="s">
        <v>87</v>
      </c>
    </row>
    <row r="2750" spans="1:9">
      <c r="A2750" s="14">
        <v>86226</v>
      </c>
      <c r="B2750" s="14" t="s">
        <v>895</v>
      </c>
      <c r="C2750" s="12" t="s">
        <v>145</v>
      </c>
      <c r="D2750" s="15" t="str">
        <f t="shared" si="42"/>
        <v>SQMS - PY Quality CLM - SUP</v>
      </c>
      <c r="E2750" s="12" t="s">
        <v>141</v>
      </c>
      <c r="F2750" s="12" t="s">
        <v>113</v>
      </c>
      <c r="G2750" s="12" t="s">
        <v>114</v>
      </c>
      <c r="H2750" s="12" t="s">
        <v>1025</v>
      </c>
      <c r="I2750" s="12" t="s">
        <v>87</v>
      </c>
    </row>
    <row r="2751" spans="1:9">
      <c r="A2751" s="14">
        <v>86226</v>
      </c>
      <c r="B2751" s="14" t="s">
        <v>895</v>
      </c>
      <c r="C2751" s="12" t="s">
        <v>185</v>
      </c>
      <c r="D2751" s="15" t="str">
        <f t="shared" si="42"/>
        <v>SQMS - PY Quality CLM - TPS</v>
      </c>
      <c r="E2751" s="12" t="s">
        <v>141</v>
      </c>
      <c r="F2751" s="12" t="s">
        <v>113</v>
      </c>
      <c r="G2751" s="12" t="s">
        <v>114</v>
      </c>
      <c r="H2751" s="12" t="s">
        <v>1025</v>
      </c>
      <c r="I2751" s="12" t="s">
        <v>87</v>
      </c>
    </row>
    <row r="2752" spans="1:9">
      <c r="A2752" s="14">
        <v>86228</v>
      </c>
      <c r="B2752" s="14" t="s">
        <v>897</v>
      </c>
      <c r="C2752" s="12" t="s">
        <v>129</v>
      </c>
      <c r="D2752" s="15" t="str">
        <f t="shared" si="42"/>
        <v>SQMS – Quality (SHS) - MGT</v>
      </c>
      <c r="E2752" s="12" t="s">
        <v>118</v>
      </c>
      <c r="F2752" s="12" t="s">
        <v>113</v>
      </c>
      <c r="G2752" s="12" t="s">
        <v>114</v>
      </c>
      <c r="H2752" s="12" t="s">
        <v>1025</v>
      </c>
      <c r="I2752" s="12" t="s">
        <v>87</v>
      </c>
    </row>
    <row r="2753" spans="1:9">
      <c r="A2753" s="14">
        <v>86228</v>
      </c>
      <c r="B2753" s="14" t="s">
        <v>897</v>
      </c>
      <c r="C2753" s="12" t="s">
        <v>111</v>
      </c>
      <c r="D2753" s="15" t="str">
        <f t="shared" si="42"/>
        <v>SQMS – Quality (SHS) - QLY</v>
      </c>
      <c r="E2753" s="12" t="s">
        <v>118</v>
      </c>
      <c r="F2753" s="12" t="s">
        <v>113</v>
      </c>
      <c r="G2753" s="12" t="s">
        <v>114</v>
      </c>
      <c r="H2753" s="12" t="s">
        <v>1025</v>
      </c>
      <c r="I2753" s="12" t="s">
        <v>87</v>
      </c>
    </row>
    <row r="2754" spans="1:9">
      <c r="A2754" s="14">
        <v>86228</v>
      </c>
      <c r="B2754" s="14" t="s">
        <v>897</v>
      </c>
      <c r="C2754" s="12" t="s">
        <v>145</v>
      </c>
      <c r="D2754" s="15" t="str">
        <f t="shared" ref="D2754:D2817" si="43">B2754&amp;" - "&amp;C2754</f>
        <v>SQMS – Quality (SHS) - SUP</v>
      </c>
      <c r="E2754" s="12" t="s">
        <v>118</v>
      </c>
      <c r="F2754" s="12" t="s">
        <v>113</v>
      </c>
      <c r="G2754" s="12" t="s">
        <v>114</v>
      </c>
      <c r="H2754" s="12" t="s">
        <v>1025</v>
      </c>
      <c r="I2754" s="12" t="s">
        <v>87</v>
      </c>
    </row>
    <row r="2755" spans="1:9">
      <c r="A2755" s="31">
        <v>12642</v>
      </c>
      <c r="B2755" s="14" t="s">
        <v>613</v>
      </c>
      <c r="C2755" s="12" t="s">
        <v>116</v>
      </c>
      <c r="D2755" s="15" t="str">
        <f t="shared" si="43"/>
        <v>Steris - Captive BOT - PRD</v>
      </c>
      <c r="E2755" s="12" t="s">
        <v>117</v>
      </c>
      <c r="F2755" s="12" t="s">
        <v>117</v>
      </c>
      <c r="G2755" s="12" t="s">
        <v>117</v>
      </c>
      <c r="H2755" s="12" t="s">
        <v>1025</v>
      </c>
      <c r="I2755" s="12" t="s">
        <v>87</v>
      </c>
    </row>
    <row r="2756" spans="1:9">
      <c r="A2756" s="14">
        <v>12637</v>
      </c>
      <c r="B2756" s="14" t="s">
        <v>610</v>
      </c>
      <c r="C2756" s="12" t="s">
        <v>116</v>
      </c>
      <c r="D2756" s="15" t="str">
        <f t="shared" si="43"/>
        <v>Steris - Quick Quote App - PRD</v>
      </c>
      <c r="E2756" s="12" t="s">
        <v>117</v>
      </c>
      <c r="F2756" s="12" t="s">
        <v>117</v>
      </c>
      <c r="G2756" s="12" t="s">
        <v>117</v>
      </c>
      <c r="H2756" s="12" t="s">
        <v>1025</v>
      </c>
      <c r="I2756" s="12" t="s">
        <v>87</v>
      </c>
    </row>
    <row r="2757" spans="1:9">
      <c r="A2757" s="14">
        <v>12537</v>
      </c>
      <c r="B2757" s="14" t="s">
        <v>583</v>
      </c>
      <c r="C2757" s="12" t="s">
        <v>116</v>
      </c>
      <c r="D2757" s="15" t="str">
        <f t="shared" si="43"/>
        <v>Steris Development Staffing - PRD</v>
      </c>
      <c r="E2757" s="12" t="s">
        <v>117</v>
      </c>
      <c r="F2757" s="12" t="s">
        <v>117</v>
      </c>
      <c r="G2757" s="12" t="s">
        <v>117</v>
      </c>
      <c r="H2757" s="12" t="s">
        <v>1025</v>
      </c>
      <c r="I2757" s="12" t="s">
        <v>87</v>
      </c>
    </row>
    <row r="2758" spans="1:9">
      <c r="A2758" s="14">
        <v>12537</v>
      </c>
      <c r="B2758" s="14" t="s">
        <v>583</v>
      </c>
      <c r="C2758" s="12" t="s">
        <v>145</v>
      </c>
      <c r="D2758" s="15" t="str">
        <f t="shared" si="43"/>
        <v>Steris Development Staffing - SUP</v>
      </c>
      <c r="E2758" s="12" t="s">
        <v>117</v>
      </c>
      <c r="F2758" s="12" t="s">
        <v>117</v>
      </c>
      <c r="G2758" s="12" t="s">
        <v>117</v>
      </c>
      <c r="H2758" s="12" t="s">
        <v>1025</v>
      </c>
      <c r="I2758" s="12" t="s">
        <v>87</v>
      </c>
    </row>
    <row r="2759" spans="1:9">
      <c r="A2759" s="14">
        <v>12569</v>
      </c>
      <c r="B2759" s="14" t="s">
        <v>589</v>
      </c>
      <c r="C2759" s="12" t="s">
        <v>116</v>
      </c>
      <c r="D2759" s="15" t="str">
        <f t="shared" si="43"/>
        <v>Steris IMS Development Project - PRD</v>
      </c>
      <c r="E2759" s="12" t="s">
        <v>117</v>
      </c>
      <c r="F2759" s="12" t="s">
        <v>117</v>
      </c>
      <c r="G2759" s="12" t="s">
        <v>117</v>
      </c>
      <c r="H2759" s="12" t="s">
        <v>1025</v>
      </c>
      <c r="I2759" s="12" t="s">
        <v>87</v>
      </c>
    </row>
    <row r="2760" spans="1:9">
      <c r="A2760" s="14">
        <v>12596</v>
      </c>
      <c r="B2760" s="14" t="s">
        <v>595</v>
      </c>
      <c r="C2760" s="12" t="s">
        <v>116</v>
      </c>
      <c r="D2760" s="15" t="str">
        <f t="shared" si="43"/>
        <v>Steris SIC Development - PRD</v>
      </c>
      <c r="E2760" s="12" t="s">
        <v>117</v>
      </c>
      <c r="F2760" s="12" t="s">
        <v>117</v>
      </c>
      <c r="G2760" s="12" t="s">
        <v>117</v>
      </c>
      <c r="H2760" s="12" t="s">
        <v>1025</v>
      </c>
      <c r="I2760" s="12" t="s">
        <v>87</v>
      </c>
    </row>
    <row r="2761" spans="1:9">
      <c r="A2761" s="14">
        <v>12573</v>
      </c>
      <c r="B2761" s="14" t="s">
        <v>590</v>
      </c>
      <c r="C2761" s="12" t="s">
        <v>116</v>
      </c>
      <c r="D2761" s="15" t="str">
        <f t="shared" si="43"/>
        <v>Steris Summit Development - PRD</v>
      </c>
      <c r="E2761" s="12" t="s">
        <v>117</v>
      </c>
      <c r="F2761" s="12" t="s">
        <v>117</v>
      </c>
      <c r="G2761" s="12" t="s">
        <v>117</v>
      </c>
      <c r="H2761" s="12" t="s">
        <v>1025</v>
      </c>
      <c r="I2761" s="12" t="s">
        <v>87</v>
      </c>
    </row>
    <row r="2762" spans="1:9">
      <c r="A2762" s="14">
        <v>82009</v>
      </c>
      <c r="B2762" s="14" t="s">
        <v>865</v>
      </c>
      <c r="C2762" s="12" t="s">
        <v>196</v>
      </c>
      <c r="D2762" s="15" t="str">
        <f t="shared" si="43"/>
        <v>Sutherland Robility - SUT</v>
      </c>
      <c r="E2762" s="12" t="s">
        <v>118</v>
      </c>
      <c r="F2762" s="12" t="s">
        <v>117</v>
      </c>
      <c r="G2762" s="12" t="s">
        <v>117</v>
      </c>
      <c r="H2762" s="12" t="s">
        <v>1025</v>
      </c>
      <c r="I2762" s="12" t="s">
        <v>87</v>
      </c>
    </row>
    <row r="2763" spans="1:9">
      <c r="A2763" s="14">
        <v>96104</v>
      </c>
      <c r="B2763" s="14" t="s">
        <v>969</v>
      </c>
      <c r="C2763" s="12" t="s">
        <v>121</v>
      </c>
      <c r="D2763" s="15" t="str">
        <f t="shared" si="43"/>
        <v>Taxation Global - F&amp;A</v>
      </c>
      <c r="E2763" s="12" t="s">
        <v>118</v>
      </c>
      <c r="F2763" s="12" t="s">
        <v>122</v>
      </c>
      <c r="G2763" s="12" t="s">
        <v>114</v>
      </c>
      <c r="H2763" s="12" t="s">
        <v>1025</v>
      </c>
      <c r="I2763" s="12" t="s">
        <v>87</v>
      </c>
    </row>
    <row r="2764" spans="1:9">
      <c r="A2764" s="14">
        <v>96104</v>
      </c>
      <c r="B2764" s="14" t="s">
        <v>969</v>
      </c>
      <c r="C2764" s="12" t="s">
        <v>139</v>
      </c>
      <c r="D2764" s="15" t="str">
        <f t="shared" si="43"/>
        <v>Taxation Global - SMGT</v>
      </c>
      <c r="E2764" s="12" t="s">
        <v>118</v>
      </c>
      <c r="F2764" s="12" t="s">
        <v>122</v>
      </c>
      <c r="G2764" s="12" t="s">
        <v>114</v>
      </c>
      <c r="H2764" s="12" t="s">
        <v>1025</v>
      </c>
      <c r="I2764" s="12" t="s">
        <v>87</v>
      </c>
    </row>
    <row r="2765" spans="1:9">
      <c r="A2765" s="14">
        <v>96104</v>
      </c>
      <c r="B2765" s="14" t="s">
        <v>969</v>
      </c>
      <c r="C2765" s="12" t="s">
        <v>145</v>
      </c>
      <c r="D2765" s="15" t="str">
        <f t="shared" si="43"/>
        <v>Taxation Global - SUP</v>
      </c>
      <c r="E2765" s="12" t="s">
        <v>118</v>
      </c>
      <c r="F2765" s="12" t="s">
        <v>122</v>
      </c>
      <c r="G2765" s="12" t="s">
        <v>114</v>
      </c>
      <c r="H2765" s="12" t="s">
        <v>1025</v>
      </c>
      <c r="I2765" s="12" t="s">
        <v>87</v>
      </c>
    </row>
    <row r="2766" spans="1:9">
      <c r="A2766" s="14">
        <v>91601</v>
      </c>
      <c r="B2766" s="14" t="s">
        <v>946</v>
      </c>
      <c r="C2766" s="12" t="s">
        <v>262</v>
      </c>
      <c r="D2766" s="15" t="str">
        <f t="shared" si="43"/>
        <v>Telecom SD Global - GSI</v>
      </c>
      <c r="E2766" s="12" t="s">
        <v>118</v>
      </c>
      <c r="F2766" s="12" t="s">
        <v>405</v>
      </c>
      <c r="G2766" s="12" t="s">
        <v>114</v>
      </c>
      <c r="H2766" s="12" t="s">
        <v>1025</v>
      </c>
      <c r="I2766" s="12" t="s">
        <v>87</v>
      </c>
    </row>
    <row r="2767" spans="1:9">
      <c r="A2767" s="14">
        <v>91601</v>
      </c>
      <c r="B2767" s="14" t="s">
        <v>946</v>
      </c>
      <c r="C2767" s="12" t="s">
        <v>116</v>
      </c>
      <c r="D2767" s="15" t="str">
        <f t="shared" si="43"/>
        <v>Telecom SD Global - PRD</v>
      </c>
      <c r="E2767" s="12" t="s">
        <v>118</v>
      </c>
      <c r="F2767" s="12" t="s">
        <v>405</v>
      </c>
      <c r="G2767" s="12" t="s">
        <v>114</v>
      </c>
      <c r="H2767" s="12" t="s">
        <v>1025</v>
      </c>
      <c r="I2767" s="12" t="s">
        <v>87</v>
      </c>
    </row>
    <row r="2768" spans="1:9">
      <c r="A2768" s="14">
        <v>91601</v>
      </c>
      <c r="B2768" s="14" t="s">
        <v>946</v>
      </c>
      <c r="C2768" s="12" t="s">
        <v>145</v>
      </c>
      <c r="D2768" s="15" t="str">
        <f t="shared" si="43"/>
        <v>Telecom SD Global - SUP</v>
      </c>
      <c r="E2768" s="12" t="s">
        <v>118</v>
      </c>
      <c r="F2768" s="12" t="s">
        <v>405</v>
      </c>
      <c r="G2768" s="12" t="s">
        <v>114</v>
      </c>
      <c r="H2768" s="12" t="s">
        <v>1025</v>
      </c>
      <c r="I2768" s="12" t="s">
        <v>87</v>
      </c>
    </row>
    <row r="2769" spans="1:9">
      <c r="A2769" s="14">
        <v>95104</v>
      </c>
      <c r="B2769" s="14" t="s">
        <v>974</v>
      </c>
      <c r="C2769" s="12" t="s">
        <v>415</v>
      </c>
      <c r="D2769" s="15" t="str">
        <f t="shared" si="43"/>
        <v>Telephony - GTI</v>
      </c>
      <c r="E2769" s="12" t="s">
        <v>118</v>
      </c>
      <c r="F2769" s="12" t="s">
        <v>263</v>
      </c>
      <c r="G2769" s="12" t="s">
        <v>264</v>
      </c>
      <c r="H2769" s="12" t="s">
        <v>1025</v>
      </c>
      <c r="I2769" s="12" t="s">
        <v>87</v>
      </c>
    </row>
    <row r="2770" spans="1:9">
      <c r="A2770" s="14">
        <v>95104</v>
      </c>
      <c r="B2770" s="14" t="s">
        <v>974</v>
      </c>
      <c r="C2770" s="12" t="s">
        <v>145</v>
      </c>
      <c r="D2770" s="15" t="str">
        <f t="shared" si="43"/>
        <v>Telephony - SUP</v>
      </c>
      <c r="E2770" s="12" t="s">
        <v>118</v>
      </c>
      <c r="F2770" s="12" t="s">
        <v>263</v>
      </c>
      <c r="G2770" s="12" t="s">
        <v>264</v>
      </c>
      <c r="H2770" s="12" t="s">
        <v>1025</v>
      </c>
      <c r="I2770" s="12" t="s">
        <v>87</v>
      </c>
    </row>
    <row r="2771" spans="1:9">
      <c r="A2771" s="14">
        <v>12409</v>
      </c>
      <c r="B2771" s="14" t="s">
        <v>541</v>
      </c>
      <c r="C2771" s="12" t="s">
        <v>230</v>
      </c>
      <c r="D2771" s="15" t="str">
        <f t="shared" si="43"/>
        <v>Temple University - Coding - PRSP</v>
      </c>
      <c r="E2771" s="12" t="s">
        <v>159</v>
      </c>
      <c r="F2771" s="12" t="s">
        <v>237</v>
      </c>
      <c r="G2771" s="12" t="s">
        <v>238</v>
      </c>
      <c r="H2771" s="12" t="s">
        <v>1025</v>
      </c>
      <c r="I2771" s="12" t="s">
        <v>87</v>
      </c>
    </row>
    <row r="2772" spans="1:9">
      <c r="A2772" s="14">
        <v>12409</v>
      </c>
      <c r="B2772" s="14" t="s">
        <v>541</v>
      </c>
      <c r="C2772" s="12" t="s">
        <v>145</v>
      </c>
      <c r="D2772" s="15" t="str">
        <f t="shared" si="43"/>
        <v>Temple University - Coding - SUP</v>
      </c>
      <c r="E2772" s="12" t="s">
        <v>159</v>
      </c>
      <c r="F2772" s="12" t="s">
        <v>237</v>
      </c>
      <c r="G2772" s="12" t="s">
        <v>238</v>
      </c>
      <c r="H2772" s="12" t="s">
        <v>1025</v>
      </c>
      <c r="I2772" s="12" t="s">
        <v>87</v>
      </c>
    </row>
    <row r="2773" spans="1:9">
      <c r="A2773" s="14">
        <v>12409</v>
      </c>
      <c r="B2773" s="14" t="s">
        <v>541</v>
      </c>
      <c r="C2773" s="12" t="s">
        <v>185</v>
      </c>
      <c r="D2773" s="15" t="str">
        <f t="shared" si="43"/>
        <v>Temple University - Coding - TPS</v>
      </c>
      <c r="E2773" s="12" t="s">
        <v>159</v>
      </c>
      <c r="F2773" s="12" t="s">
        <v>237</v>
      </c>
      <c r="G2773" s="12" t="s">
        <v>238</v>
      </c>
      <c r="H2773" s="12" t="s">
        <v>1025</v>
      </c>
      <c r="I2773" s="12" t="s">
        <v>87</v>
      </c>
    </row>
    <row r="2774" spans="1:9">
      <c r="A2774" s="14">
        <v>51247</v>
      </c>
      <c r="B2774" s="14" t="s">
        <v>745</v>
      </c>
      <c r="C2774" s="12" t="s">
        <v>116</v>
      </c>
      <c r="D2774" s="15" t="str">
        <f t="shared" si="43"/>
        <v>TFW-2201-2212-DevelopmentBlank - PRD</v>
      </c>
      <c r="E2774" s="12" t="s">
        <v>117</v>
      </c>
      <c r="F2774" s="12" t="s">
        <v>117</v>
      </c>
      <c r="G2774" s="12" t="s">
        <v>117</v>
      </c>
      <c r="H2774" s="12" t="s">
        <v>1025</v>
      </c>
      <c r="I2774" s="12" t="s">
        <v>87</v>
      </c>
    </row>
    <row r="2775" spans="1:9">
      <c r="A2775" s="14">
        <v>12164</v>
      </c>
      <c r="B2775" s="14" t="s">
        <v>524</v>
      </c>
      <c r="C2775" s="12" t="s">
        <v>111</v>
      </c>
      <c r="D2775" s="15" t="str">
        <f t="shared" si="43"/>
        <v>The Govt. of Bermuda - TPA - QLY</v>
      </c>
      <c r="E2775" s="12" t="s">
        <v>118</v>
      </c>
      <c r="F2775" s="12" t="s">
        <v>113</v>
      </c>
      <c r="G2775" s="12" t="s">
        <v>114</v>
      </c>
      <c r="H2775" s="12" t="s">
        <v>1025</v>
      </c>
      <c r="I2775" s="12" t="s">
        <v>87</v>
      </c>
    </row>
    <row r="2776" spans="1:9">
      <c r="A2776" s="14">
        <v>12164</v>
      </c>
      <c r="B2776" s="14" t="s">
        <v>524</v>
      </c>
      <c r="C2776" s="12" t="s">
        <v>180</v>
      </c>
      <c r="D2776" s="15" t="str">
        <f t="shared" si="43"/>
        <v>The Govt. of Bermuda - TPA - TMG</v>
      </c>
      <c r="E2776" s="12" t="s">
        <v>141</v>
      </c>
      <c r="F2776" s="12" t="s">
        <v>163</v>
      </c>
      <c r="G2776" s="12" t="s">
        <v>164</v>
      </c>
      <c r="H2776" s="12" t="s">
        <v>1025</v>
      </c>
      <c r="I2776" s="12" t="s">
        <v>87</v>
      </c>
    </row>
    <row r="2777" spans="1:9">
      <c r="A2777" s="14">
        <v>12164</v>
      </c>
      <c r="B2777" s="14" t="s">
        <v>524</v>
      </c>
      <c r="C2777" s="12" t="s">
        <v>185</v>
      </c>
      <c r="D2777" s="15" t="str">
        <f t="shared" si="43"/>
        <v>The Govt. of Bermuda - TPA - TPS</v>
      </c>
      <c r="E2777" s="12" t="s">
        <v>141</v>
      </c>
      <c r="F2777" s="12" t="s">
        <v>163</v>
      </c>
      <c r="G2777" s="12" t="s">
        <v>164</v>
      </c>
      <c r="H2777" s="12" t="s">
        <v>1025</v>
      </c>
      <c r="I2777" s="12" t="s">
        <v>87</v>
      </c>
    </row>
    <row r="2778" spans="1:9">
      <c r="A2778" s="14">
        <v>95504</v>
      </c>
      <c r="B2778" s="14" t="s">
        <v>983</v>
      </c>
      <c r="C2778" s="12" t="s">
        <v>129</v>
      </c>
      <c r="D2778" s="15" t="str">
        <f t="shared" si="43"/>
        <v>Threat, Vulnerablity &amp; Inciden - MGT</v>
      </c>
      <c r="E2778" s="12" t="s">
        <v>117</v>
      </c>
      <c r="F2778" s="12" t="s">
        <v>117</v>
      </c>
      <c r="G2778" s="12" t="s">
        <v>117</v>
      </c>
      <c r="H2778" s="12" t="s">
        <v>1025</v>
      </c>
      <c r="I2778" s="12" t="s">
        <v>87</v>
      </c>
    </row>
    <row r="2779" spans="1:9">
      <c r="A2779" s="14">
        <v>95504</v>
      </c>
      <c r="B2779" s="14" t="s">
        <v>983</v>
      </c>
      <c r="C2779" s="12" t="s">
        <v>134</v>
      </c>
      <c r="D2779" s="15" t="str">
        <f t="shared" si="43"/>
        <v>Threat, Vulnerablity &amp; Inciden - SEC</v>
      </c>
      <c r="E2779" s="12" t="s">
        <v>117</v>
      </c>
      <c r="F2779" s="12" t="s">
        <v>117</v>
      </c>
      <c r="G2779" s="12" t="s">
        <v>117</v>
      </c>
      <c r="H2779" s="12" t="s">
        <v>1025</v>
      </c>
      <c r="I2779" s="12" t="s">
        <v>87</v>
      </c>
    </row>
    <row r="2780" spans="1:9">
      <c r="A2780" s="14">
        <v>95504</v>
      </c>
      <c r="B2780" s="14" t="s">
        <v>983</v>
      </c>
      <c r="C2780" s="12" t="s">
        <v>145</v>
      </c>
      <c r="D2780" s="15" t="str">
        <f t="shared" si="43"/>
        <v>Threat, Vulnerablity &amp; Inciden - SUP</v>
      </c>
      <c r="E2780" s="12" t="s">
        <v>117</v>
      </c>
      <c r="F2780" s="12" t="s">
        <v>117</v>
      </c>
      <c r="G2780" s="12" t="s">
        <v>117</v>
      </c>
      <c r="H2780" s="12" t="s">
        <v>1025</v>
      </c>
      <c r="I2780" s="12" t="s">
        <v>87</v>
      </c>
    </row>
    <row r="2781" spans="1:9">
      <c r="A2781" s="14">
        <v>95504</v>
      </c>
      <c r="B2781" s="14" t="s">
        <v>983</v>
      </c>
      <c r="C2781" s="12" t="s">
        <v>180</v>
      </c>
      <c r="D2781" s="15" t="str">
        <f t="shared" si="43"/>
        <v>Threat, Vulnerablity &amp; Inciden - TMG</v>
      </c>
      <c r="E2781" s="12" t="s">
        <v>117</v>
      </c>
      <c r="F2781" s="12" t="s">
        <v>117</v>
      </c>
      <c r="G2781" s="12" t="s">
        <v>117</v>
      </c>
      <c r="H2781" s="12" t="s">
        <v>1025</v>
      </c>
      <c r="I2781" s="12" t="s">
        <v>87</v>
      </c>
    </row>
    <row r="2782" spans="1:9">
      <c r="A2782" s="14">
        <v>89008</v>
      </c>
      <c r="B2782" s="14" t="s">
        <v>922</v>
      </c>
      <c r="C2782" s="12" t="s">
        <v>145</v>
      </c>
      <c r="D2782" s="15" t="str">
        <f t="shared" si="43"/>
        <v>Tracfone wireless Inc - SUP</v>
      </c>
      <c r="E2782" s="12" t="s">
        <v>117</v>
      </c>
      <c r="F2782" s="12" t="s">
        <v>117</v>
      </c>
      <c r="G2782" s="12" t="s">
        <v>117</v>
      </c>
      <c r="H2782" s="12" t="s">
        <v>1025</v>
      </c>
      <c r="I2782" s="12" t="s">
        <v>87</v>
      </c>
    </row>
    <row r="2783" spans="1:9">
      <c r="A2783" s="14">
        <v>51457</v>
      </c>
      <c r="B2783" s="14" t="s">
        <v>807</v>
      </c>
      <c r="C2783" s="12" t="s">
        <v>145</v>
      </c>
      <c r="D2783" s="15" t="str">
        <f t="shared" si="43"/>
        <v>TracFone-QE2ManagedServices - SUP</v>
      </c>
      <c r="E2783" s="12" t="s">
        <v>117</v>
      </c>
      <c r="F2783" s="12" t="s">
        <v>117</v>
      </c>
      <c r="G2783" s="12" t="s">
        <v>117</v>
      </c>
      <c r="H2783" s="12" t="s">
        <v>1025</v>
      </c>
      <c r="I2783" s="12" t="s">
        <v>87</v>
      </c>
    </row>
    <row r="2784" spans="1:9">
      <c r="A2784" s="14">
        <v>97300</v>
      </c>
      <c r="B2784" s="14" t="s">
        <v>984</v>
      </c>
      <c r="C2784" s="12" t="s">
        <v>133</v>
      </c>
      <c r="D2784" s="15" t="str">
        <f t="shared" si="43"/>
        <v>Training - COL - AMG</v>
      </c>
      <c r="E2784" s="12" t="s">
        <v>118</v>
      </c>
      <c r="F2784" s="12" t="s">
        <v>370</v>
      </c>
      <c r="G2784" s="12" t="s">
        <v>205</v>
      </c>
      <c r="H2784" s="12" t="s">
        <v>1025</v>
      </c>
      <c r="I2784" s="12" t="s">
        <v>87</v>
      </c>
    </row>
    <row r="2785" spans="1:9">
      <c r="A2785" s="14">
        <v>97300</v>
      </c>
      <c r="B2785" s="14" t="s">
        <v>984</v>
      </c>
      <c r="C2785" s="12" t="s">
        <v>352</v>
      </c>
      <c r="D2785" s="15" t="str">
        <f t="shared" si="43"/>
        <v>Training - COL - EAT</v>
      </c>
      <c r="E2785" s="12" t="s">
        <v>118</v>
      </c>
      <c r="F2785" s="12" t="s">
        <v>370</v>
      </c>
      <c r="G2785" s="12" t="s">
        <v>205</v>
      </c>
      <c r="H2785" s="12" t="s">
        <v>1025</v>
      </c>
      <c r="I2785" s="12" t="s">
        <v>87</v>
      </c>
    </row>
    <row r="2786" spans="1:9">
      <c r="A2786" s="14">
        <v>97300</v>
      </c>
      <c r="B2786" s="14" t="s">
        <v>984</v>
      </c>
      <c r="C2786" s="12" t="s">
        <v>129</v>
      </c>
      <c r="D2786" s="15" t="str">
        <f t="shared" si="43"/>
        <v>Training - COL - MGT</v>
      </c>
      <c r="E2786" s="12" t="s">
        <v>118</v>
      </c>
      <c r="F2786" s="12" t="s">
        <v>370</v>
      </c>
      <c r="G2786" s="12" t="s">
        <v>205</v>
      </c>
      <c r="H2786" s="12" t="s">
        <v>1025</v>
      </c>
      <c r="I2786" s="12" t="s">
        <v>87</v>
      </c>
    </row>
    <row r="2787" spans="1:9">
      <c r="A2787" s="14">
        <v>97300</v>
      </c>
      <c r="B2787" s="14" t="s">
        <v>984</v>
      </c>
      <c r="C2787" s="12" t="s">
        <v>116</v>
      </c>
      <c r="D2787" s="15" t="str">
        <f t="shared" si="43"/>
        <v>Training - COL - PRD</v>
      </c>
      <c r="E2787" s="12" t="s">
        <v>118</v>
      </c>
      <c r="F2787" s="12" t="s">
        <v>370</v>
      </c>
      <c r="G2787" s="12" t="s">
        <v>205</v>
      </c>
      <c r="H2787" s="12" t="s">
        <v>1025</v>
      </c>
      <c r="I2787" s="12" t="s">
        <v>87</v>
      </c>
    </row>
    <row r="2788" spans="1:9">
      <c r="A2788" s="14">
        <v>97300</v>
      </c>
      <c r="B2788" s="14" t="s">
        <v>984</v>
      </c>
      <c r="C2788" s="12" t="s">
        <v>139</v>
      </c>
      <c r="D2788" s="15" t="str">
        <f t="shared" si="43"/>
        <v>Training - COL - SMGT</v>
      </c>
      <c r="E2788" s="12" t="s">
        <v>118</v>
      </c>
      <c r="F2788" s="12" t="s">
        <v>370</v>
      </c>
      <c r="G2788" s="12" t="s">
        <v>205</v>
      </c>
      <c r="H2788" s="12" t="s">
        <v>1025</v>
      </c>
      <c r="I2788" s="12" t="s">
        <v>87</v>
      </c>
    </row>
    <row r="2789" spans="1:9">
      <c r="A2789" s="14">
        <v>97300</v>
      </c>
      <c r="B2789" s="14" t="s">
        <v>984</v>
      </c>
      <c r="C2789" s="12" t="s">
        <v>145</v>
      </c>
      <c r="D2789" s="15" t="str">
        <f t="shared" si="43"/>
        <v>Training - COL - SUP</v>
      </c>
      <c r="E2789" s="12" t="s">
        <v>118</v>
      </c>
      <c r="F2789" s="12" t="s">
        <v>370</v>
      </c>
      <c r="G2789" s="12" t="s">
        <v>205</v>
      </c>
      <c r="H2789" s="12" t="s">
        <v>1025</v>
      </c>
      <c r="I2789" s="12" t="s">
        <v>87</v>
      </c>
    </row>
    <row r="2790" spans="1:9">
      <c r="A2790" s="14">
        <v>97300</v>
      </c>
      <c r="B2790" s="14" t="s">
        <v>984</v>
      </c>
      <c r="C2790" s="12" t="s">
        <v>198</v>
      </c>
      <c r="D2790" s="15" t="str">
        <f t="shared" si="43"/>
        <v>Training - COL - TEC</v>
      </c>
      <c r="E2790" s="12" t="s">
        <v>118</v>
      </c>
      <c r="F2790" s="12" t="s">
        <v>370</v>
      </c>
      <c r="G2790" s="12" t="s">
        <v>205</v>
      </c>
      <c r="H2790" s="12" t="s">
        <v>1025</v>
      </c>
      <c r="I2790" s="12" t="s">
        <v>87</v>
      </c>
    </row>
    <row r="2791" spans="1:9">
      <c r="A2791" s="14">
        <v>97300</v>
      </c>
      <c r="B2791" s="14" t="s">
        <v>984</v>
      </c>
      <c r="C2791" s="12" t="s">
        <v>180</v>
      </c>
      <c r="D2791" s="15" t="str">
        <f t="shared" si="43"/>
        <v>Training - COL - TMG</v>
      </c>
      <c r="E2791" s="12" t="s">
        <v>118</v>
      </c>
      <c r="F2791" s="12" t="s">
        <v>370</v>
      </c>
      <c r="G2791" s="12" t="s">
        <v>205</v>
      </c>
      <c r="H2791" s="12" t="s">
        <v>1025</v>
      </c>
      <c r="I2791" s="12" t="s">
        <v>87</v>
      </c>
    </row>
    <row r="2792" spans="1:9">
      <c r="A2792" s="14">
        <v>97300</v>
      </c>
      <c r="B2792" s="14" t="s">
        <v>984</v>
      </c>
      <c r="C2792" s="12" t="s">
        <v>203</v>
      </c>
      <c r="D2792" s="15" t="str">
        <f t="shared" si="43"/>
        <v>Training - COL - TRG</v>
      </c>
      <c r="E2792" s="12" t="s">
        <v>118</v>
      </c>
      <c r="F2792" s="12" t="s">
        <v>370</v>
      </c>
      <c r="G2792" s="12" t="s">
        <v>205</v>
      </c>
      <c r="H2792" s="12" t="s">
        <v>1025</v>
      </c>
      <c r="I2792" s="12" t="s">
        <v>87</v>
      </c>
    </row>
    <row r="2793" spans="1:9">
      <c r="A2793" s="14">
        <v>97300</v>
      </c>
      <c r="B2793" s="14" t="s">
        <v>984</v>
      </c>
      <c r="C2793" s="12" t="s">
        <v>546</v>
      </c>
      <c r="D2793" s="15" t="str">
        <f t="shared" si="43"/>
        <v>Training - COL - TRN</v>
      </c>
      <c r="E2793" s="12" t="s">
        <v>118</v>
      </c>
      <c r="F2793" s="12" t="s">
        <v>370</v>
      </c>
      <c r="G2793" s="12" t="s">
        <v>205</v>
      </c>
      <c r="H2793" s="12" t="s">
        <v>1025</v>
      </c>
      <c r="I2793" s="12" t="s">
        <v>87</v>
      </c>
    </row>
    <row r="2794" spans="1:9">
      <c r="A2794" s="14">
        <v>97300</v>
      </c>
      <c r="B2794" s="14" t="s">
        <v>984</v>
      </c>
      <c r="C2794" s="12" t="s">
        <v>208</v>
      </c>
      <c r="D2794" s="15" t="str">
        <f t="shared" si="43"/>
        <v>Training - COL - TTR</v>
      </c>
      <c r="E2794" s="12" t="s">
        <v>118</v>
      </c>
      <c r="F2794" s="12" t="s">
        <v>370</v>
      </c>
      <c r="G2794" s="12" t="s">
        <v>205</v>
      </c>
      <c r="H2794" s="12" t="s">
        <v>1025</v>
      </c>
      <c r="I2794" s="12" t="s">
        <v>87</v>
      </c>
    </row>
    <row r="2795" spans="1:9">
      <c r="A2795" s="14">
        <v>97302</v>
      </c>
      <c r="B2795" s="14" t="s">
        <v>987</v>
      </c>
      <c r="C2795" s="12" t="s">
        <v>129</v>
      </c>
      <c r="D2795" s="15" t="str">
        <f t="shared" si="43"/>
        <v>Training - Corporate - MGT</v>
      </c>
      <c r="E2795" s="12" t="s">
        <v>118</v>
      </c>
      <c r="F2795" s="12" t="s">
        <v>988</v>
      </c>
      <c r="G2795" s="12" t="s">
        <v>114</v>
      </c>
      <c r="H2795" s="12" t="s">
        <v>1025</v>
      </c>
      <c r="I2795" s="12" t="s">
        <v>87</v>
      </c>
    </row>
    <row r="2796" spans="1:9">
      <c r="A2796" s="14">
        <v>97302</v>
      </c>
      <c r="B2796" s="14" t="s">
        <v>987</v>
      </c>
      <c r="C2796" s="12" t="s">
        <v>139</v>
      </c>
      <c r="D2796" s="15" t="str">
        <f t="shared" si="43"/>
        <v>Training - Corporate - SMGT</v>
      </c>
      <c r="E2796" s="12" t="s">
        <v>118</v>
      </c>
      <c r="F2796" s="12" t="s">
        <v>988</v>
      </c>
      <c r="G2796" s="12" t="s">
        <v>114</v>
      </c>
      <c r="H2796" s="12" t="s">
        <v>1025</v>
      </c>
      <c r="I2796" s="12" t="s">
        <v>87</v>
      </c>
    </row>
    <row r="2797" spans="1:9">
      <c r="A2797" s="14">
        <v>97302</v>
      </c>
      <c r="B2797" s="14" t="s">
        <v>987</v>
      </c>
      <c r="C2797" s="12" t="s">
        <v>145</v>
      </c>
      <c r="D2797" s="15" t="str">
        <f t="shared" si="43"/>
        <v>Training - Corporate - SUP</v>
      </c>
      <c r="E2797" s="12" t="s">
        <v>118</v>
      </c>
      <c r="F2797" s="12" t="s">
        <v>988</v>
      </c>
      <c r="G2797" s="12" t="s">
        <v>114</v>
      </c>
      <c r="H2797" s="12" t="s">
        <v>1025</v>
      </c>
      <c r="I2797" s="12" t="s">
        <v>87</v>
      </c>
    </row>
    <row r="2798" spans="1:9">
      <c r="A2798" s="14">
        <v>97302</v>
      </c>
      <c r="B2798" s="14" t="s">
        <v>987</v>
      </c>
      <c r="C2798" s="12" t="s">
        <v>863</v>
      </c>
      <c r="D2798" s="15" t="str">
        <f t="shared" si="43"/>
        <v>Training - Corporate - TRA</v>
      </c>
      <c r="E2798" s="12" t="s">
        <v>118</v>
      </c>
      <c r="F2798" s="12" t="s">
        <v>988</v>
      </c>
      <c r="G2798" s="12" t="s">
        <v>114</v>
      </c>
      <c r="H2798" s="12" t="s">
        <v>1025</v>
      </c>
      <c r="I2798" s="12" t="s">
        <v>87</v>
      </c>
    </row>
    <row r="2799" spans="1:9">
      <c r="A2799" s="14">
        <v>97302</v>
      </c>
      <c r="B2799" s="14" t="s">
        <v>987</v>
      </c>
      <c r="C2799" s="12" t="s">
        <v>203</v>
      </c>
      <c r="D2799" s="15" t="str">
        <f t="shared" si="43"/>
        <v>Training - Corporate - TRG</v>
      </c>
      <c r="E2799" s="12" t="s">
        <v>118</v>
      </c>
      <c r="F2799" s="12" t="s">
        <v>988</v>
      </c>
      <c r="G2799" s="12" t="s">
        <v>114</v>
      </c>
      <c r="H2799" s="12" t="s">
        <v>1025</v>
      </c>
      <c r="I2799" s="12" t="s">
        <v>87</v>
      </c>
    </row>
    <row r="2800" spans="1:9">
      <c r="A2800" s="14">
        <v>97302</v>
      </c>
      <c r="B2800" s="14" t="s">
        <v>987</v>
      </c>
      <c r="C2800" s="12" t="s">
        <v>208</v>
      </c>
      <c r="D2800" s="15" t="str">
        <f t="shared" si="43"/>
        <v>Training - Corporate - TTR</v>
      </c>
      <c r="E2800" s="12" t="s">
        <v>118</v>
      </c>
      <c r="F2800" s="12" t="s">
        <v>988</v>
      </c>
      <c r="G2800" s="12" t="s">
        <v>114</v>
      </c>
      <c r="H2800" s="12" t="s">
        <v>1025</v>
      </c>
      <c r="I2800" s="12" t="s">
        <v>87</v>
      </c>
    </row>
    <row r="2801" spans="1:9">
      <c r="A2801" s="14">
        <v>96107</v>
      </c>
      <c r="B2801" s="14" t="s">
        <v>994</v>
      </c>
      <c r="C2801" s="12" t="s">
        <v>121</v>
      </c>
      <c r="D2801" s="15" t="str">
        <f t="shared" si="43"/>
        <v>Treasury - F&amp;A</v>
      </c>
      <c r="E2801" s="12" t="s">
        <v>118</v>
      </c>
      <c r="F2801" s="12" t="s">
        <v>994</v>
      </c>
      <c r="G2801" s="12" t="s">
        <v>114</v>
      </c>
      <c r="H2801" s="12" t="s">
        <v>1025</v>
      </c>
      <c r="I2801" s="12" t="s">
        <v>87</v>
      </c>
    </row>
    <row r="2802" spans="1:9">
      <c r="A2802" s="14">
        <v>96107</v>
      </c>
      <c r="B2802" s="14" t="s">
        <v>994</v>
      </c>
      <c r="C2802" s="12" t="s">
        <v>129</v>
      </c>
      <c r="D2802" s="15" t="str">
        <f t="shared" si="43"/>
        <v>Treasury - MGT</v>
      </c>
      <c r="E2802" s="12" t="s">
        <v>118</v>
      </c>
      <c r="F2802" s="12" t="s">
        <v>994</v>
      </c>
      <c r="G2802" s="12" t="s">
        <v>114</v>
      </c>
      <c r="H2802" s="12" t="s">
        <v>1025</v>
      </c>
      <c r="I2802" s="12" t="s">
        <v>87</v>
      </c>
    </row>
    <row r="2803" spans="1:9">
      <c r="A2803" s="14">
        <v>96107</v>
      </c>
      <c r="B2803" s="14" t="s">
        <v>994</v>
      </c>
      <c r="C2803" s="12" t="s">
        <v>139</v>
      </c>
      <c r="D2803" s="15" t="str">
        <f t="shared" si="43"/>
        <v>Treasury - SMGT</v>
      </c>
      <c r="E2803" s="12" t="s">
        <v>118</v>
      </c>
      <c r="F2803" s="12" t="s">
        <v>994</v>
      </c>
      <c r="G2803" s="12" t="s">
        <v>114</v>
      </c>
      <c r="H2803" s="12" t="s">
        <v>1025</v>
      </c>
      <c r="I2803" s="12" t="s">
        <v>87</v>
      </c>
    </row>
    <row r="2804" spans="1:9">
      <c r="A2804" s="14">
        <v>96107</v>
      </c>
      <c r="B2804" s="14" t="s">
        <v>994</v>
      </c>
      <c r="C2804" s="12" t="s">
        <v>145</v>
      </c>
      <c r="D2804" s="15" t="str">
        <f t="shared" si="43"/>
        <v>Treasury - SUP</v>
      </c>
      <c r="E2804" s="12" t="s">
        <v>118</v>
      </c>
      <c r="F2804" s="12" t="s">
        <v>994</v>
      </c>
      <c r="G2804" s="12" t="s">
        <v>114</v>
      </c>
      <c r="H2804" s="12" t="s">
        <v>1025</v>
      </c>
      <c r="I2804" s="12" t="s">
        <v>87</v>
      </c>
    </row>
    <row r="2805" spans="1:9">
      <c r="A2805" s="14">
        <v>95702</v>
      </c>
      <c r="B2805" s="14" t="s">
        <v>995</v>
      </c>
      <c r="C2805" s="12" t="s">
        <v>145</v>
      </c>
      <c r="D2805" s="15" t="str">
        <f t="shared" si="43"/>
        <v>Unified Communication - SUP</v>
      </c>
      <c r="E2805" s="12" t="s">
        <v>118</v>
      </c>
      <c r="F2805" s="12" t="s">
        <v>263</v>
      </c>
      <c r="G2805" s="12" t="s">
        <v>264</v>
      </c>
      <c r="H2805" s="12" t="s">
        <v>1025</v>
      </c>
      <c r="I2805" s="12" t="s">
        <v>87</v>
      </c>
    </row>
    <row r="2806" spans="1:9">
      <c r="A2806" s="14">
        <v>12408</v>
      </c>
      <c r="B2806" s="14" t="s">
        <v>540</v>
      </c>
      <c r="C2806" s="12" t="s">
        <v>230</v>
      </c>
      <c r="D2806" s="15" t="str">
        <f t="shared" si="43"/>
        <v>University of Illinois-Coding - PRSP</v>
      </c>
      <c r="E2806" s="12" t="s">
        <v>159</v>
      </c>
      <c r="F2806" s="12" t="s">
        <v>237</v>
      </c>
      <c r="G2806" s="12" t="s">
        <v>238</v>
      </c>
      <c r="H2806" s="12" t="s">
        <v>1025</v>
      </c>
      <c r="I2806" s="12" t="s">
        <v>87</v>
      </c>
    </row>
    <row r="2807" spans="1:9">
      <c r="A2807" s="14">
        <v>12408</v>
      </c>
      <c r="B2807" s="14" t="s">
        <v>540</v>
      </c>
      <c r="C2807" s="12" t="s">
        <v>145</v>
      </c>
      <c r="D2807" s="15" t="str">
        <f t="shared" si="43"/>
        <v>University of Illinois-Coding - SUP</v>
      </c>
      <c r="E2807" s="12" t="s">
        <v>159</v>
      </c>
      <c r="F2807" s="12" t="s">
        <v>237</v>
      </c>
      <c r="G2807" s="12" t="s">
        <v>238</v>
      </c>
      <c r="H2807" s="12" t="s">
        <v>1025</v>
      </c>
      <c r="I2807" s="12" t="s">
        <v>87</v>
      </c>
    </row>
    <row r="2808" spans="1:9">
      <c r="A2808" s="14">
        <v>12408</v>
      </c>
      <c r="B2808" s="14" t="s">
        <v>540</v>
      </c>
      <c r="C2808" s="12" t="s">
        <v>185</v>
      </c>
      <c r="D2808" s="15" t="str">
        <f t="shared" si="43"/>
        <v>University of Illinois-Coding - TPS</v>
      </c>
      <c r="E2808" s="12" t="s">
        <v>159</v>
      </c>
      <c r="F2808" s="12" t="s">
        <v>237</v>
      </c>
      <c r="G2808" s="12" t="s">
        <v>238</v>
      </c>
      <c r="H2808" s="12" t="s">
        <v>1025</v>
      </c>
      <c r="I2808" s="12" t="s">
        <v>87</v>
      </c>
    </row>
    <row r="2809" spans="1:9">
      <c r="A2809" s="14">
        <v>96727</v>
      </c>
      <c r="B2809" s="14" t="s">
        <v>999</v>
      </c>
      <c r="C2809" s="12" t="s">
        <v>129</v>
      </c>
      <c r="D2809" s="15" t="str">
        <f t="shared" si="43"/>
        <v>Vertical Business Finance - MGT</v>
      </c>
      <c r="E2809" s="12" t="s">
        <v>118</v>
      </c>
      <c r="F2809" s="12" t="s">
        <v>122</v>
      </c>
      <c r="G2809" s="12" t="s">
        <v>114</v>
      </c>
      <c r="H2809" s="12" t="s">
        <v>1025</v>
      </c>
      <c r="I2809" s="12" t="s">
        <v>87</v>
      </c>
    </row>
    <row r="2810" spans="1:9">
      <c r="A2810" s="14">
        <v>96727</v>
      </c>
      <c r="B2810" s="14" t="s">
        <v>999</v>
      </c>
      <c r="C2810" s="12" t="s">
        <v>139</v>
      </c>
      <c r="D2810" s="15" t="str">
        <f t="shared" si="43"/>
        <v>Vertical Business Finance - SMGT</v>
      </c>
      <c r="E2810" s="12" t="s">
        <v>118</v>
      </c>
      <c r="F2810" s="12" t="s">
        <v>122</v>
      </c>
      <c r="G2810" s="12" t="s">
        <v>114</v>
      </c>
      <c r="H2810" s="12" t="s">
        <v>1025</v>
      </c>
      <c r="I2810" s="12" t="s">
        <v>87</v>
      </c>
    </row>
    <row r="2811" spans="1:9">
      <c r="A2811" s="14">
        <v>96727</v>
      </c>
      <c r="B2811" s="14" t="s">
        <v>999</v>
      </c>
      <c r="C2811" s="12" t="s">
        <v>145</v>
      </c>
      <c r="D2811" s="15" t="str">
        <f t="shared" si="43"/>
        <v>Vertical Business Finance - SUP</v>
      </c>
      <c r="E2811" s="12" t="s">
        <v>118</v>
      </c>
      <c r="F2811" s="12" t="s">
        <v>122</v>
      </c>
      <c r="G2811" s="12" t="s">
        <v>114</v>
      </c>
      <c r="H2811" s="12" t="s">
        <v>1025</v>
      </c>
      <c r="I2811" s="12" t="s">
        <v>87</v>
      </c>
    </row>
    <row r="2812" spans="1:9">
      <c r="A2812" s="14">
        <v>12446</v>
      </c>
      <c r="B2812" s="14" t="s">
        <v>552</v>
      </c>
      <c r="C2812" s="12" t="s">
        <v>116</v>
      </c>
      <c r="D2812" s="15" t="str">
        <f t="shared" si="43"/>
        <v>Virence - PRD</v>
      </c>
      <c r="E2812" s="12" t="s">
        <v>117</v>
      </c>
      <c r="F2812" s="12" t="s">
        <v>117</v>
      </c>
      <c r="G2812" s="12" t="s">
        <v>117</v>
      </c>
      <c r="H2812" s="12" t="s">
        <v>1025</v>
      </c>
      <c r="I2812" s="12" t="s">
        <v>87</v>
      </c>
    </row>
    <row r="2813" spans="1:9">
      <c r="A2813" s="14">
        <v>12446</v>
      </c>
      <c r="B2813" s="14" t="s">
        <v>552</v>
      </c>
      <c r="C2813" s="12" t="s">
        <v>139</v>
      </c>
      <c r="D2813" s="15" t="str">
        <f t="shared" si="43"/>
        <v>Virence - SMGT</v>
      </c>
      <c r="E2813" s="12" t="s">
        <v>117</v>
      </c>
      <c r="F2813" s="12" t="s">
        <v>117</v>
      </c>
      <c r="G2813" s="12" t="s">
        <v>117</v>
      </c>
      <c r="H2813" s="12" t="s">
        <v>1025</v>
      </c>
      <c r="I2813" s="12" t="s">
        <v>87</v>
      </c>
    </row>
    <row r="2814" spans="1:9">
      <c r="A2814" s="14">
        <v>12446</v>
      </c>
      <c r="B2814" s="14" t="s">
        <v>552</v>
      </c>
      <c r="C2814" s="12" t="s">
        <v>145</v>
      </c>
      <c r="D2814" s="15" t="str">
        <f t="shared" si="43"/>
        <v>Virence - SUP</v>
      </c>
      <c r="E2814" s="12" t="s">
        <v>117</v>
      </c>
      <c r="F2814" s="12" t="s">
        <v>117</v>
      </c>
      <c r="G2814" s="12" t="s">
        <v>117</v>
      </c>
      <c r="H2814" s="12" t="s">
        <v>1025</v>
      </c>
      <c r="I2814" s="12" t="s">
        <v>87</v>
      </c>
    </row>
    <row r="2815" spans="1:9">
      <c r="A2815" s="14">
        <v>12490</v>
      </c>
      <c r="B2815" s="14" t="s">
        <v>563</v>
      </c>
      <c r="C2815" s="12" t="s">
        <v>332</v>
      </c>
      <c r="D2815" s="15" t="str">
        <f t="shared" si="43"/>
        <v>VVC Holding Corp - Coding - RCF</v>
      </c>
      <c r="E2815" s="12" t="s">
        <v>159</v>
      </c>
      <c r="F2815" s="12" t="s">
        <v>237</v>
      </c>
      <c r="G2815" s="12" t="s">
        <v>238</v>
      </c>
      <c r="H2815" s="12" t="s">
        <v>1025</v>
      </c>
      <c r="I2815" s="12" t="s">
        <v>87</v>
      </c>
    </row>
    <row r="2816" spans="1:9">
      <c r="A2816" s="14">
        <v>12490</v>
      </c>
      <c r="B2816" s="14" t="s">
        <v>563</v>
      </c>
      <c r="C2816" s="12" t="s">
        <v>145</v>
      </c>
      <c r="D2816" s="15" t="str">
        <f t="shared" si="43"/>
        <v>VVC Holding Corp - Coding - SUP</v>
      </c>
      <c r="E2816" s="12" t="s">
        <v>159</v>
      </c>
      <c r="F2816" s="12" t="s">
        <v>237</v>
      </c>
      <c r="G2816" s="12" t="s">
        <v>238</v>
      </c>
      <c r="H2816" s="12" t="s">
        <v>1025</v>
      </c>
      <c r="I2816" s="12" t="s">
        <v>87</v>
      </c>
    </row>
    <row r="2817" spans="1:9">
      <c r="A2817" s="14">
        <v>12490</v>
      </c>
      <c r="B2817" s="14" t="s">
        <v>563</v>
      </c>
      <c r="C2817" s="12" t="s">
        <v>185</v>
      </c>
      <c r="D2817" s="15" t="str">
        <f t="shared" si="43"/>
        <v>VVC Holding Corp - Coding - TPS</v>
      </c>
      <c r="E2817" s="12" t="s">
        <v>159</v>
      </c>
      <c r="F2817" s="12" t="s">
        <v>237</v>
      </c>
      <c r="G2817" s="12" t="s">
        <v>238</v>
      </c>
      <c r="H2817" s="12" t="s">
        <v>1025</v>
      </c>
      <c r="I2817" s="12" t="s">
        <v>87</v>
      </c>
    </row>
    <row r="2818" spans="1:9">
      <c r="A2818" s="14">
        <v>10941</v>
      </c>
      <c r="B2818" s="14" t="s">
        <v>482</v>
      </c>
      <c r="C2818" s="12" t="s">
        <v>150</v>
      </c>
      <c r="D2818" s="15" t="str">
        <f t="shared" ref="D2818:D2822" si="44">B2818&amp;" - "&amp;C2818</f>
        <v>Wex_CustomerCare - CCS</v>
      </c>
      <c r="E2818" s="12" t="s">
        <v>141</v>
      </c>
      <c r="F2818" s="12" t="s">
        <v>163</v>
      </c>
      <c r="G2818" s="12" t="s">
        <v>164</v>
      </c>
      <c r="H2818" s="12" t="s">
        <v>1025</v>
      </c>
      <c r="I2818" s="12" t="s">
        <v>87</v>
      </c>
    </row>
    <row r="2819" spans="1:9">
      <c r="A2819" s="14">
        <v>10941</v>
      </c>
      <c r="B2819" s="14" t="s">
        <v>482</v>
      </c>
      <c r="C2819" s="12" t="s">
        <v>172</v>
      </c>
      <c r="D2819" s="15" t="str">
        <f t="shared" si="44"/>
        <v>Wex_CustomerCare - SME</v>
      </c>
      <c r="E2819" s="12" t="s">
        <v>141</v>
      </c>
      <c r="F2819" s="12" t="s">
        <v>163</v>
      </c>
      <c r="G2819" s="12" t="s">
        <v>164</v>
      </c>
      <c r="H2819" s="12" t="s">
        <v>1025</v>
      </c>
      <c r="I2819" s="12" t="s">
        <v>87</v>
      </c>
    </row>
    <row r="2820" spans="1:9">
      <c r="A2820" s="14">
        <v>10941</v>
      </c>
      <c r="B2820" s="14" t="s">
        <v>482</v>
      </c>
      <c r="C2820" s="12" t="s">
        <v>180</v>
      </c>
      <c r="D2820" s="15" t="str">
        <f t="shared" si="44"/>
        <v>Wex_CustomerCare - TMG</v>
      </c>
      <c r="E2820" s="12" t="s">
        <v>141</v>
      </c>
      <c r="F2820" s="12" t="s">
        <v>163</v>
      </c>
      <c r="G2820" s="12" t="s">
        <v>164</v>
      </c>
      <c r="H2820" s="12" t="s">
        <v>1025</v>
      </c>
      <c r="I2820" s="12" t="s">
        <v>87</v>
      </c>
    </row>
    <row r="2821" spans="1:9">
      <c r="A2821" s="14">
        <v>10941</v>
      </c>
      <c r="B2821" s="14" t="s">
        <v>482</v>
      </c>
      <c r="C2821" s="12" t="s">
        <v>185</v>
      </c>
      <c r="D2821" s="15" t="str">
        <f t="shared" si="44"/>
        <v>Wex_CustomerCare - TPS</v>
      </c>
      <c r="E2821" s="12" t="s">
        <v>141</v>
      </c>
      <c r="F2821" s="12" t="s">
        <v>163</v>
      </c>
      <c r="G2821" s="12" t="s">
        <v>164</v>
      </c>
      <c r="H2821" s="12" t="s">
        <v>1025</v>
      </c>
      <c r="I2821" s="12" t="s">
        <v>87</v>
      </c>
    </row>
    <row r="2822" spans="1:9">
      <c r="A2822" s="35">
        <v>91024</v>
      </c>
      <c r="B2822" s="32" t="s">
        <v>933</v>
      </c>
      <c r="C2822" s="12" t="s">
        <v>180</v>
      </c>
      <c r="D2822" s="15" t="str">
        <f t="shared" si="44"/>
        <v>Organizational Excellence - TMG</v>
      </c>
      <c r="E2822" s="12" t="s">
        <v>118</v>
      </c>
      <c r="F2822" s="12" t="s">
        <v>401</v>
      </c>
      <c r="G2822" s="12" t="s">
        <v>114</v>
      </c>
      <c r="H2822" s="12" t="s">
        <v>1025</v>
      </c>
      <c r="I2822" s="12" t="s">
        <v>87</v>
      </c>
    </row>
  </sheetData>
  <autoFilter ref="A1:I28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8"/>
  <sheetViews>
    <sheetView workbookViewId="0">
      <selection activeCell="H12" sqref="H12"/>
    </sheetView>
  </sheetViews>
  <sheetFormatPr defaultRowHeight="14"/>
  <cols>
    <col min="1" max="1" width="5.75" bestFit="1" customWidth="1"/>
    <col min="2" max="2" width="16.4140625" bestFit="1" customWidth="1"/>
    <col min="3" max="3" width="16.75" bestFit="1" customWidth="1"/>
    <col min="4" max="4" width="16.4140625" bestFit="1" customWidth="1"/>
    <col min="5" max="5" width="16.75" bestFit="1" customWidth="1"/>
    <col min="6" max="6" width="16.4140625" bestFit="1" customWidth="1"/>
    <col min="7" max="7" width="16.75" bestFit="1" customWidth="1"/>
    <col min="8" max="8" width="16.4140625" bestFit="1" customWidth="1"/>
    <col min="9" max="9" width="16.75" bestFit="1" customWidth="1"/>
    <col min="10" max="10" width="5.25" bestFit="1" customWidth="1"/>
    <col min="11" max="11" width="16.4140625" bestFit="1" customWidth="1"/>
    <col min="12" max="12" width="16.75" bestFit="1" customWidth="1"/>
    <col min="13" max="13" width="16.4140625" bestFit="1" customWidth="1"/>
    <col min="14" max="14" width="16.75" bestFit="1" customWidth="1"/>
    <col min="15" max="15" width="16.4140625" bestFit="1" customWidth="1"/>
    <col min="16" max="16" width="16.75" bestFit="1" customWidth="1"/>
    <col min="17" max="17" width="16.4140625" bestFit="1" customWidth="1"/>
    <col min="18" max="18" width="16.75" bestFit="1" customWidth="1"/>
    <col min="19" max="19" width="5.25" bestFit="1" customWidth="1"/>
    <col min="20" max="20" width="16.4140625" bestFit="1" customWidth="1"/>
    <col min="21" max="21" width="16.75" bestFit="1" customWidth="1"/>
    <col min="22" max="22" width="16.4140625" bestFit="1" customWidth="1"/>
    <col min="23" max="23" width="16.75" bestFit="1" customWidth="1"/>
    <col min="24" max="24" width="16.4140625" bestFit="1" customWidth="1"/>
    <col min="25" max="25" width="16.75" bestFit="1" customWidth="1"/>
    <col min="26" max="26" width="16.4140625" bestFit="1" customWidth="1"/>
    <col min="27" max="27" width="16.75" bestFit="1" customWidth="1"/>
    <col min="28" max="28" width="16.4140625" bestFit="1" customWidth="1"/>
    <col min="29" max="29" width="16.75" bestFit="1" customWidth="1"/>
  </cols>
  <sheetData>
    <row r="1" spans="1:29">
      <c r="B1" s="192" t="str">
        <f>B2&amp;B3</f>
        <v>AnalyticsMin</v>
      </c>
      <c r="C1" s="192" t="str">
        <f t="shared" ref="C1:I1" si="0">C2&amp;C3</f>
        <v>AnalyticsMax</v>
      </c>
      <c r="D1" s="192" t="str">
        <f t="shared" si="0"/>
        <v>DESMin</v>
      </c>
      <c r="E1" s="192" t="str">
        <f t="shared" si="0"/>
        <v>DESMax</v>
      </c>
      <c r="F1" s="192" t="str">
        <f t="shared" si="0"/>
        <v>GSI, GTI, GSDMin</v>
      </c>
      <c r="G1" s="192" t="str">
        <f t="shared" si="0"/>
        <v>GSI, GTI, GSDMax</v>
      </c>
      <c r="H1" s="192" t="str">
        <f t="shared" si="0"/>
        <v>ResearchMin</v>
      </c>
      <c r="I1" s="192" t="str">
        <f t="shared" si="0"/>
        <v>ResearchMax</v>
      </c>
      <c r="K1" s="192" t="str">
        <f t="shared" ref="K1:R1" si="1">K2&amp;K3</f>
        <v>Sub Family 01Min</v>
      </c>
      <c r="L1" s="192" t="str">
        <f t="shared" si="1"/>
        <v>Sub Family 01Max</v>
      </c>
      <c r="M1" s="192" t="str">
        <f t="shared" si="1"/>
        <v>Sub Family 02Min</v>
      </c>
      <c r="N1" s="192" t="str">
        <f t="shared" si="1"/>
        <v>Sub Family 02Max</v>
      </c>
      <c r="O1" s="192" t="str">
        <f t="shared" si="1"/>
        <v>Sub Family 03Min</v>
      </c>
      <c r="P1" s="192" t="str">
        <f t="shared" si="1"/>
        <v>Sub Family 03Max</v>
      </c>
      <c r="Q1" s="192" t="str">
        <f t="shared" si="1"/>
        <v>Sub Family 04Min</v>
      </c>
      <c r="R1" s="192" t="str">
        <f t="shared" si="1"/>
        <v>Sub Family 04Max</v>
      </c>
      <c r="T1" s="192" t="str">
        <f t="shared" ref="T1:AC1" si="2">T2&amp;T3</f>
        <v>Sub Family 05Min</v>
      </c>
      <c r="U1" s="192" t="str">
        <f t="shared" si="2"/>
        <v>Sub Family 05Max</v>
      </c>
      <c r="V1" s="192" t="str">
        <f t="shared" si="2"/>
        <v>Sub Family 09Min</v>
      </c>
      <c r="W1" s="192" t="str">
        <f t="shared" si="2"/>
        <v>Sub Family 09Max</v>
      </c>
      <c r="X1" s="192" t="str">
        <f t="shared" si="2"/>
        <v>Sub Family 13Min</v>
      </c>
      <c r="Y1" s="192" t="str">
        <f t="shared" si="2"/>
        <v>Sub Family 13Max</v>
      </c>
      <c r="Z1" s="192" t="str">
        <f t="shared" si="2"/>
        <v>Sub Family 14Min</v>
      </c>
      <c r="AA1" s="192" t="str">
        <f t="shared" si="2"/>
        <v>Sub Family 14Max</v>
      </c>
      <c r="AB1" s="192" t="str">
        <f t="shared" si="2"/>
        <v>Sub Family 15Min</v>
      </c>
      <c r="AC1" s="192" t="str">
        <f t="shared" si="2"/>
        <v>Sub Family 15Max</v>
      </c>
    </row>
    <row r="2" spans="1:29">
      <c r="B2" s="193" t="s">
        <v>890</v>
      </c>
      <c r="C2" s="193" t="str">
        <f>B2</f>
        <v>Analytics</v>
      </c>
      <c r="D2" s="188" t="s">
        <v>117</v>
      </c>
      <c r="E2" s="188" t="s">
        <v>117</v>
      </c>
      <c r="F2" s="193" t="s">
        <v>264</v>
      </c>
      <c r="G2" s="193" t="s">
        <v>264</v>
      </c>
      <c r="H2" s="188" t="s">
        <v>184</v>
      </c>
      <c r="I2" s="188" t="s">
        <v>184</v>
      </c>
      <c r="K2" s="193" t="s">
        <v>164</v>
      </c>
      <c r="L2" s="193" t="s">
        <v>164</v>
      </c>
      <c r="M2" s="188" t="s">
        <v>114</v>
      </c>
      <c r="N2" s="188" t="s">
        <v>114</v>
      </c>
      <c r="O2" s="193" t="s">
        <v>128</v>
      </c>
      <c r="P2" s="193" t="s">
        <v>128</v>
      </c>
      <c r="Q2" s="188" t="s">
        <v>361</v>
      </c>
      <c r="R2" s="188" t="s">
        <v>361</v>
      </c>
      <c r="T2" s="188" t="s">
        <v>981</v>
      </c>
      <c r="U2" s="188" t="s">
        <v>981</v>
      </c>
      <c r="V2" s="193" t="s">
        <v>238</v>
      </c>
      <c r="W2" s="193" t="s">
        <v>238</v>
      </c>
      <c r="X2" s="188" t="s">
        <v>350</v>
      </c>
      <c r="Y2" s="188" t="s">
        <v>350</v>
      </c>
      <c r="Z2" s="193" t="s">
        <v>205</v>
      </c>
      <c r="AA2" s="193" t="s">
        <v>205</v>
      </c>
      <c r="AB2" s="188" t="s">
        <v>1034</v>
      </c>
      <c r="AC2" s="188" t="s">
        <v>1034</v>
      </c>
    </row>
    <row r="3" spans="1:29">
      <c r="A3" s="189" t="s">
        <v>90</v>
      </c>
      <c r="B3" s="189" t="s">
        <v>1032</v>
      </c>
      <c r="C3" s="189" t="s">
        <v>1033</v>
      </c>
      <c r="D3" s="189" t="s">
        <v>1032</v>
      </c>
      <c r="E3" s="189" t="s">
        <v>1033</v>
      </c>
      <c r="F3" s="189" t="s">
        <v>1032</v>
      </c>
      <c r="G3" s="189" t="s">
        <v>1033</v>
      </c>
      <c r="H3" s="189" t="s">
        <v>1032</v>
      </c>
      <c r="I3" s="189" t="s">
        <v>1033</v>
      </c>
      <c r="J3" s="189" t="s">
        <v>90</v>
      </c>
      <c r="K3" s="189" t="s">
        <v>1032</v>
      </c>
      <c r="L3" s="189" t="s">
        <v>1033</v>
      </c>
      <c r="M3" s="189" t="s">
        <v>1032</v>
      </c>
      <c r="N3" s="189" t="s">
        <v>1033</v>
      </c>
      <c r="O3" s="189" t="s">
        <v>1032</v>
      </c>
      <c r="P3" s="189" t="s">
        <v>1033</v>
      </c>
      <c r="Q3" s="189" t="s">
        <v>1032</v>
      </c>
      <c r="R3" s="189" t="s">
        <v>1033</v>
      </c>
      <c r="S3" s="189" t="s">
        <v>90</v>
      </c>
      <c r="T3" s="189" t="s">
        <v>1032</v>
      </c>
      <c r="U3" s="189" t="s">
        <v>1033</v>
      </c>
      <c r="V3" s="189" t="s">
        <v>1032</v>
      </c>
      <c r="W3" s="189" t="s">
        <v>1033</v>
      </c>
      <c r="X3" s="189" t="s">
        <v>1032</v>
      </c>
      <c r="Y3" s="189" t="s">
        <v>1033</v>
      </c>
      <c r="Z3" s="189" t="s">
        <v>1032</v>
      </c>
      <c r="AA3" s="189" t="s">
        <v>1033</v>
      </c>
      <c r="AB3" s="189" t="s">
        <v>1032</v>
      </c>
      <c r="AC3" s="189" t="s">
        <v>1033</v>
      </c>
    </row>
    <row r="4" spans="1:29">
      <c r="A4" s="190">
        <v>1</v>
      </c>
      <c r="B4" s="191">
        <v>350000</v>
      </c>
      <c r="C4" s="191">
        <v>600000</v>
      </c>
      <c r="D4" s="191">
        <v>350000</v>
      </c>
      <c r="E4" s="191">
        <v>600000</v>
      </c>
      <c r="F4" s="191">
        <v>350000</v>
      </c>
      <c r="G4" s="191">
        <v>600000</v>
      </c>
      <c r="H4" s="191">
        <v>300000</v>
      </c>
      <c r="I4" s="191">
        <v>550000</v>
      </c>
      <c r="J4" s="190">
        <v>1</v>
      </c>
      <c r="K4" s="191">
        <v>140000</v>
      </c>
      <c r="L4" s="191">
        <v>350000</v>
      </c>
      <c r="M4" s="191">
        <v>140000</v>
      </c>
      <c r="N4" s="191">
        <v>300000</v>
      </c>
      <c r="O4" s="191">
        <v>140000</v>
      </c>
      <c r="P4" s="191">
        <v>300000</v>
      </c>
      <c r="Q4" s="191">
        <v>170000</v>
      </c>
      <c r="R4" s="191">
        <v>350000</v>
      </c>
      <c r="S4" s="190">
        <v>1</v>
      </c>
      <c r="T4" s="191">
        <v>140000</v>
      </c>
      <c r="U4" s="191">
        <v>300000</v>
      </c>
      <c r="V4" s="191">
        <v>140000</v>
      </c>
      <c r="W4" s="191">
        <v>400000</v>
      </c>
      <c r="X4" s="191">
        <v>170000</v>
      </c>
      <c r="Y4" s="191">
        <v>275000</v>
      </c>
      <c r="Z4" s="191">
        <v>140000</v>
      </c>
      <c r="AA4" s="191">
        <v>300000</v>
      </c>
      <c r="AB4" s="191">
        <v>200000</v>
      </c>
      <c r="AC4" s="191">
        <v>375000</v>
      </c>
    </row>
    <row r="5" spans="1:29">
      <c r="A5" s="190">
        <v>2</v>
      </c>
      <c r="B5" s="191">
        <v>600000</v>
      </c>
      <c r="C5" s="191">
        <v>1200000</v>
      </c>
      <c r="D5" s="191">
        <v>600000</v>
      </c>
      <c r="E5" s="191">
        <v>1200000</v>
      </c>
      <c r="F5" s="191">
        <v>600000</v>
      </c>
      <c r="G5" s="191">
        <v>1200000</v>
      </c>
      <c r="H5" s="191">
        <v>500000</v>
      </c>
      <c r="I5" s="191">
        <v>1000000</v>
      </c>
      <c r="J5" s="190">
        <v>2</v>
      </c>
      <c r="K5" s="191">
        <v>180000</v>
      </c>
      <c r="L5" s="191">
        <v>450000</v>
      </c>
      <c r="M5" s="191">
        <v>170000</v>
      </c>
      <c r="N5" s="191">
        <v>450000</v>
      </c>
      <c r="O5" s="191">
        <v>170000</v>
      </c>
      <c r="P5" s="191">
        <v>450000</v>
      </c>
      <c r="Q5" s="191">
        <v>190000</v>
      </c>
      <c r="R5" s="191">
        <v>500000</v>
      </c>
      <c r="S5" s="190">
        <v>2</v>
      </c>
      <c r="T5" s="191">
        <v>170000</v>
      </c>
      <c r="U5" s="191">
        <v>450000</v>
      </c>
      <c r="V5" s="191">
        <v>170000</v>
      </c>
      <c r="W5" s="191">
        <v>750000</v>
      </c>
      <c r="X5" s="191">
        <v>200000</v>
      </c>
      <c r="Y5" s="191">
        <v>375000</v>
      </c>
      <c r="Z5" s="191">
        <v>400000</v>
      </c>
      <c r="AA5" s="191">
        <v>550000</v>
      </c>
      <c r="AB5" s="191">
        <v>400000</v>
      </c>
      <c r="AC5" s="191">
        <v>600000</v>
      </c>
    </row>
    <row r="6" spans="1:29">
      <c r="A6" s="190">
        <v>3</v>
      </c>
      <c r="B6" s="191">
        <v>1000000</v>
      </c>
      <c r="C6" s="191">
        <v>2000000</v>
      </c>
      <c r="D6" s="191">
        <v>1000000</v>
      </c>
      <c r="E6" s="191">
        <v>2000000</v>
      </c>
      <c r="F6" s="191">
        <v>1000000</v>
      </c>
      <c r="G6" s="191">
        <v>2000000</v>
      </c>
      <c r="H6" s="191">
        <v>800000</v>
      </c>
      <c r="I6" s="191">
        <v>1500000</v>
      </c>
      <c r="J6" s="190">
        <v>3</v>
      </c>
      <c r="K6" s="191">
        <v>250000</v>
      </c>
      <c r="L6" s="191">
        <v>600000</v>
      </c>
      <c r="M6" s="191">
        <v>350000</v>
      </c>
      <c r="N6" s="191">
        <v>600000</v>
      </c>
      <c r="O6" s="191">
        <v>210000</v>
      </c>
      <c r="P6" s="191">
        <v>600000</v>
      </c>
      <c r="Q6" s="191">
        <v>250000</v>
      </c>
      <c r="R6" s="191">
        <v>650000</v>
      </c>
      <c r="S6" s="190">
        <v>3</v>
      </c>
      <c r="T6" s="191">
        <v>210000</v>
      </c>
      <c r="U6" s="191">
        <v>625000</v>
      </c>
      <c r="V6" s="191">
        <v>210000</v>
      </c>
      <c r="W6" s="191">
        <v>900000</v>
      </c>
      <c r="X6" s="191">
        <v>300000</v>
      </c>
      <c r="Y6" s="191">
        <v>500000</v>
      </c>
      <c r="Z6" s="191">
        <v>550000</v>
      </c>
      <c r="AA6" s="191">
        <v>850000</v>
      </c>
      <c r="AB6" s="191">
        <v>550000</v>
      </c>
      <c r="AC6" s="191">
        <v>800000</v>
      </c>
    </row>
    <row r="7" spans="1:29">
      <c r="A7" s="190">
        <v>4</v>
      </c>
      <c r="B7" s="191">
        <v>1400000</v>
      </c>
      <c r="C7" s="191">
        <v>2500000</v>
      </c>
      <c r="D7" s="191">
        <v>1400000</v>
      </c>
      <c r="E7" s="191">
        <v>2500000</v>
      </c>
      <c r="F7" s="191">
        <v>1400000</v>
      </c>
      <c r="G7" s="191">
        <v>2500000</v>
      </c>
      <c r="H7" s="191">
        <v>1200000</v>
      </c>
      <c r="I7" s="191">
        <v>2250000</v>
      </c>
      <c r="J7" s="190">
        <v>4</v>
      </c>
      <c r="K7" s="191">
        <v>300000</v>
      </c>
      <c r="L7" s="191">
        <v>1000000</v>
      </c>
      <c r="M7" s="191">
        <v>425000</v>
      </c>
      <c r="N7" s="191">
        <v>1000000</v>
      </c>
      <c r="O7" s="191">
        <v>425000</v>
      </c>
      <c r="P7" s="191">
        <v>1000000</v>
      </c>
      <c r="Q7" s="191">
        <v>300000</v>
      </c>
      <c r="R7" s="191">
        <v>1100000</v>
      </c>
      <c r="S7" s="190">
        <v>4</v>
      </c>
      <c r="T7" s="191">
        <v>300000</v>
      </c>
      <c r="U7" s="191">
        <v>1000000</v>
      </c>
      <c r="V7" s="191">
        <v>425000</v>
      </c>
      <c r="W7" s="191">
        <v>1100000</v>
      </c>
      <c r="X7" s="191">
        <v>400000</v>
      </c>
      <c r="Y7" s="191">
        <v>700000</v>
      </c>
      <c r="Z7" s="191">
        <v>800000</v>
      </c>
      <c r="AA7" s="191">
        <v>120000</v>
      </c>
      <c r="AB7" s="191">
        <v>750000</v>
      </c>
      <c r="AC7" s="191">
        <v>1150000</v>
      </c>
    </row>
    <row r="8" spans="1:29">
      <c r="A8" s="190">
        <v>5</v>
      </c>
      <c r="B8" s="191">
        <v>1800000</v>
      </c>
      <c r="C8" s="191">
        <v>3200000</v>
      </c>
      <c r="D8" s="191">
        <v>1800000</v>
      </c>
      <c r="E8" s="191">
        <v>3200000</v>
      </c>
      <c r="F8" s="191">
        <v>1800000</v>
      </c>
      <c r="G8" s="191">
        <v>3200000</v>
      </c>
      <c r="H8" s="191">
        <v>1800000</v>
      </c>
      <c r="I8" s="191">
        <v>3000000</v>
      </c>
      <c r="J8" s="190">
        <v>5</v>
      </c>
      <c r="K8" s="191">
        <v>900000</v>
      </c>
      <c r="L8" s="191">
        <v>1700000</v>
      </c>
      <c r="M8" s="191">
        <v>800000</v>
      </c>
      <c r="N8" s="191">
        <v>1600000</v>
      </c>
      <c r="O8" s="191">
        <v>800000</v>
      </c>
      <c r="P8" s="191">
        <v>1600000</v>
      </c>
      <c r="Q8" s="191">
        <v>900000</v>
      </c>
      <c r="R8" s="191">
        <v>1700000</v>
      </c>
      <c r="S8" s="190">
        <v>5</v>
      </c>
      <c r="T8" s="191">
        <v>800000</v>
      </c>
      <c r="U8" s="191">
        <v>1600000</v>
      </c>
      <c r="V8" s="191">
        <v>800000</v>
      </c>
      <c r="W8" s="191">
        <v>1600000</v>
      </c>
      <c r="X8" s="191">
        <v>700000</v>
      </c>
      <c r="Y8" s="191">
        <v>1500000</v>
      </c>
      <c r="Z8" s="191">
        <v>120000</v>
      </c>
      <c r="AA8" s="191">
        <v>1850000</v>
      </c>
      <c r="AB8" s="191">
        <v>1200000</v>
      </c>
      <c r="AC8" s="191">
        <v>1900000</v>
      </c>
    </row>
    <row r="9" spans="1:29">
      <c r="A9" s="190">
        <v>6</v>
      </c>
      <c r="B9" s="191">
        <v>2500000</v>
      </c>
      <c r="C9" s="191">
        <v>5000000</v>
      </c>
      <c r="D9" s="191">
        <v>2500000</v>
      </c>
      <c r="E9" s="191">
        <v>5000000</v>
      </c>
      <c r="F9" s="191">
        <v>2500000</v>
      </c>
      <c r="G9" s="191">
        <v>5000000</v>
      </c>
      <c r="H9" s="191">
        <v>2500000</v>
      </c>
      <c r="I9" s="191">
        <v>5000000</v>
      </c>
      <c r="J9" s="190">
        <v>6</v>
      </c>
      <c r="K9" s="191">
        <v>1400000</v>
      </c>
      <c r="L9" s="191">
        <v>3600000</v>
      </c>
      <c r="M9" s="191">
        <v>1400000</v>
      </c>
      <c r="N9" s="191">
        <v>3500000</v>
      </c>
      <c r="O9" s="191">
        <v>1400000</v>
      </c>
      <c r="P9" s="191">
        <v>3500000</v>
      </c>
      <c r="Q9" s="191">
        <v>1400000</v>
      </c>
      <c r="R9" s="191">
        <v>3600000</v>
      </c>
      <c r="S9" s="190">
        <v>6</v>
      </c>
      <c r="T9" s="191">
        <v>1400000</v>
      </c>
      <c r="U9" s="191">
        <v>3500000</v>
      </c>
      <c r="V9" s="191">
        <v>1400000</v>
      </c>
      <c r="W9" s="191">
        <v>3500000</v>
      </c>
      <c r="X9" s="191">
        <v>1200000</v>
      </c>
      <c r="Y9" s="191">
        <v>2800000</v>
      </c>
      <c r="Z9" s="191">
        <v>1400000</v>
      </c>
      <c r="AA9" s="191">
        <v>3500000</v>
      </c>
      <c r="AB9" s="191">
        <v>1400000</v>
      </c>
      <c r="AC9" s="191">
        <v>3500000</v>
      </c>
    </row>
    <row r="14" spans="1:29">
      <c r="A14" s="192"/>
      <c r="B14" s="192" t="str">
        <f t="shared" ref="B14:I14" si="3">B15&amp;B16</f>
        <v>Sub Family 02Min</v>
      </c>
      <c r="C14" s="192" t="str">
        <f t="shared" si="3"/>
        <v>Sub Family 02Max</v>
      </c>
      <c r="D14" s="192" t="str">
        <f t="shared" si="3"/>
        <v>Sub Family 01Min</v>
      </c>
      <c r="E14" s="192" t="str">
        <f t="shared" si="3"/>
        <v>Sub Family 01Max</v>
      </c>
      <c r="F14" s="192" t="str">
        <f t="shared" si="3"/>
        <v>Sub Family 03Min</v>
      </c>
      <c r="G14" s="192" t="str">
        <f t="shared" si="3"/>
        <v>Sub Family 03Max</v>
      </c>
      <c r="H14" s="192" t="str">
        <f t="shared" si="3"/>
        <v>Sub Family 13Min</v>
      </c>
      <c r="I14" s="192" t="str">
        <f t="shared" si="3"/>
        <v>Sub Family 13Max</v>
      </c>
      <c r="K14" s="192" t="str">
        <f t="shared" ref="K14" si="4">K15&amp;K16</f>
        <v>Sub Family 04Min</v>
      </c>
      <c r="L14" s="192" t="str">
        <f t="shared" ref="L14" si="5">L15&amp;L16</f>
        <v>Sub Family 04Max</v>
      </c>
      <c r="M14" s="192" t="str">
        <f t="shared" ref="M14" si="6">M15&amp;M16</f>
        <v>Sub Family 05Min</v>
      </c>
      <c r="N14" s="192" t="str">
        <f t="shared" ref="N14" si="7">N15&amp;N16</f>
        <v>Sub Family 05Max</v>
      </c>
      <c r="O14" s="192" t="str">
        <f t="shared" ref="O14" si="8">O15&amp;O16</f>
        <v>Sub Family 09Min</v>
      </c>
      <c r="P14" s="192" t="str">
        <f t="shared" ref="P14" si="9">P15&amp;P16</f>
        <v>Sub Family 09Max</v>
      </c>
      <c r="Q14" s="192" t="str">
        <f t="shared" ref="Q14" si="10">Q15&amp;Q16</f>
        <v>Sub Family 14Min</v>
      </c>
      <c r="R14" s="192" t="str">
        <f t="shared" ref="R14" si="11">R15&amp;R16</f>
        <v>Sub Family 14Max</v>
      </c>
      <c r="T14" s="192" t="str">
        <f t="shared" ref="T14" si="12">T15&amp;T16</f>
        <v>Sub Family 15Min</v>
      </c>
      <c r="U14" s="192" t="str">
        <f t="shared" ref="U14" si="13">U15&amp;U16</f>
        <v>Sub Family 15Max</v>
      </c>
    </row>
    <row r="15" spans="1:29">
      <c r="A15" s="187" t="s">
        <v>1035</v>
      </c>
      <c r="B15" s="188" t="s">
        <v>114</v>
      </c>
      <c r="C15" s="188" t="s">
        <v>114</v>
      </c>
      <c r="D15" s="188" t="s">
        <v>164</v>
      </c>
      <c r="E15" s="188" t="s">
        <v>164</v>
      </c>
      <c r="F15" s="188" t="s">
        <v>128</v>
      </c>
      <c r="G15" s="188" t="s">
        <v>128</v>
      </c>
      <c r="H15" s="188" t="s">
        <v>350</v>
      </c>
      <c r="I15" s="188" t="s">
        <v>350</v>
      </c>
      <c r="K15" s="188" t="s">
        <v>361</v>
      </c>
      <c r="L15" s="188" t="s">
        <v>361</v>
      </c>
      <c r="M15" s="188" t="s">
        <v>981</v>
      </c>
      <c r="N15" s="188" t="s">
        <v>981</v>
      </c>
      <c r="O15" s="188" t="s">
        <v>238</v>
      </c>
      <c r="P15" s="188" t="s">
        <v>238</v>
      </c>
      <c r="Q15" s="188" t="s">
        <v>205</v>
      </c>
      <c r="R15" s="188" t="s">
        <v>205</v>
      </c>
      <c r="T15" s="188" t="s">
        <v>1034</v>
      </c>
      <c r="U15" s="188" t="s">
        <v>1034</v>
      </c>
    </row>
    <row r="16" spans="1:29">
      <c r="A16" s="189" t="s">
        <v>90</v>
      </c>
      <c r="B16" s="189" t="s">
        <v>1032</v>
      </c>
      <c r="C16" s="189" t="s">
        <v>1033</v>
      </c>
      <c r="D16" s="189" t="s">
        <v>1032</v>
      </c>
      <c r="E16" s="189" t="s">
        <v>1033</v>
      </c>
      <c r="F16" s="189" t="s">
        <v>1032</v>
      </c>
      <c r="G16" s="189" t="s">
        <v>1033</v>
      </c>
      <c r="H16" s="189" t="s">
        <v>1032</v>
      </c>
      <c r="I16" s="189" t="s">
        <v>1033</v>
      </c>
      <c r="K16" s="189" t="s">
        <v>1032</v>
      </c>
      <c r="L16" s="189" t="s">
        <v>1033</v>
      </c>
      <c r="M16" s="189" t="s">
        <v>1032</v>
      </c>
      <c r="N16" s="189" t="s">
        <v>1033</v>
      </c>
      <c r="O16" s="189" t="s">
        <v>1032</v>
      </c>
      <c r="P16" s="189" t="s">
        <v>1033</v>
      </c>
      <c r="Q16" s="189" t="s">
        <v>1032</v>
      </c>
      <c r="R16" s="189" t="s">
        <v>1033</v>
      </c>
      <c r="T16" s="189" t="s">
        <v>1032</v>
      </c>
      <c r="U16" s="189" t="s">
        <v>1033</v>
      </c>
    </row>
    <row r="17" spans="1:21">
      <c r="A17" s="190">
        <v>1</v>
      </c>
      <c r="B17" s="191">
        <v>140000</v>
      </c>
      <c r="C17" s="191">
        <v>400000</v>
      </c>
      <c r="D17" s="191">
        <v>140000</v>
      </c>
      <c r="E17" s="191">
        <v>500000</v>
      </c>
      <c r="F17" s="191">
        <v>140000</v>
      </c>
      <c r="G17" s="191">
        <v>400000</v>
      </c>
      <c r="H17" s="191">
        <v>140000</v>
      </c>
      <c r="I17" s="191">
        <v>400000</v>
      </c>
      <c r="K17" s="192">
        <v>170000</v>
      </c>
      <c r="L17" s="192">
        <v>350000</v>
      </c>
      <c r="M17" s="192">
        <v>140000</v>
      </c>
      <c r="N17" s="192">
        <v>300000</v>
      </c>
      <c r="O17" s="192">
        <v>140000</v>
      </c>
      <c r="P17" s="192">
        <v>400000</v>
      </c>
      <c r="Q17" s="192">
        <v>140000</v>
      </c>
      <c r="R17" s="192">
        <v>300000</v>
      </c>
      <c r="T17" s="191">
        <v>200000</v>
      </c>
      <c r="U17" s="191">
        <v>375000</v>
      </c>
    </row>
    <row r="18" spans="1:21">
      <c r="A18" s="190">
        <v>2</v>
      </c>
      <c r="B18" s="191">
        <v>170000</v>
      </c>
      <c r="C18" s="191">
        <v>500000</v>
      </c>
      <c r="D18" s="191">
        <v>170000</v>
      </c>
      <c r="E18" s="191">
        <v>600000</v>
      </c>
      <c r="F18" s="191">
        <v>170000</v>
      </c>
      <c r="G18" s="191">
        <v>500000</v>
      </c>
      <c r="H18" s="191">
        <v>170000</v>
      </c>
      <c r="I18" s="191">
        <v>500000</v>
      </c>
      <c r="K18" s="192">
        <v>190000</v>
      </c>
      <c r="L18" s="192">
        <v>500000</v>
      </c>
      <c r="M18" s="192">
        <v>170000</v>
      </c>
      <c r="N18" s="192">
        <v>450000</v>
      </c>
      <c r="O18" s="192">
        <v>170000</v>
      </c>
      <c r="P18" s="192">
        <v>750000</v>
      </c>
      <c r="Q18" s="192">
        <v>400000</v>
      </c>
      <c r="R18" s="192">
        <v>550000</v>
      </c>
      <c r="T18" s="191">
        <v>400000</v>
      </c>
      <c r="U18" s="191">
        <v>600000</v>
      </c>
    </row>
  </sheetData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Q36"/>
  <sheetViews>
    <sheetView showGridLines="0" zoomScale="145" zoomScaleNormal="145" workbookViewId="0">
      <selection activeCell="D29" sqref="D3:D29"/>
    </sheetView>
  </sheetViews>
  <sheetFormatPr defaultColWidth="0" defaultRowHeight="10" zeroHeight="1"/>
  <cols>
    <col min="1" max="1" width="0.58203125" style="48" customWidth="1"/>
    <col min="2" max="2" width="0.83203125" style="48" customWidth="1"/>
    <col min="3" max="3" width="32.75" style="48" bestFit="1" customWidth="1"/>
    <col min="4" max="4" width="9" style="182" bestFit="1" customWidth="1"/>
    <col min="5" max="5" width="2" style="48" customWidth="1"/>
    <col min="6" max="6" width="9.4140625" style="48" bestFit="1" customWidth="1"/>
    <col min="7" max="7" width="34" style="48" bestFit="1" customWidth="1"/>
    <col min="8" max="8" width="1.75" style="48" customWidth="1"/>
    <col min="9" max="9" width="0.83203125" style="48" customWidth="1"/>
    <col min="10" max="10" width="0.75" style="48" customWidth="1"/>
    <col min="11" max="11" width="21.25" style="48" bestFit="1" customWidth="1"/>
    <col min="12" max="12" width="8.58203125" style="48" bestFit="1" customWidth="1"/>
    <col min="13" max="13" width="1.25" style="48" customWidth="1"/>
    <col min="14" max="14" width="8.83203125" style="48" bestFit="1" customWidth="1"/>
    <col min="15" max="15" width="38.1640625" style="48" bestFit="1" customWidth="1"/>
    <col min="16" max="16" width="1.58203125" style="48" customWidth="1"/>
    <col min="17" max="17" width="1.75" style="48" customWidth="1"/>
    <col min="18" max="16384" width="7.25" style="48" hidden="1"/>
  </cols>
  <sheetData>
    <row r="1" spans="1:17" ht="10.5" thickBot="1">
      <c r="A1" s="46"/>
      <c r="B1" s="46"/>
      <c r="C1" s="46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ht="11" thickBot="1">
      <c r="A2" s="46"/>
      <c r="B2" s="229" t="s">
        <v>1102</v>
      </c>
      <c r="C2" s="230"/>
      <c r="D2" s="230"/>
      <c r="E2" s="230"/>
      <c r="F2" s="230"/>
      <c r="G2" s="230"/>
      <c r="H2" s="231"/>
      <c r="I2" s="46"/>
      <c r="J2" s="229" t="s">
        <v>1103</v>
      </c>
      <c r="K2" s="230"/>
      <c r="L2" s="230"/>
      <c r="M2" s="230"/>
      <c r="N2" s="230"/>
      <c r="O2" s="230"/>
      <c r="P2" s="231"/>
      <c r="Q2" s="46"/>
    </row>
    <row r="3" spans="1:17" s="2" customFormat="1" ht="10.5">
      <c r="A3" s="46"/>
      <c r="B3" s="49"/>
      <c r="C3" s="2" t="s">
        <v>86</v>
      </c>
      <c r="D3" s="50" t="s">
        <v>94</v>
      </c>
      <c r="E3" s="51"/>
      <c r="F3" s="232"/>
      <c r="G3" s="232"/>
      <c r="H3" s="52"/>
      <c r="I3" s="46"/>
      <c r="J3" s="49"/>
      <c r="K3" s="2" t="s">
        <v>1104</v>
      </c>
      <c r="L3" s="50" t="s">
        <v>158</v>
      </c>
      <c r="N3" s="233"/>
      <c r="O3" s="233"/>
      <c r="P3" s="52"/>
      <c r="Q3" s="46"/>
    </row>
    <row r="4" spans="1:17" s="2" customFormat="1">
      <c r="A4" s="46"/>
      <c r="B4" s="49"/>
      <c r="C4" s="2" t="s">
        <v>1105</v>
      </c>
      <c r="D4" s="12">
        <v>97223</v>
      </c>
      <c r="E4" s="51"/>
      <c r="F4" s="2" t="s">
        <v>1106</v>
      </c>
      <c r="G4" s="54" t="str">
        <f>VLOOKUP(D4,'Source Tables - Open for Update'!$AJ$2:$AK$5015,2,0)</f>
        <v>Recruitment - CLM</v>
      </c>
      <c r="H4" s="52"/>
      <c r="I4" s="46"/>
      <c r="J4" s="49"/>
      <c r="K4" s="2" t="s">
        <v>1105</v>
      </c>
      <c r="L4" s="12">
        <v>10000</v>
      </c>
      <c r="P4" s="52"/>
      <c r="Q4" s="46"/>
    </row>
    <row r="5" spans="1:17" s="2" customFormat="1">
      <c r="A5" s="46"/>
      <c r="B5" s="49"/>
      <c r="C5" s="2" t="s">
        <v>90</v>
      </c>
      <c r="D5" s="50">
        <v>2</v>
      </c>
      <c r="E5" s="51"/>
      <c r="F5" s="2" t="s">
        <v>100</v>
      </c>
      <c r="G5" s="54" t="str">
        <f>IF(G6&lt;&gt;"",G6,IFERROR(IF(D3="SHS",VLOOKUP($D$4,'Source Tables - Open for Update'!$AA$2:$AH$2000,5,0),VLOOKUP($D$4,'Source Tables - Open for Update'!$R$2:$Y$5000,5,0)),"Please check the Relevant Project  Code or Entity"))</f>
        <v>Support</v>
      </c>
      <c r="H5" s="52"/>
      <c r="I5" s="46"/>
      <c r="J5" s="49"/>
      <c r="K5" s="2" t="s">
        <v>189</v>
      </c>
      <c r="L5" s="12" t="str">
        <f>IFERROR(VLOOKUP(L4,'Source Tables - Open for Update'!$F$18:$G$1000,2,0),"")</f>
        <v/>
      </c>
      <c r="P5" s="52"/>
      <c r="Q5" s="46"/>
    </row>
    <row r="6" spans="1:17" s="2" customFormat="1" ht="10.5">
      <c r="A6" s="46"/>
      <c r="B6" s="49"/>
      <c r="C6" s="2" t="s">
        <v>1107</v>
      </c>
      <c r="D6" s="184" t="s">
        <v>1108</v>
      </c>
      <c r="E6" s="51"/>
      <c r="G6" s="186" t="str">
        <f>IFERROR(VLOOKUP(D4,'Source Tables - Open for Update'!$F$18:$G$129,2,0),"")</f>
        <v/>
      </c>
      <c r="H6" s="52"/>
      <c r="I6" s="46"/>
      <c r="J6" s="49"/>
      <c r="K6" s="2" t="s">
        <v>1109</v>
      </c>
      <c r="L6" s="55">
        <v>500000</v>
      </c>
      <c r="N6" s="233"/>
      <c r="O6" s="233"/>
      <c r="P6" s="52"/>
      <c r="Q6" s="46"/>
    </row>
    <row r="7" spans="1:17" s="2" customFormat="1" ht="10.5">
      <c r="A7" s="46"/>
      <c r="B7" s="49"/>
      <c r="C7" s="2" t="s">
        <v>88</v>
      </c>
      <c r="D7" s="50" t="s">
        <v>137</v>
      </c>
      <c r="H7" s="52"/>
      <c r="I7" s="46"/>
      <c r="J7" s="49"/>
      <c r="N7" s="53"/>
      <c r="O7" s="53"/>
      <c r="P7" s="52"/>
      <c r="Q7" s="46"/>
    </row>
    <row r="8" spans="1:17" s="2" customFormat="1" ht="10.5">
      <c r="A8" s="46"/>
      <c r="B8" s="49"/>
      <c r="C8" s="2" t="s">
        <v>1109</v>
      </c>
      <c r="D8" s="20">
        <f>ECTC</f>
        <v>250000</v>
      </c>
      <c r="G8" s="56"/>
      <c r="H8" s="52"/>
      <c r="I8" s="46"/>
      <c r="J8" s="49"/>
      <c r="M8" s="57"/>
      <c r="N8" s="57"/>
      <c r="O8" s="58">
        <f>IF(L5="DES",VLOOKUP(L3,'Source Tables - Open for Update'!$B$18:$C$27,2,0),VLOOKUP(L3,'Source Tables - Open for Update'!$B$10:$C$15,2,0))</f>
        <v>0.1</v>
      </c>
      <c r="P8" s="52"/>
      <c r="Q8" s="46"/>
    </row>
    <row r="9" spans="1:17" s="2" customFormat="1" ht="10.5">
      <c r="A9" s="46"/>
      <c r="B9" s="49"/>
      <c r="D9" s="3"/>
      <c r="G9" s="21"/>
      <c r="H9" s="52"/>
      <c r="I9" s="46"/>
      <c r="J9" s="49"/>
      <c r="M9" s="57"/>
      <c r="N9" s="57"/>
      <c r="O9" s="58" t="e">
        <f>IF(L6="DES",VLOOKUP(L4,'Source Tables - Open for Update'!$B$18:$C$27,2,0),VLOOKUP(L4,'Source Tables - Open for Update'!$B$10:$C$15,2,0))</f>
        <v>#N/A</v>
      </c>
      <c r="P9" s="52"/>
      <c r="Q9" s="46"/>
    </row>
    <row r="10" spans="1:17" s="2" customFormat="1" ht="10.5">
      <c r="A10" s="46"/>
      <c r="B10" s="49"/>
      <c r="C10" s="59" t="s">
        <v>1110</v>
      </c>
      <c r="D10" s="60" t="s">
        <v>1111</v>
      </c>
      <c r="E10" s="61"/>
      <c r="F10" s="62" t="s">
        <v>1112</v>
      </c>
      <c r="G10" s="63" t="s">
        <v>1113</v>
      </c>
      <c r="H10" s="52"/>
      <c r="I10" s="46"/>
      <c r="J10" s="49"/>
      <c r="K10" s="64" t="s">
        <v>1110</v>
      </c>
      <c r="L10" s="65" t="s">
        <v>1111</v>
      </c>
      <c r="M10" s="65"/>
      <c r="N10" s="65" t="s">
        <v>1112</v>
      </c>
      <c r="O10" s="65" t="s">
        <v>1113</v>
      </c>
      <c r="P10" s="52"/>
      <c r="Q10" s="46"/>
    </row>
    <row r="11" spans="1:17" s="2" customFormat="1">
      <c r="A11" s="46"/>
      <c r="B11" s="49"/>
      <c r="C11" s="66" t="s">
        <v>1114</v>
      </c>
      <c r="D11" s="67">
        <f>ROUND(F18*35%,0)</f>
        <v>70889</v>
      </c>
      <c r="E11" s="68"/>
      <c r="F11" s="69">
        <f t="shared" ref="F11:F28" si="0">ROUND(D11/12,0)</f>
        <v>5907</v>
      </c>
      <c r="G11" s="70" t="s">
        <v>1115</v>
      </c>
      <c r="H11" s="71"/>
      <c r="I11" s="46"/>
      <c r="J11" s="49"/>
      <c r="K11" s="72" t="s">
        <v>1114</v>
      </c>
      <c r="L11" s="73">
        <f>IF(ROUND((L6-L14)*35%,0)&lt;=252000,252000,ROUND((L6-L14)*35%,0))</f>
        <v>252000</v>
      </c>
      <c r="M11" s="74"/>
      <c r="N11" s="75">
        <f>ROUND(L11/12,0)</f>
        <v>21000</v>
      </c>
      <c r="O11" s="70" t="s">
        <v>1116</v>
      </c>
      <c r="P11" s="52"/>
      <c r="Q11" s="46"/>
    </row>
    <row r="12" spans="1:17" s="2" customFormat="1">
      <c r="A12" s="46"/>
      <c r="B12" s="49"/>
      <c r="C12" s="76" t="s">
        <v>1117</v>
      </c>
      <c r="D12" s="77">
        <f>ROUND($D$11*50%,0)</f>
        <v>35445</v>
      </c>
      <c r="E12" s="68"/>
      <c r="F12" s="78">
        <f t="shared" si="0"/>
        <v>2954</v>
      </c>
      <c r="G12" s="79" t="s">
        <v>1118</v>
      </c>
      <c r="H12" s="52"/>
      <c r="I12" s="46"/>
      <c r="J12" s="49"/>
      <c r="K12" s="80" t="s">
        <v>1119</v>
      </c>
      <c r="L12" s="73">
        <f>L6-L14-L11-L22-L23</f>
        <v>164285</v>
      </c>
      <c r="M12" s="74"/>
      <c r="N12" s="75">
        <f>ROUND(L12/12,0)</f>
        <v>13690</v>
      </c>
      <c r="O12" s="70" t="s">
        <v>1120</v>
      </c>
      <c r="P12" s="52"/>
      <c r="Q12" s="46"/>
    </row>
    <row r="13" spans="1:17" s="2" customFormat="1">
      <c r="A13" s="46"/>
      <c r="B13" s="49"/>
      <c r="C13" s="76" t="s">
        <v>108</v>
      </c>
      <c r="D13" s="77">
        <f>IF($D$7="KL",VLOOKUP($D$5,'Source Tables - Open for Update'!$M$8:$O$11,3,0),IF($D$7="KA",VLOOKUP($D$5,'Source Tables - Open for Update'!$M$12:$O$15,3,0),VLOOKUP($D$7,'Source Tables - Open for Update'!$L$4:$O$7,4,0)))</f>
        <v>31669</v>
      </c>
      <c r="E13" s="68"/>
      <c r="F13" s="78">
        <f t="shared" si="0"/>
        <v>2639</v>
      </c>
      <c r="G13" s="79" t="s">
        <v>1121</v>
      </c>
      <c r="H13" s="52"/>
      <c r="I13" s="46"/>
      <c r="J13" s="49"/>
      <c r="K13" s="80"/>
      <c r="L13" s="73"/>
      <c r="M13" s="74"/>
      <c r="N13" s="75"/>
      <c r="O13" s="70"/>
      <c r="P13" s="52"/>
      <c r="Q13" s="46"/>
    </row>
    <row r="14" spans="1:17" s="2" customFormat="1">
      <c r="A14" s="46"/>
      <c r="B14" s="49"/>
      <c r="C14" s="76" t="s">
        <v>1122</v>
      </c>
      <c r="D14" s="77">
        <f>F18-D11-D12-D13</f>
        <v>64537</v>
      </c>
      <c r="E14" s="81"/>
      <c r="F14" s="78">
        <f t="shared" si="0"/>
        <v>5378</v>
      </c>
      <c r="G14" s="79" t="s">
        <v>1123</v>
      </c>
      <c r="H14" s="52"/>
      <c r="I14" s="82"/>
      <c r="J14" s="49"/>
      <c r="K14" s="80" t="s">
        <v>1124</v>
      </c>
      <c r="L14" s="73">
        <f>ROUND(L6*O8,0)</f>
        <v>50000</v>
      </c>
      <c r="M14" s="74"/>
      <c r="N14" s="75">
        <f>ROUND(L14/12,0)</f>
        <v>4167</v>
      </c>
      <c r="O14" s="70" t="str">
        <f>ROUND((L14/L6*100),0)&amp;"% of CTC"</f>
        <v>10% of CTC</v>
      </c>
      <c r="P14" s="52"/>
      <c r="Q14" s="46"/>
    </row>
    <row r="15" spans="1:17" s="2" customFormat="1">
      <c r="A15" s="46"/>
      <c r="B15" s="49"/>
      <c r="C15" s="83"/>
      <c r="D15" s="84"/>
      <c r="E15" s="81"/>
      <c r="F15" s="85"/>
      <c r="G15" s="86"/>
      <c r="H15" s="87"/>
      <c r="I15" s="82"/>
      <c r="J15" s="49"/>
      <c r="K15" s="80"/>
      <c r="L15" s="88"/>
      <c r="M15" s="89"/>
      <c r="N15" s="75"/>
      <c r="O15" s="90"/>
      <c r="P15" s="52"/>
      <c r="Q15" s="46"/>
    </row>
    <row r="16" spans="1:17" s="2" customFormat="1" ht="10.5">
      <c r="A16" s="46"/>
      <c r="B16" s="49"/>
      <c r="C16" s="91" t="s">
        <v>1125</v>
      </c>
      <c r="D16" s="91">
        <f>SUM(D11:D15)</f>
        <v>202540</v>
      </c>
      <c r="E16" s="92"/>
      <c r="F16" s="93">
        <f>ROUND(D16/12,0)</f>
        <v>16878</v>
      </c>
      <c r="G16" s="94" t="str">
        <f>IF(D16&lt;G18,"DO NOT HIRE Below Rs."&amp;G18&amp;"/-P.A","")</f>
        <v/>
      </c>
      <c r="H16" s="95"/>
      <c r="I16" s="82"/>
      <c r="J16" s="96"/>
      <c r="K16" s="97" t="s">
        <v>1125</v>
      </c>
      <c r="L16" s="98">
        <f>SUM(L11:L15)</f>
        <v>466285</v>
      </c>
      <c r="M16" s="74"/>
      <c r="N16" s="99">
        <f>ROUND(L16/12,0)</f>
        <v>38857</v>
      </c>
      <c r="O16" s="100"/>
      <c r="P16" s="52"/>
      <c r="Q16" s="46"/>
    </row>
    <row r="17" spans="1:17" s="2" customFormat="1">
      <c r="A17" s="46"/>
      <c r="B17" s="49"/>
      <c r="C17" s="101"/>
      <c r="D17" s="101"/>
      <c r="E17" s="102"/>
      <c r="F17" s="103"/>
      <c r="G17" s="104"/>
      <c r="H17" s="95"/>
      <c r="I17" s="46"/>
      <c r="J17" s="96"/>
      <c r="K17" s="105"/>
      <c r="L17" s="106"/>
      <c r="M17" s="107"/>
      <c r="N17" s="105"/>
      <c r="O17" s="106"/>
      <c r="P17" s="52"/>
      <c r="Q17" s="46"/>
    </row>
    <row r="18" spans="1:17" s="2" customFormat="1" ht="10.5">
      <c r="A18" s="46"/>
      <c r="B18" s="49"/>
      <c r="C18" s="108" t="s">
        <v>1126</v>
      </c>
      <c r="D18" s="109" t="str">
        <f>IF(G5="DES",VLOOKUP(D5,'Source Tables - Open for Update'!$B$18:$C$30,2,0),IF(AND(D3="SHS",D5=4),VLOOKUP(G5,'Source Tables - Open for Update'!$F$3:$J$11,5,0),IF(AND(D3="SHS",D5=1),VLOOKUP(G5,'Source Tables - Open for Update'!$F$3:$J$11,2,0),IF(D3="SHS",VLOOKUP(G5,'Source Tables - Open for Update'!$F$3:$J$11,3,0),""))))</f>
        <v/>
      </c>
      <c r="E18" s="110"/>
      <c r="F18" s="111">
        <f>ROUND(IF(ECTC-$D$19&gt;243447,(ECTC-$D$19-21600)*98.345154%,(ECTC-$D$19)*89.61963%),0)</f>
        <v>202540</v>
      </c>
      <c r="G18" s="112">
        <f>IF(D7="KL",VLOOKUP(D5,'Source Tables - Open for Update'!$M$8:$P$11,4,0),IF(D7="KA",VLOOKUP(D5,'Source Tables - Open for Update'!$M$12:$P$15,4,0),VLOOKUP(D7,'Source Tables - Open for Update'!$L$4:$P$7,5,0)))</f>
        <v>190016.2</v>
      </c>
      <c r="H18" s="113"/>
      <c r="I18" s="46"/>
      <c r="J18" s="49"/>
      <c r="K18" s="114"/>
      <c r="L18" s="107"/>
      <c r="M18" s="107"/>
      <c r="N18" s="114"/>
      <c r="O18" s="107"/>
      <c r="P18" s="115"/>
      <c r="Q18" s="46"/>
    </row>
    <row r="19" spans="1:17" s="2" customFormat="1">
      <c r="A19" s="46"/>
      <c r="B19" s="49"/>
      <c r="C19" s="116" t="s">
        <v>1124</v>
      </c>
      <c r="D19" s="117">
        <f>IF(AND(D5=1,D7="MP",G5="Production"),0,IF(AND(D5=1,D7="MP",G5="Production Support"),0,IF(AND(D5=1,D7="KL",G5="Production"),0,IF(AND(D5=1,D7="KL",G5="Production Support"),0,IF(G5="DES",ROUND(ECTC*D18,0),IF($D$3="AGS",0,IF(AND(D3="SHS",D18&lt;100),ROUND(D18*ECTC,0),IF(D3="SHS",D18,IF(AND(G5="Research",D5=3),48000,IF(AND(G5="Research",D5=4),84000,IF(G5="Support",VLOOKUP(D5,'Source Tables - Open for Update'!$B$3:$D$8,2,0),IF(AND(D7="MP",D6="Fresher",D5=1,D4=10888),9000,IF(AND(D5=1,D6="Fresher"),24750,VLOOKUP(D5,'Source Tables - Open for Update'!$B$3:$D$8,3,0))))))))))))))</f>
        <v>24000</v>
      </c>
      <c r="E19" s="68"/>
      <c r="F19" s="118">
        <f>IF(G5="DES",ROUND(D19/12,0),IF(AND(D6="Fresher",D19=9000),ROUND(D19/9,0),IF(AND(D6="Fresher",D19=24750),ROUND(D19/9,0),ROUND(D19/12,0))))</f>
        <v>2000</v>
      </c>
      <c r="G19" s="90" t="str">
        <f>IF(D19=0,"",IF(G6="DES",ROUND((D19/D8*100),0)&amp;"% of CTC","As per PBI matrix"))</f>
        <v>As per PBI matrix</v>
      </c>
      <c r="H19" s="113"/>
      <c r="I19" s="46"/>
      <c r="J19" s="96"/>
      <c r="K19" s="114"/>
      <c r="L19" s="107"/>
      <c r="M19" s="107"/>
      <c r="N19" s="114"/>
      <c r="O19" s="107"/>
      <c r="P19" s="52"/>
      <c r="Q19" s="46"/>
    </row>
    <row r="20" spans="1:17" s="2" customFormat="1" ht="10.5">
      <c r="A20" s="46"/>
      <c r="B20" s="49"/>
      <c r="C20" s="119"/>
      <c r="D20" s="120"/>
      <c r="E20" s="110"/>
      <c r="F20" s="121"/>
      <c r="G20" s="122"/>
      <c r="H20" s="95"/>
      <c r="I20" s="46"/>
      <c r="J20" s="96"/>
      <c r="K20" s="123"/>
      <c r="L20" s="124"/>
      <c r="M20" s="107"/>
      <c r="N20" s="123"/>
      <c r="O20" s="124"/>
      <c r="P20" s="52"/>
      <c r="Q20" s="46"/>
    </row>
    <row r="21" spans="1:17" s="2" customFormat="1" ht="10.5">
      <c r="A21" s="46"/>
      <c r="B21" s="49"/>
      <c r="C21" s="125" t="s">
        <v>1127</v>
      </c>
      <c r="D21" s="126">
        <f>D22+D23</f>
        <v>23459</v>
      </c>
      <c r="E21" s="110"/>
      <c r="F21" s="127">
        <f>ROUND(D21/12,0)</f>
        <v>1955</v>
      </c>
      <c r="G21" s="128" t="s">
        <v>1128</v>
      </c>
      <c r="H21" s="115"/>
      <c r="I21" s="46"/>
      <c r="J21" s="96"/>
      <c r="K21" s="129" t="s">
        <v>1127</v>
      </c>
      <c r="L21" s="130">
        <f>L22+L23</f>
        <v>33715</v>
      </c>
      <c r="M21" s="74"/>
      <c r="N21" s="131">
        <f>ROUND(L21/12,0)</f>
        <v>2810</v>
      </c>
      <c r="O21" s="132" t="s">
        <v>1128</v>
      </c>
      <c r="P21" s="52"/>
      <c r="Q21" s="46"/>
    </row>
    <row r="22" spans="1:17" s="2" customFormat="1">
      <c r="A22" s="46"/>
      <c r="B22" s="49"/>
      <c r="C22" s="72" t="s">
        <v>1129</v>
      </c>
      <c r="D22" s="67">
        <f>IF((D16-D12)&gt;=180000,21600,ROUND((D16-D12)*12%,0))</f>
        <v>20051</v>
      </c>
      <c r="E22" s="68"/>
      <c r="F22" s="69">
        <f t="shared" si="0"/>
        <v>1671</v>
      </c>
      <c r="G22" s="133" t="s">
        <v>1130</v>
      </c>
      <c r="H22" s="87"/>
      <c r="I22" s="46"/>
      <c r="J22" s="49"/>
      <c r="K22" s="66" t="s">
        <v>1129</v>
      </c>
      <c r="L22" s="134">
        <f>IF(L3="L7 - AVP",ROUND(L11*12%,0),21600)</f>
        <v>21600</v>
      </c>
      <c r="M22" s="135"/>
      <c r="N22" s="136">
        <f>ROUND(L22/12,0)</f>
        <v>1800</v>
      </c>
      <c r="O22" s="137" t="s">
        <v>1131</v>
      </c>
      <c r="P22" s="52"/>
      <c r="Q22" s="46"/>
    </row>
    <row r="23" spans="1:17" s="2" customFormat="1">
      <c r="A23" s="46"/>
      <c r="B23" s="49"/>
      <c r="C23" s="76" t="s">
        <v>1132</v>
      </c>
      <c r="D23" s="77">
        <f>ROUND($D$11/12/26*15,0)</f>
        <v>3408</v>
      </c>
      <c r="E23" s="68"/>
      <c r="F23" s="78">
        <f t="shared" si="0"/>
        <v>284</v>
      </c>
      <c r="G23" s="79" t="s">
        <v>1133</v>
      </c>
      <c r="H23" s="113"/>
      <c r="I23" s="46"/>
      <c r="J23" s="49"/>
      <c r="K23" s="80" t="s">
        <v>1132</v>
      </c>
      <c r="L23" s="73">
        <f>ROUND(L11/12/26*15,0)</f>
        <v>12115</v>
      </c>
      <c r="M23" s="74"/>
      <c r="N23" s="138">
        <f>ROUND(L23/12,0)</f>
        <v>1010</v>
      </c>
      <c r="O23" s="137" t="s">
        <v>1133</v>
      </c>
      <c r="P23" s="52"/>
      <c r="Q23" s="46"/>
    </row>
    <row r="24" spans="1:17" s="2" customFormat="1">
      <c r="A24" s="46"/>
      <c r="B24" s="49"/>
      <c r="C24" s="139"/>
      <c r="D24" s="140"/>
      <c r="E24" s="68"/>
      <c r="F24" s="141"/>
      <c r="G24" s="142"/>
      <c r="H24" s="113"/>
      <c r="I24" s="46"/>
      <c r="J24" s="49"/>
      <c r="K24" s="143"/>
      <c r="L24" s="144"/>
      <c r="M24" s="145"/>
      <c r="N24" s="144"/>
      <c r="O24" s="146"/>
      <c r="P24" s="52"/>
      <c r="Q24" s="46"/>
    </row>
    <row r="25" spans="1:17" s="2" customFormat="1" ht="10.5">
      <c r="A25" s="46"/>
      <c r="B25" s="49"/>
      <c r="C25" s="59" t="s">
        <v>1134</v>
      </c>
      <c r="D25" s="147">
        <f>D23+D22+D19+D14+D13+D12+D11</f>
        <v>249999</v>
      </c>
      <c r="E25" s="68"/>
      <c r="F25" s="148">
        <f t="shared" si="0"/>
        <v>20833</v>
      </c>
      <c r="G25" s="148" t="s">
        <v>1135</v>
      </c>
      <c r="H25" s="52"/>
      <c r="I25" s="46"/>
      <c r="J25" s="49"/>
      <c r="K25" s="149" t="s">
        <v>1134</v>
      </c>
      <c r="L25" s="150">
        <f>L16+L19+L21</f>
        <v>500000</v>
      </c>
      <c r="M25" s="151"/>
      <c r="N25" s="152">
        <f>ROUND(L25/12,0)</f>
        <v>41667</v>
      </c>
      <c r="O25" s="153" t="s">
        <v>1135</v>
      </c>
      <c r="P25" s="52"/>
      <c r="Q25" s="46"/>
    </row>
    <row r="26" spans="1:17" s="2" customFormat="1" ht="10.5">
      <c r="A26" s="46"/>
      <c r="B26" s="49"/>
      <c r="C26" s="154" t="s">
        <v>1136</v>
      </c>
      <c r="D26" s="155">
        <f>IF((D16-D13)&gt;252000,0,D16*0.75%)</f>
        <v>1519.05</v>
      </c>
      <c r="E26" s="156"/>
      <c r="F26" s="157">
        <f t="shared" si="0"/>
        <v>127</v>
      </c>
      <c r="G26" s="158" t="s">
        <v>1137</v>
      </c>
      <c r="H26" s="52"/>
      <c r="I26" s="46"/>
      <c r="J26" s="49"/>
      <c r="O26" s="3"/>
      <c r="P26" s="52"/>
      <c r="Q26" s="46"/>
    </row>
    <row r="27" spans="1:17" s="2" customFormat="1" ht="5.5" customHeight="1">
      <c r="A27" s="46"/>
      <c r="B27" s="49"/>
      <c r="C27" s="159"/>
      <c r="D27" s="160"/>
      <c r="E27" s="161"/>
      <c r="F27" s="160"/>
      <c r="G27" s="162"/>
      <c r="H27" s="52"/>
      <c r="I27" s="46"/>
      <c r="J27" s="49"/>
      <c r="O27" s="3"/>
      <c r="P27" s="52"/>
      <c r="Q27" s="46"/>
    </row>
    <row r="28" spans="1:17" s="2" customFormat="1" ht="10.5">
      <c r="A28" s="46"/>
      <c r="B28" s="49"/>
      <c r="C28" s="163" t="s">
        <v>1138</v>
      </c>
      <c r="D28" s="164">
        <f>D16-D22-D26</f>
        <v>180969.95</v>
      </c>
      <c r="E28" s="165"/>
      <c r="F28" s="166">
        <f t="shared" si="0"/>
        <v>15081</v>
      </c>
      <c r="G28" s="167" t="s">
        <v>1139</v>
      </c>
      <c r="H28" s="52"/>
      <c r="I28" s="46"/>
      <c r="J28" s="49"/>
      <c r="O28" s="3"/>
      <c r="P28" s="52"/>
      <c r="Q28" s="46"/>
    </row>
    <row r="29" spans="1:17" s="2" customFormat="1" ht="10.5">
      <c r="A29" s="46"/>
      <c r="B29" s="49"/>
      <c r="C29" s="168" t="s">
        <v>1140</v>
      </c>
      <c r="D29" s="169">
        <f>D28+D19</f>
        <v>204969.95</v>
      </c>
      <c r="E29" s="170"/>
      <c r="F29" s="171">
        <f>ROUND(F28+F19,0)</f>
        <v>17081</v>
      </c>
      <c r="G29" s="172" t="s">
        <v>1141</v>
      </c>
      <c r="H29" s="52"/>
      <c r="I29" s="46"/>
      <c r="J29" s="49"/>
      <c r="O29" s="3"/>
      <c r="P29" s="52"/>
      <c r="Q29" s="46"/>
    </row>
    <row r="30" spans="1:17" s="46" customFormat="1" ht="10.5" thickBot="1">
      <c r="B30" s="173"/>
      <c r="C30" s="174"/>
      <c r="D30" s="175"/>
      <c r="E30" s="176"/>
      <c r="F30" s="175"/>
      <c r="G30" s="176"/>
      <c r="H30" s="177"/>
      <c r="J30" s="173"/>
      <c r="K30" s="178"/>
      <c r="L30" s="178"/>
      <c r="M30" s="178"/>
      <c r="N30" s="178"/>
      <c r="O30" s="178"/>
      <c r="P30" s="177"/>
    </row>
    <row r="31" spans="1:17">
      <c r="A31" s="46"/>
      <c r="B31" s="46"/>
      <c r="C31" s="179"/>
      <c r="D31" s="180"/>
      <c r="E31" s="180"/>
      <c r="F31" s="181"/>
      <c r="G31" s="180"/>
      <c r="H31" s="46"/>
      <c r="I31" s="46"/>
      <c r="J31" s="46"/>
      <c r="K31" s="46"/>
      <c r="L31" s="46"/>
      <c r="M31" s="46"/>
      <c r="N31" s="46"/>
      <c r="O31" s="46"/>
      <c r="P31" s="46"/>
      <c r="Q31" s="46"/>
    </row>
    <row r="32" spans="1:17" hidden="1">
      <c r="J32" s="46"/>
      <c r="K32" s="46"/>
      <c r="L32" s="183"/>
      <c r="M32" s="46"/>
      <c r="N32" s="183"/>
      <c r="O32" s="46"/>
      <c r="P32" s="46"/>
    </row>
    <row r="33" spans="10:16" hidden="1">
      <c r="J33" s="46"/>
      <c r="K33" s="46"/>
      <c r="L33" s="46"/>
      <c r="M33" s="46"/>
      <c r="N33" s="46"/>
      <c r="O33" s="46"/>
      <c r="P33" s="46"/>
    </row>
    <row r="34" spans="10:16" hidden="1">
      <c r="J34" s="46"/>
      <c r="K34" s="46"/>
      <c r="L34" s="46"/>
      <c r="M34" s="46"/>
      <c r="N34" s="46"/>
      <c r="O34" s="46"/>
      <c r="P34" s="46"/>
    </row>
    <row r="35" spans="10:16" hidden="1">
      <c r="J35" s="46"/>
      <c r="K35" s="46"/>
      <c r="L35" s="46"/>
      <c r="M35" s="46"/>
      <c r="N35" s="46"/>
      <c r="O35" s="46"/>
      <c r="P35" s="46"/>
    </row>
    <row r="36" spans="10:16" hidden="1">
      <c r="J36" s="46"/>
      <c r="K36" s="46"/>
      <c r="L36" s="46"/>
      <c r="M36" s="46"/>
      <c r="N36" s="46"/>
      <c r="O36" s="46"/>
      <c r="P36" s="46"/>
    </row>
  </sheetData>
  <mergeCells count="5">
    <mergeCell ref="B2:H2"/>
    <mergeCell ref="J2:P2"/>
    <mergeCell ref="F3:G3"/>
    <mergeCell ref="N3:O3"/>
    <mergeCell ref="N6:O6"/>
  </mergeCells>
  <conditionalFormatting sqref="G5">
    <cfRule type="cellIs" dxfId="0" priority="1" operator="equal">
      <formula>"Please check the Relevant Project  Code or Entity"</formula>
    </cfRule>
  </conditionalFormatting>
  <dataValidations count="7">
    <dataValidation type="list" allowBlank="1" showInputMessage="1" showErrorMessage="1" promptTitle="Level Selection" prompt="Select the Level of candidate" sqref="D5">
      <formula1>"Select,1,2,3,4"</formula1>
    </dataValidation>
    <dataValidation type="list" allowBlank="1" showInputMessage="1" showErrorMessage="1" sqref="D7">
      <formula1>"Select,TN,TS,KA,KL,MH,MP"</formula1>
    </dataValidation>
    <dataValidation type="list" allowBlank="1" showInputMessage="1" showErrorMessage="1" promptTitle="Level Selection" prompt="Select the Level of candidate" sqref="D6">
      <formula1>"Select,Fresher, Tenured"</formula1>
    </dataValidation>
    <dataValidation type="list" allowBlank="1" showInputMessage="1" showErrorMessage="1" promptTitle="Level Selection" prompt="Select the Level of candidate" sqref="L3">
      <formula1>"Select, L5 - Mgr, L5 - Sr.Mgr, L6 - Dir, L6 - Sr. Dir, L7 - AVP"</formula1>
    </dataValidation>
    <dataValidation type="list" allowBlank="1" showInputMessage="1" showErrorMessage="1" promptTitle="Level Selection" prompt="Select the Level of candidate" sqref="D3">
      <formula1>"Select,SGS, AGS, SMSI, SHS"</formula1>
    </dataValidation>
    <dataValidation type="list" allowBlank="1" showInputMessage="1" showErrorMessage="1" promptTitle="Tenure Selection" prompt="Select the Tenure - Fresher / Tenured" sqref="D6">
      <formula1>"Select,Fresher, Tenured"</formula1>
    </dataValidation>
    <dataValidation allowBlank="1" showInputMessage="1" showErrorMessage="1" promptTitle="CTC Updation Here" prompt="Update the Annual CTC" sqref="L6"/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K4608"/>
  <sheetViews>
    <sheetView showGridLines="0" zoomScale="124" zoomScaleNormal="124" workbookViewId="0">
      <selection activeCell="J15" sqref="J15"/>
    </sheetView>
  </sheetViews>
  <sheetFormatPr defaultColWidth="4.75" defaultRowHeight="10"/>
  <cols>
    <col min="1" max="1" width="2.58203125" style="2" customWidth="1"/>
    <col min="2" max="2" width="8.75" style="2" bestFit="1" customWidth="1"/>
    <col min="3" max="3" width="8.1640625" style="2" bestFit="1" customWidth="1"/>
    <col min="4" max="4" width="6.25" style="3" bestFit="1" customWidth="1"/>
    <col min="5" max="5" width="2.4140625" style="3" customWidth="1"/>
    <col min="6" max="6" width="13.83203125" style="2" bestFit="1" customWidth="1"/>
    <col min="7" max="7" width="7.75" style="2" bestFit="1" customWidth="1"/>
    <col min="8" max="9" width="5.25" style="2" bestFit="1" customWidth="1"/>
    <col min="10" max="10" width="4.1640625" style="2" bestFit="1" customWidth="1"/>
    <col min="11" max="11" width="2.1640625" style="2" bestFit="1" customWidth="1"/>
    <col min="12" max="13" width="5.25" style="2" bestFit="1" customWidth="1"/>
    <col min="14" max="14" width="7.75" style="2" bestFit="1" customWidth="1"/>
    <col min="15" max="15" width="6.83203125" style="2" bestFit="1" customWidth="1"/>
    <col min="16" max="16" width="7.75" style="2" bestFit="1" customWidth="1"/>
    <col min="17" max="17" width="4.25" style="2" customWidth="1"/>
    <col min="18" max="18" width="5.25" style="2" bestFit="1" customWidth="1"/>
    <col min="19" max="19" width="29.75" style="2" bestFit="1" customWidth="1"/>
    <col min="20" max="20" width="7" style="2" bestFit="1" customWidth="1"/>
    <col min="21" max="21" width="34.1640625" style="2" bestFit="1" customWidth="1"/>
    <col min="22" max="22" width="14.25" style="2" bestFit="1" customWidth="1"/>
    <col min="23" max="23" width="24.83203125" style="2" bestFit="1" customWidth="1"/>
    <col min="24" max="24" width="10.58203125" style="2" bestFit="1" customWidth="1"/>
    <col min="25" max="25" width="9.58203125" style="2" bestFit="1" customWidth="1"/>
    <col min="26" max="26" width="4.75" style="2"/>
    <col min="27" max="27" width="5.25" style="2" bestFit="1" customWidth="1"/>
    <col min="28" max="28" width="28.1640625" style="2" bestFit="1" customWidth="1"/>
    <col min="29" max="29" width="6.58203125" style="2" bestFit="1" customWidth="1"/>
    <col min="30" max="30" width="32.83203125" style="2" bestFit="1" customWidth="1"/>
    <col min="31" max="31" width="13.83203125" style="2" bestFit="1" customWidth="1"/>
    <col min="32" max="32" width="24.83203125" style="2" bestFit="1" customWidth="1"/>
    <col min="33" max="33" width="10.58203125" style="2" bestFit="1" customWidth="1"/>
    <col min="34" max="34" width="9.58203125" style="2" bestFit="1" customWidth="1"/>
    <col min="35" max="35" width="4.75" style="2"/>
    <col min="36" max="36" width="5.25" style="2" bestFit="1" customWidth="1"/>
    <col min="37" max="37" width="29.75" style="2" bestFit="1" customWidth="1"/>
    <col min="38" max="16384" width="4.75" style="2"/>
  </cols>
  <sheetData>
    <row r="1" spans="2:37" ht="10.5">
      <c r="R1" s="234" t="s">
        <v>92</v>
      </c>
      <c r="S1" s="234"/>
      <c r="T1" s="234"/>
      <c r="U1" s="234"/>
      <c r="V1" s="234"/>
      <c r="W1" s="234"/>
      <c r="X1" s="234"/>
      <c r="Y1" s="234"/>
      <c r="AA1" s="235" t="s">
        <v>87</v>
      </c>
      <c r="AB1" s="236"/>
      <c r="AC1" s="236"/>
      <c r="AD1" s="236"/>
      <c r="AE1" s="236"/>
      <c r="AF1" s="236"/>
      <c r="AG1" s="236"/>
      <c r="AH1" s="237"/>
    </row>
    <row r="2" spans="2:37" ht="21">
      <c r="B2" s="4" t="s">
        <v>93</v>
      </c>
      <c r="C2" s="239" t="s">
        <v>94</v>
      </c>
      <c r="D2" s="240"/>
      <c r="F2" s="4" t="s">
        <v>95</v>
      </c>
      <c r="G2" s="239" t="s">
        <v>87</v>
      </c>
      <c r="H2" s="241"/>
      <c r="I2" s="241"/>
      <c r="J2" s="240"/>
      <c r="L2" s="239" t="s">
        <v>96</v>
      </c>
      <c r="M2" s="241"/>
      <c r="N2" s="241"/>
      <c r="O2" s="240"/>
      <c r="P2" s="4"/>
      <c r="R2" s="5" t="s">
        <v>97</v>
      </c>
      <c r="S2" s="5" t="s">
        <v>98</v>
      </c>
      <c r="T2" s="5" t="s">
        <v>99</v>
      </c>
      <c r="U2" s="5" t="s">
        <v>97</v>
      </c>
      <c r="V2" s="5" t="s">
        <v>100</v>
      </c>
      <c r="W2" s="5" t="s">
        <v>101</v>
      </c>
      <c r="X2" s="5" t="s">
        <v>102</v>
      </c>
      <c r="Y2" s="5" t="s">
        <v>103</v>
      </c>
      <c r="AA2" s="6" t="s">
        <v>97</v>
      </c>
      <c r="AB2" s="7" t="s">
        <v>98</v>
      </c>
      <c r="AC2" s="7" t="s">
        <v>99</v>
      </c>
      <c r="AD2" s="7" t="s">
        <v>97</v>
      </c>
      <c r="AE2" s="7" t="s">
        <v>100</v>
      </c>
      <c r="AF2" s="7" t="s">
        <v>101</v>
      </c>
      <c r="AG2" s="7" t="s">
        <v>102</v>
      </c>
      <c r="AH2" s="7" t="s">
        <v>103</v>
      </c>
      <c r="AJ2" s="8" t="s">
        <v>97</v>
      </c>
      <c r="AK2" s="8" t="s">
        <v>98</v>
      </c>
    </row>
    <row r="3" spans="2:37" ht="10.5">
      <c r="B3" s="9" t="s">
        <v>90</v>
      </c>
      <c r="C3" s="10" t="s">
        <v>104</v>
      </c>
      <c r="D3" s="10" t="s">
        <v>105</v>
      </c>
      <c r="F3" s="11" t="s">
        <v>106</v>
      </c>
      <c r="G3" s="12">
        <v>1</v>
      </c>
      <c r="H3" s="12">
        <v>2</v>
      </c>
      <c r="I3" s="12">
        <v>3</v>
      </c>
      <c r="J3" s="12">
        <v>4</v>
      </c>
      <c r="L3" s="13" t="s">
        <v>88</v>
      </c>
      <c r="M3" s="13" t="s">
        <v>90</v>
      </c>
      <c r="N3" s="13" t="s">
        <v>107</v>
      </c>
      <c r="O3" s="13" t="s">
        <v>108</v>
      </c>
      <c r="P3" s="13" t="s">
        <v>109</v>
      </c>
      <c r="R3" s="14">
        <v>10101</v>
      </c>
      <c r="S3" s="14" t="s">
        <v>1037</v>
      </c>
      <c r="T3" s="12" t="s">
        <v>185</v>
      </c>
      <c r="U3" s="15" t="str">
        <f t="shared" ref="U3:U66" si="0">S3&amp;" - "&amp;T3</f>
        <v>`Culligan - Growth add FTEs. - TPS</v>
      </c>
      <c r="V3" s="12" t="s">
        <v>126</v>
      </c>
      <c r="W3" s="12" t="s">
        <v>163</v>
      </c>
      <c r="X3" s="12" t="s">
        <v>164</v>
      </c>
      <c r="Y3" s="12" t="s">
        <v>1038</v>
      </c>
      <c r="AA3" s="14">
        <v>51003</v>
      </c>
      <c r="AB3" s="14" t="s">
        <v>115</v>
      </c>
      <c r="AC3" s="12" t="s">
        <v>116</v>
      </c>
      <c r="AD3" s="15" t="str">
        <f t="shared" ref="AD3:AD66" si="1">AB3&amp;" - "&amp;AC3</f>
        <v>2021_Atkins_FixedBid_ManagedSe - PRD</v>
      </c>
      <c r="AE3" s="12" t="s">
        <v>117</v>
      </c>
      <c r="AF3" s="12" t="s">
        <v>117</v>
      </c>
      <c r="AG3" s="12" t="s">
        <v>117</v>
      </c>
      <c r="AH3" s="12" t="s">
        <v>1038</v>
      </c>
      <c r="AJ3" s="14">
        <v>10000</v>
      </c>
      <c r="AK3" s="14" t="s">
        <v>110</v>
      </c>
    </row>
    <row r="4" spans="2:37">
      <c r="B4" s="12">
        <v>1</v>
      </c>
      <c r="C4" s="12">
        <v>24000</v>
      </c>
      <c r="D4" s="12">
        <v>33000</v>
      </c>
      <c r="F4" s="16" t="s">
        <v>118</v>
      </c>
      <c r="G4" s="17">
        <v>0.1</v>
      </c>
      <c r="H4" s="17">
        <v>0.1</v>
      </c>
      <c r="I4" s="17">
        <v>0.1</v>
      </c>
      <c r="J4" s="17">
        <v>0.1</v>
      </c>
      <c r="L4" s="18" t="s">
        <v>89</v>
      </c>
      <c r="M4" s="12"/>
      <c r="N4" s="19">
        <v>157500</v>
      </c>
      <c r="O4" s="20">
        <v>31500</v>
      </c>
      <c r="P4" s="20">
        <f t="shared" ref="P4:P15" si="2">SUM(N4:O4)</f>
        <v>189000</v>
      </c>
      <c r="Q4" s="21"/>
      <c r="R4" s="14">
        <v>25330</v>
      </c>
      <c r="S4" s="14" t="s">
        <v>649</v>
      </c>
      <c r="T4" s="12" t="s">
        <v>150</v>
      </c>
      <c r="U4" s="15" t="str">
        <f t="shared" si="0"/>
        <v>1st Party Collections 5 Day Bu - CCS</v>
      </c>
      <c r="V4" s="12" t="s">
        <v>126</v>
      </c>
      <c r="W4" s="12" t="s">
        <v>1019</v>
      </c>
      <c r="X4" s="12" t="s">
        <v>128</v>
      </c>
      <c r="Y4" s="12" t="s">
        <v>1038</v>
      </c>
      <c r="AA4" s="14">
        <v>96102</v>
      </c>
      <c r="AB4" s="14" t="s">
        <v>120</v>
      </c>
      <c r="AC4" s="12" t="s">
        <v>121</v>
      </c>
      <c r="AD4" s="15" t="str">
        <f t="shared" si="1"/>
        <v>Accounting Local - F&amp;A</v>
      </c>
      <c r="AE4" s="12" t="s">
        <v>118</v>
      </c>
      <c r="AF4" s="12" t="s">
        <v>122</v>
      </c>
      <c r="AG4" s="12" t="s">
        <v>114</v>
      </c>
      <c r="AH4" s="12" t="s">
        <v>1038</v>
      </c>
      <c r="AJ4" s="14">
        <v>10006</v>
      </c>
      <c r="AK4" s="14" t="s">
        <v>123</v>
      </c>
    </row>
    <row r="5" spans="2:37">
      <c r="B5" s="12">
        <v>2</v>
      </c>
      <c r="C5" s="12">
        <v>24000</v>
      </c>
      <c r="D5" s="12">
        <v>33000</v>
      </c>
      <c r="F5" s="16" t="s">
        <v>124</v>
      </c>
      <c r="G5" s="17">
        <v>0</v>
      </c>
      <c r="H5" s="17">
        <v>0</v>
      </c>
      <c r="I5" s="17">
        <v>0</v>
      </c>
      <c r="J5" s="17">
        <v>0.1</v>
      </c>
      <c r="L5" s="18" t="s">
        <v>125</v>
      </c>
      <c r="M5" s="12"/>
      <c r="N5" s="19">
        <v>185220</v>
      </c>
      <c r="O5" s="20">
        <v>37044</v>
      </c>
      <c r="P5" s="20">
        <f t="shared" si="2"/>
        <v>222264</v>
      </c>
      <c r="Q5" s="21"/>
      <c r="R5" s="14">
        <v>51003</v>
      </c>
      <c r="S5" s="14" t="s">
        <v>115</v>
      </c>
      <c r="T5" s="12" t="s">
        <v>116</v>
      </c>
      <c r="U5" s="15" t="str">
        <f t="shared" si="0"/>
        <v>2021_Atkins_FixedBid_ManagedSe - PRD</v>
      </c>
      <c r="V5" s="12" t="s">
        <v>117</v>
      </c>
      <c r="W5" s="12" t="s">
        <v>117</v>
      </c>
      <c r="X5" s="12" t="s">
        <v>117</v>
      </c>
      <c r="Y5" s="12" t="s">
        <v>1038</v>
      </c>
      <c r="AA5" s="14">
        <v>96102</v>
      </c>
      <c r="AB5" s="14" t="s">
        <v>120</v>
      </c>
      <c r="AC5" s="12" t="s">
        <v>129</v>
      </c>
      <c r="AD5" s="15" t="str">
        <f t="shared" si="1"/>
        <v>Accounting Local - MGT</v>
      </c>
      <c r="AE5" s="12" t="s">
        <v>118</v>
      </c>
      <c r="AF5" s="12" t="s">
        <v>122</v>
      </c>
      <c r="AG5" s="12" t="s">
        <v>114</v>
      </c>
      <c r="AH5" s="12" t="s">
        <v>1038</v>
      </c>
      <c r="AJ5" s="14">
        <v>10008</v>
      </c>
      <c r="AK5" s="14" t="s">
        <v>130</v>
      </c>
    </row>
    <row r="6" spans="2:37">
      <c r="B6" s="12">
        <v>3</v>
      </c>
      <c r="C6" s="12">
        <v>24000</v>
      </c>
      <c r="D6" s="12">
        <v>33000</v>
      </c>
      <c r="F6" s="16" t="s">
        <v>131</v>
      </c>
      <c r="G6" s="12">
        <v>24000</v>
      </c>
      <c r="H6" s="12">
        <v>36000</v>
      </c>
      <c r="I6" s="12">
        <v>36000</v>
      </c>
      <c r="J6" s="17">
        <v>0.1</v>
      </c>
      <c r="L6" s="18" t="s">
        <v>132</v>
      </c>
      <c r="M6" s="12"/>
      <c r="N6" s="19">
        <v>149520</v>
      </c>
      <c r="O6" s="20">
        <v>17942</v>
      </c>
      <c r="P6" s="20">
        <f t="shared" si="2"/>
        <v>167462</v>
      </c>
      <c r="Q6" s="21"/>
      <c r="R6" s="14">
        <v>51004</v>
      </c>
      <c r="S6" s="14" t="s">
        <v>686</v>
      </c>
      <c r="T6" s="12" t="s">
        <v>116</v>
      </c>
      <c r="U6" s="15" t="str">
        <f t="shared" si="0"/>
        <v>2021_CAE_Managed_Cloudtestr - PRD</v>
      </c>
      <c r="V6" s="12" t="s">
        <v>117</v>
      </c>
      <c r="W6" s="12" t="s">
        <v>117</v>
      </c>
      <c r="X6" s="12" t="s">
        <v>117</v>
      </c>
      <c r="Y6" s="12" t="s">
        <v>1038</v>
      </c>
      <c r="AA6" s="14">
        <v>96102</v>
      </c>
      <c r="AB6" s="14" t="s">
        <v>120</v>
      </c>
      <c r="AC6" s="12" t="s">
        <v>134</v>
      </c>
      <c r="AD6" s="15" t="str">
        <f t="shared" si="1"/>
        <v>Accounting Local - SEC</v>
      </c>
      <c r="AE6" s="12" t="s">
        <v>118</v>
      </c>
      <c r="AF6" s="12" t="s">
        <v>122</v>
      </c>
      <c r="AG6" s="12" t="s">
        <v>114</v>
      </c>
      <c r="AH6" s="12" t="s">
        <v>1038</v>
      </c>
      <c r="AJ6" s="14">
        <v>10009</v>
      </c>
      <c r="AK6" s="14" t="s">
        <v>135</v>
      </c>
    </row>
    <row r="7" spans="2:37">
      <c r="B7" s="12">
        <v>4</v>
      </c>
      <c r="C7" s="12">
        <v>42000</v>
      </c>
      <c r="D7" s="12">
        <v>54000</v>
      </c>
      <c r="F7" s="16" t="s">
        <v>136</v>
      </c>
      <c r="G7" s="12">
        <v>48000</v>
      </c>
      <c r="H7" s="12">
        <v>48000</v>
      </c>
      <c r="I7" s="12">
        <v>48000</v>
      </c>
      <c r="J7" s="17">
        <v>0.1</v>
      </c>
      <c r="L7" s="18" t="s">
        <v>137</v>
      </c>
      <c r="M7" s="12"/>
      <c r="N7" s="19">
        <v>158347.20000000001</v>
      </c>
      <c r="O7" s="20">
        <v>31669</v>
      </c>
      <c r="P7" s="20">
        <f t="shared" si="2"/>
        <v>190016.2</v>
      </c>
      <c r="Q7" s="21"/>
      <c r="R7" s="14">
        <v>51008</v>
      </c>
      <c r="S7" s="14" t="s">
        <v>689</v>
      </c>
      <c r="T7" s="12" t="s">
        <v>116</v>
      </c>
      <c r="U7" s="15" t="str">
        <f t="shared" si="0"/>
        <v>2021_McLane_Managed_Cloudtestr - PRD</v>
      </c>
      <c r="V7" s="12" t="s">
        <v>117</v>
      </c>
      <c r="W7" s="12" t="s">
        <v>117</v>
      </c>
      <c r="X7" s="12" t="s">
        <v>117</v>
      </c>
      <c r="Y7" s="12" t="s">
        <v>1038</v>
      </c>
      <c r="AA7" s="14">
        <v>96102</v>
      </c>
      <c r="AB7" s="14" t="s">
        <v>120</v>
      </c>
      <c r="AC7" s="12" t="s">
        <v>139</v>
      </c>
      <c r="AD7" s="15" t="str">
        <f t="shared" si="1"/>
        <v>Accounting Local - SMGT</v>
      </c>
      <c r="AE7" s="12" t="s">
        <v>118</v>
      </c>
      <c r="AF7" s="12" t="s">
        <v>122</v>
      </c>
      <c r="AG7" s="12" t="s">
        <v>114</v>
      </c>
      <c r="AH7" s="12" t="s">
        <v>1038</v>
      </c>
      <c r="AJ7" s="14">
        <v>10010</v>
      </c>
      <c r="AK7" s="14" t="s">
        <v>140</v>
      </c>
    </row>
    <row r="8" spans="2:37" ht="10.5">
      <c r="D8" s="2"/>
      <c r="F8" s="16" t="s">
        <v>141</v>
      </c>
      <c r="G8" s="12">
        <v>48000</v>
      </c>
      <c r="H8" s="12">
        <v>48000</v>
      </c>
      <c r="I8" s="12">
        <v>48000</v>
      </c>
      <c r="J8" s="17">
        <v>0.1</v>
      </c>
      <c r="K8" s="22" t="s">
        <v>142</v>
      </c>
      <c r="L8" s="23" t="s">
        <v>143</v>
      </c>
      <c r="M8" s="12">
        <v>1</v>
      </c>
      <c r="N8" s="19">
        <v>216384</v>
      </c>
      <c r="O8" s="20">
        <v>25966</v>
      </c>
      <c r="P8" s="20">
        <f>SUM(N8:O8)</f>
        <v>242350</v>
      </c>
      <c r="Q8" s="21"/>
      <c r="R8" s="14">
        <v>51009</v>
      </c>
      <c r="S8" s="14" t="s">
        <v>1039</v>
      </c>
      <c r="T8" s="12" t="s">
        <v>116</v>
      </c>
      <c r="U8" s="15" t="str">
        <f t="shared" si="0"/>
        <v>2021_Sarepta_Managed_Cloudtest - PRD</v>
      </c>
      <c r="V8" s="12" t="s">
        <v>117</v>
      </c>
      <c r="W8" s="12" t="s">
        <v>117</v>
      </c>
      <c r="X8" s="12" t="s">
        <v>117</v>
      </c>
      <c r="Y8" s="12" t="s">
        <v>1038</v>
      </c>
      <c r="AA8" s="14">
        <v>96102</v>
      </c>
      <c r="AB8" s="14" t="s">
        <v>120</v>
      </c>
      <c r="AC8" s="12" t="s">
        <v>145</v>
      </c>
      <c r="AD8" s="15" t="str">
        <f t="shared" si="1"/>
        <v>Accounting Local - SUP</v>
      </c>
      <c r="AE8" s="12" t="s">
        <v>118</v>
      </c>
      <c r="AF8" s="12" t="s">
        <v>122</v>
      </c>
      <c r="AG8" s="12" t="s">
        <v>114</v>
      </c>
      <c r="AH8" s="12" t="s">
        <v>1038</v>
      </c>
      <c r="AJ8" s="14">
        <v>10012</v>
      </c>
      <c r="AK8" s="14" t="s">
        <v>146</v>
      </c>
    </row>
    <row r="9" spans="2:37" ht="10.5">
      <c r="B9" s="238" t="s">
        <v>147</v>
      </c>
      <c r="C9" s="238"/>
      <c r="D9" s="2"/>
      <c r="E9" s="2"/>
      <c r="F9" s="16" t="s">
        <v>148</v>
      </c>
      <c r="G9" s="12">
        <v>60000</v>
      </c>
      <c r="H9" s="12">
        <v>60000</v>
      </c>
      <c r="I9" s="12">
        <v>60000</v>
      </c>
      <c r="J9" s="17">
        <v>0.1</v>
      </c>
      <c r="K9" s="22" t="s">
        <v>149</v>
      </c>
      <c r="L9" s="23" t="s">
        <v>143</v>
      </c>
      <c r="M9" s="12">
        <v>2</v>
      </c>
      <c r="N9" s="19">
        <v>233184</v>
      </c>
      <c r="O9" s="20">
        <v>27982</v>
      </c>
      <c r="P9" s="20">
        <f>SUM(N9:O9)</f>
        <v>261166</v>
      </c>
      <c r="Q9" s="21"/>
      <c r="R9" s="14">
        <v>51047</v>
      </c>
      <c r="S9" s="14" t="s">
        <v>691</v>
      </c>
      <c r="T9" s="12" t="s">
        <v>116</v>
      </c>
      <c r="U9" s="15" t="str">
        <f t="shared" si="0"/>
        <v>2303-2312-IC-SOX-ComplianceTea - PRD</v>
      </c>
      <c r="V9" s="12" t="s">
        <v>117</v>
      </c>
      <c r="W9" s="12" t="s">
        <v>117</v>
      </c>
      <c r="X9" s="12" t="s">
        <v>117</v>
      </c>
      <c r="Y9" s="12" t="s">
        <v>1038</v>
      </c>
      <c r="AA9" s="14">
        <v>96122</v>
      </c>
      <c r="AB9" s="14" t="s">
        <v>151</v>
      </c>
      <c r="AC9" s="12" t="s">
        <v>121</v>
      </c>
      <c r="AD9" s="15" t="str">
        <f t="shared" si="1"/>
        <v>Accounting-Global - F&amp;A</v>
      </c>
      <c r="AE9" s="12" t="s">
        <v>118</v>
      </c>
      <c r="AF9" s="12" t="s">
        <v>122</v>
      </c>
      <c r="AG9" s="12" t="s">
        <v>114</v>
      </c>
      <c r="AH9" s="12" t="s">
        <v>1038</v>
      </c>
      <c r="AJ9" s="14">
        <v>10013</v>
      </c>
      <c r="AK9" s="14" t="s">
        <v>1040</v>
      </c>
    </row>
    <row r="10" spans="2:37" ht="10.5">
      <c r="B10" s="24" t="s">
        <v>90</v>
      </c>
      <c r="C10" s="25" t="s">
        <v>153</v>
      </c>
      <c r="D10" s="2"/>
      <c r="E10" s="2"/>
      <c r="F10" s="16" t="s">
        <v>154</v>
      </c>
      <c r="G10" s="12">
        <v>60000</v>
      </c>
      <c r="H10" s="12">
        <v>60000</v>
      </c>
      <c r="I10" s="12">
        <v>60000</v>
      </c>
      <c r="J10" s="17">
        <v>0.1</v>
      </c>
      <c r="K10" s="22" t="s">
        <v>155</v>
      </c>
      <c r="L10" s="23" t="s">
        <v>143</v>
      </c>
      <c r="M10" s="12">
        <v>3</v>
      </c>
      <c r="N10" s="19">
        <v>245664</v>
      </c>
      <c r="O10" s="20">
        <v>29480</v>
      </c>
      <c r="P10" s="20">
        <f t="shared" si="2"/>
        <v>275144</v>
      </c>
      <c r="Q10" s="21"/>
      <c r="R10" s="14">
        <v>96102</v>
      </c>
      <c r="S10" s="14" t="s">
        <v>120</v>
      </c>
      <c r="T10" s="12" t="s">
        <v>133</v>
      </c>
      <c r="U10" s="15" t="str">
        <f t="shared" si="0"/>
        <v>Accounting Local - AMG</v>
      </c>
      <c r="V10" s="12" t="s">
        <v>104</v>
      </c>
      <c r="W10" s="12" t="s">
        <v>122</v>
      </c>
      <c r="X10" s="12" t="s">
        <v>114</v>
      </c>
      <c r="Y10" s="12" t="s">
        <v>1038</v>
      </c>
      <c r="AA10" s="14">
        <v>96122</v>
      </c>
      <c r="AB10" s="14" t="s">
        <v>151</v>
      </c>
      <c r="AC10" s="12" t="s">
        <v>145</v>
      </c>
      <c r="AD10" s="15" t="str">
        <f t="shared" si="1"/>
        <v>Accounting-Global - SUP</v>
      </c>
      <c r="AE10" s="12" t="s">
        <v>118</v>
      </c>
      <c r="AF10" s="12" t="s">
        <v>122</v>
      </c>
      <c r="AG10" s="12" t="s">
        <v>114</v>
      </c>
      <c r="AH10" s="12" t="s">
        <v>1038</v>
      </c>
      <c r="AJ10" s="14">
        <v>10014</v>
      </c>
      <c r="AK10" s="14" t="s">
        <v>152</v>
      </c>
    </row>
    <row r="11" spans="2:37" ht="10.5">
      <c r="B11" s="26" t="s">
        <v>158</v>
      </c>
      <c r="C11" s="27">
        <v>0.1</v>
      </c>
      <c r="D11" s="2"/>
      <c r="E11" s="2"/>
      <c r="F11" s="16" t="s">
        <v>159</v>
      </c>
      <c r="G11" s="12">
        <v>60000</v>
      </c>
      <c r="H11" s="12">
        <v>60000</v>
      </c>
      <c r="I11" s="12">
        <v>60000</v>
      </c>
      <c r="J11" s="17">
        <v>0.1</v>
      </c>
      <c r="K11" s="22" t="s">
        <v>160</v>
      </c>
      <c r="L11" s="23" t="s">
        <v>143</v>
      </c>
      <c r="M11" s="12">
        <v>4</v>
      </c>
      <c r="N11" s="19">
        <v>259344</v>
      </c>
      <c r="O11" s="20">
        <v>31121</v>
      </c>
      <c r="P11" s="20">
        <f t="shared" si="2"/>
        <v>290465</v>
      </c>
      <c r="Q11" s="21"/>
      <c r="R11" s="14">
        <v>96102</v>
      </c>
      <c r="S11" s="14" t="s">
        <v>120</v>
      </c>
      <c r="T11" s="12" t="s">
        <v>121</v>
      </c>
      <c r="U11" s="15" t="str">
        <f t="shared" si="0"/>
        <v>Accounting Local - F&amp;A</v>
      </c>
      <c r="V11" s="12" t="s">
        <v>104</v>
      </c>
      <c r="W11" s="12" t="s">
        <v>122</v>
      </c>
      <c r="X11" s="12" t="s">
        <v>114</v>
      </c>
      <c r="Y11" s="12" t="s">
        <v>1038</v>
      </c>
      <c r="AA11" s="14">
        <v>12457</v>
      </c>
      <c r="AB11" s="14" t="s">
        <v>162</v>
      </c>
      <c r="AC11" s="12" t="s">
        <v>129</v>
      </c>
      <c r="AD11" s="15" t="str">
        <f t="shared" si="1"/>
        <v>ADNIC - Claims Operations - MGT</v>
      </c>
      <c r="AE11" s="12" t="s">
        <v>141</v>
      </c>
      <c r="AF11" s="12" t="s">
        <v>163</v>
      </c>
      <c r="AG11" s="12" t="s">
        <v>164</v>
      </c>
      <c r="AH11" s="12" t="s">
        <v>1038</v>
      </c>
      <c r="AJ11" s="14">
        <v>10016</v>
      </c>
      <c r="AK11" s="14" t="s">
        <v>157</v>
      </c>
    </row>
    <row r="12" spans="2:37">
      <c r="B12" s="26" t="s">
        <v>166</v>
      </c>
      <c r="C12" s="27">
        <v>0.1</v>
      </c>
      <c r="D12" s="2"/>
      <c r="E12" s="2"/>
      <c r="K12" s="28"/>
      <c r="L12" s="18" t="s">
        <v>167</v>
      </c>
      <c r="M12" s="12">
        <v>1</v>
      </c>
      <c r="N12" s="19">
        <v>195180.12</v>
      </c>
      <c r="O12" s="20">
        <v>39036</v>
      </c>
      <c r="P12" s="20">
        <f t="shared" si="2"/>
        <v>234216.12</v>
      </c>
      <c r="Q12" s="21"/>
      <c r="R12" s="14">
        <v>96102</v>
      </c>
      <c r="S12" s="14" t="s">
        <v>120</v>
      </c>
      <c r="T12" s="12" t="s">
        <v>129</v>
      </c>
      <c r="U12" s="15" t="str">
        <f t="shared" si="0"/>
        <v>Accounting Local - MGT</v>
      </c>
      <c r="V12" s="12" t="s">
        <v>104</v>
      </c>
      <c r="W12" s="12" t="s">
        <v>122</v>
      </c>
      <c r="X12" s="12" t="s">
        <v>114</v>
      </c>
      <c r="Y12" s="12" t="s">
        <v>1038</v>
      </c>
      <c r="AA12" s="14">
        <v>12457</v>
      </c>
      <c r="AB12" s="14" t="s">
        <v>162</v>
      </c>
      <c r="AC12" s="12" t="s">
        <v>116</v>
      </c>
      <c r="AD12" s="15" t="str">
        <f t="shared" si="1"/>
        <v>ADNIC - Claims Operations - PRD</v>
      </c>
      <c r="AE12" s="12" t="s">
        <v>141</v>
      </c>
      <c r="AF12" s="12" t="s">
        <v>163</v>
      </c>
      <c r="AG12" s="12" t="s">
        <v>164</v>
      </c>
      <c r="AH12" s="12" t="s">
        <v>1038</v>
      </c>
      <c r="AJ12" s="14">
        <v>10018</v>
      </c>
      <c r="AK12" s="14" t="s">
        <v>165</v>
      </c>
    </row>
    <row r="13" spans="2:37">
      <c r="B13" s="26" t="s">
        <v>170</v>
      </c>
      <c r="C13" s="27">
        <v>0.1</v>
      </c>
      <c r="L13" s="18" t="s">
        <v>167</v>
      </c>
      <c r="M13" s="12">
        <v>2</v>
      </c>
      <c r="N13" s="19">
        <v>210476.03999999998</v>
      </c>
      <c r="O13" s="20">
        <v>42095</v>
      </c>
      <c r="P13" s="20">
        <f t="shared" si="2"/>
        <v>252571.03999999998</v>
      </c>
      <c r="Q13" s="21"/>
      <c r="R13" s="14">
        <v>96102</v>
      </c>
      <c r="S13" s="14" t="s">
        <v>120</v>
      </c>
      <c r="T13" s="12" t="s">
        <v>134</v>
      </c>
      <c r="U13" s="15" t="str">
        <f t="shared" si="0"/>
        <v>Accounting Local - SEC</v>
      </c>
      <c r="V13" s="12" t="s">
        <v>104</v>
      </c>
      <c r="W13" s="12" t="s">
        <v>122</v>
      </c>
      <c r="X13" s="12" t="s">
        <v>114</v>
      </c>
      <c r="Y13" s="12" t="s">
        <v>1038</v>
      </c>
      <c r="AA13" s="14">
        <v>12457</v>
      </c>
      <c r="AB13" s="14" t="s">
        <v>162</v>
      </c>
      <c r="AC13" s="12" t="s">
        <v>172</v>
      </c>
      <c r="AD13" s="15" t="str">
        <f t="shared" si="1"/>
        <v>ADNIC - Claims Operations - SME</v>
      </c>
      <c r="AE13" s="12" t="s">
        <v>141</v>
      </c>
      <c r="AF13" s="12" t="s">
        <v>163</v>
      </c>
      <c r="AG13" s="12" t="s">
        <v>164</v>
      </c>
      <c r="AH13" s="12" t="s">
        <v>1038</v>
      </c>
      <c r="AJ13" s="14">
        <v>10020</v>
      </c>
      <c r="AK13" s="14" t="s">
        <v>169</v>
      </c>
    </row>
    <row r="14" spans="2:37">
      <c r="B14" s="26" t="s">
        <v>174</v>
      </c>
      <c r="C14" s="27">
        <v>0.15</v>
      </c>
      <c r="L14" s="18" t="s">
        <v>167</v>
      </c>
      <c r="M14" s="12">
        <v>3</v>
      </c>
      <c r="N14" s="19">
        <v>210476.03999999998</v>
      </c>
      <c r="O14" s="20">
        <v>42095</v>
      </c>
      <c r="P14" s="20">
        <f t="shared" si="2"/>
        <v>252571.03999999998</v>
      </c>
      <c r="Q14" s="21"/>
      <c r="R14" s="14">
        <v>96102</v>
      </c>
      <c r="S14" s="14" t="s">
        <v>120</v>
      </c>
      <c r="T14" s="12" t="s">
        <v>139</v>
      </c>
      <c r="U14" s="15" t="str">
        <f t="shared" si="0"/>
        <v>Accounting Local - SMGT</v>
      </c>
      <c r="V14" s="12" t="s">
        <v>104</v>
      </c>
      <c r="W14" s="12" t="s">
        <v>122</v>
      </c>
      <c r="X14" s="12" t="s">
        <v>114</v>
      </c>
      <c r="Y14" s="12" t="s">
        <v>1038</v>
      </c>
      <c r="AA14" s="14">
        <v>12457</v>
      </c>
      <c r="AB14" s="14" t="s">
        <v>162</v>
      </c>
      <c r="AC14" s="12" t="s">
        <v>139</v>
      </c>
      <c r="AD14" s="15" t="str">
        <f t="shared" si="1"/>
        <v>ADNIC - Claims Operations - SMGT</v>
      </c>
      <c r="AE14" s="12" t="s">
        <v>141</v>
      </c>
      <c r="AF14" s="12" t="s">
        <v>163</v>
      </c>
      <c r="AG14" s="12" t="s">
        <v>164</v>
      </c>
      <c r="AH14" s="12" t="s">
        <v>1038</v>
      </c>
      <c r="AJ14" s="14">
        <v>10024</v>
      </c>
      <c r="AK14" s="14" t="s">
        <v>173</v>
      </c>
    </row>
    <row r="15" spans="2:37">
      <c r="B15" s="26" t="s">
        <v>176</v>
      </c>
      <c r="C15" s="27">
        <v>0.15</v>
      </c>
      <c r="L15" s="18" t="s">
        <v>167</v>
      </c>
      <c r="M15" s="12">
        <v>4</v>
      </c>
      <c r="N15" s="19">
        <v>227301.59999999998</v>
      </c>
      <c r="O15" s="20">
        <v>45460</v>
      </c>
      <c r="P15" s="20">
        <f t="shared" si="2"/>
        <v>272761.59999999998</v>
      </c>
      <c r="Q15" s="21"/>
      <c r="R15" s="14">
        <v>96102</v>
      </c>
      <c r="S15" s="14" t="s">
        <v>120</v>
      </c>
      <c r="T15" s="12" t="s">
        <v>145</v>
      </c>
      <c r="U15" s="15" t="str">
        <f t="shared" si="0"/>
        <v>Accounting Local - SUP</v>
      </c>
      <c r="V15" s="12" t="s">
        <v>104</v>
      </c>
      <c r="W15" s="12" t="s">
        <v>122</v>
      </c>
      <c r="X15" s="12" t="s">
        <v>114</v>
      </c>
      <c r="Y15" s="12" t="s">
        <v>1038</v>
      </c>
      <c r="AA15" s="14">
        <v>12457</v>
      </c>
      <c r="AB15" s="14" t="s">
        <v>162</v>
      </c>
      <c r="AC15" s="12" t="s">
        <v>145</v>
      </c>
      <c r="AD15" s="15" t="str">
        <f t="shared" si="1"/>
        <v>ADNIC - Claims Operations - SUP</v>
      </c>
      <c r="AE15" s="12" t="s">
        <v>141</v>
      </c>
      <c r="AF15" s="12" t="s">
        <v>163</v>
      </c>
      <c r="AG15" s="12" t="s">
        <v>164</v>
      </c>
      <c r="AH15" s="12" t="s">
        <v>1038</v>
      </c>
      <c r="AJ15" s="14">
        <v>10032</v>
      </c>
      <c r="AK15" s="14" t="s">
        <v>175</v>
      </c>
    </row>
    <row r="16" spans="2:37">
      <c r="R16" s="14">
        <v>96102</v>
      </c>
      <c r="S16" s="14" t="s">
        <v>120</v>
      </c>
      <c r="T16" s="12" t="s">
        <v>180</v>
      </c>
      <c r="U16" s="15" t="str">
        <f t="shared" si="0"/>
        <v>Accounting Local - TMG</v>
      </c>
      <c r="V16" s="12" t="s">
        <v>104</v>
      </c>
      <c r="W16" s="12" t="s">
        <v>122</v>
      </c>
      <c r="X16" s="12" t="s">
        <v>114</v>
      </c>
      <c r="Y16" s="12" t="s">
        <v>1038</v>
      </c>
      <c r="AA16" s="14">
        <v>12457</v>
      </c>
      <c r="AB16" s="14" t="s">
        <v>162</v>
      </c>
      <c r="AC16" s="12" t="s">
        <v>180</v>
      </c>
      <c r="AD16" s="15" t="str">
        <f t="shared" si="1"/>
        <v>ADNIC - Claims Operations - TMG</v>
      </c>
      <c r="AE16" s="12" t="s">
        <v>141</v>
      </c>
      <c r="AF16" s="12" t="s">
        <v>163</v>
      </c>
      <c r="AG16" s="12" t="s">
        <v>164</v>
      </c>
      <c r="AH16" s="12" t="s">
        <v>1038</v>
      </c>
      <c r="AJ16" s="14">
        <v>10033</v>
      </c>
      <c r="AK16" s="14" t="s">
        <v>179</v>
      </c>
    </row>
    <row r="17" spans="2:37" ht="10.5">
      <c r="B17" s="238" t="s">
        <v>182</v>
      </c>
      <c r="C17" s="238"/>
      <c r="F17" s="238" t="s">
        <v>183</v>
      </c>
      <c r="G17" s="238"/>
      <c r="H17" s="238"/>
      <c r="L17" s="238" t="s">
        <v>184</v>
      </c>
      <c r="M17" s="238"/>
      <c r="N17" s="238"/>
      <c r="R17" s="14">
        <v>96122</v>
      </c>
      <c r="S17" s="14" t="s">
        <v>151</v>
      </c>
      <c r="T17" s="12" t="s">
        <v>121</v>
      </c>
      <c r="U17" s="15" t="str">
        <f t="shared" si="0"/>
        <v>Accounting-Global - F&amp;A</v>
      </c>
      <c r="V17" s="12" t="s">
        <v>104</v>
      </c>
      <c r="W17" s="12" t="s">
        <v>122</v>
      </c>
      <c r="X17" s="12" t="s">
        <v>114</v>
      </c>
      <c r="Y17" s="12" t="s">
        <v>1038</v>
      </c>
      <c r="AA17" s="14">
        <v>12457</v>
      </c>
      <c r="AB17" s="14" t="s">
        <v>162</v>
      </c>
      <c r="AC17" s="12" t="s">
        <v>185</v>
      </c>
      <c r="AD17" s="15" t="str">
        <f t="shared" si="1"/>
        <v>ADNIC - Claims Operations - TPS</v>
      </c>
      <c r="AE17" s="12" t="s">
        <v>141</v>
      </c>
      <c r="AF17" s="12" t="s">
        <v>163</v>
      </c>
      <c r="AG17" s="12" t="s">
        <v>164</v>
      </c>
      <c r="AH17" s="12" t="s">
        <v>1038</v>
      </c>
      <c r="AJ17" s="14">
        <v>10036</v>
      </c>
      <c r="AK17" s="14" t="s">
        <v>181</v>
      </c>
    </row>
    <row r="18" spans="2:37" ht="10.5">
      <c r="B18" s="29" t="s">
        <v>90</v>
      </c>
      <c r="C18" s="10" t="s">
        <v>187</v>
      </c>
      <c r="F18" s="29" t="s">
        <v>188</v>
      </c>
      <c r="G18" s="10" t="s">
        <v>189</v>
      </c>
      <c r="H18" s="14"/>
      <c r="L18" s="29" t="s">
        <v>188</v>
      </c>
      <c r="M18" s="10" t="s">
        <v>190</v>
      </c>
      <c r="N18" s="10" t="s">
        <v>191</v>
      </c>
      <c r="R18" s="14">
        <v>96122</v>
      </c>
      <c r="S18" s="14" t="s">
        <v>151</v>
      </c>
      <c r="T18" s="12" t="s">
        <v>145</v>
      </c>
      <c r="U18" s="15" t="str">
        <f t="shared" si="0"/>
        <v>Accounting-Global - SUP</v>
      </c>
      <c r="V18" s="12" t="s">
        <v>104</v>
      </c>
      <c r="W18" s="12" t="s">
        <v>122</v>
      </c>
      <c r="X18" s="12" t="s">
        <v>114</v>
      </c>
      <c r="Y18" s="12" t="s">
        <v>1038</v>
      </c>
      <c r="AA18" s="14">
        <v>10773</v>
      </c>
      <c r="AB18" s="14" t="s">
        <v>192</v>
      </c>
      <c r="AC18" s="12" t="s">
        <v>193</v>
      </c>
      <c r="AD18" s="15" t="str">
        <f t="shared" si="1"/>
        <v>ADNIC L2L3 App Support India - DEV</v>
      </c>
      <c r="AE18" s="12" t="s">
        <v>117</v>
      </c>
      <c r="AF18" s="12" t="s">
        <v>117</v>
      </c>
      <c r="AG18" s="12" t="s">
        <v>117</v>
      </c>
      <c r="AH18" s="12" t="s">
        <v>1038</v>
      </c>
      <c r="AJ18" s="14">
        <v>10040</v>
      </c>
      <c r="AK18" s="14" t="s">
        <v>186</v>
      </c>
    </row>
    <row r="19" spans="2:37">
      <c r="B19" s="26">
        <v>1</v>
      </c>
      <c r="C19" s="17">
        <v>0.05</v>
      </c>
      <c r="F19" s="45">
        <v>10014</v>
      </c>
      <c r="G19" s="12" t="s">
        <v>117</v>
      </c>
      <c r="H19" s="14"/>
      <c r="L19" s="12">
        <v>10487</v>
      </c>
      <c r="M19" s="30">
        <v>48000</v>
      </c>
      <c r="N19" s="30">
        <v>84000</v>
      </c>
      <c r="R19" s="14">
        <v>10400</v>
      </c>
      <c r="S19" s="14" t="s">
        <v>239</v>
      </c>
      <c r="T19" s="12" t="s">
        <v>398</v>
      </c>
      <c r="U19" s="15" t="str">
        <f t="shared" si="0"/>
        <v>Act! Software - CBK</v>
      </c>
      <c r="V19" s="12" t="s">
        <v>126</v>
      </c>
      <c r="W19" s="12" t="s">
        <v>360</v>
      </c>
      <c r="X19" s="12" t="s">
        <v>361</v>
      </c>
      <c r="Y19" s="12" t="s">
        <v>1038</v>
      </c>
      <c r="AA19" s="14">
        <v>10773</v>
      </c>
      <c r="AB19" s="14" t="s">
        <v>192</v>
      </c>
      <c r="AC19" s="12" t="s">
        <v>129</v>
      </c>
      <c r="AD19" s="15" t="str">
        <f t="shared" si="1"/>
        <v>ADNIC L2L3 App Support India - MGT</v>
      </c>
      <c r="AE19" s="12" t="s">
        <v>117</v>
      </c>
      <c r="AF19" s="12" t="s">
        <v>117</v>
      </c>
      <c r="AG19" s="12" t="s">
        <v>117</v>
      </c>
      <c r="AH19" s="12" t="s">
        <v>1038</v>
      </c>
      <c r="AJ19" s="14">
        <v>10041</v>
      </c>
      <c r="AK19" s="14" t="s">
        <v>194</v>
      </c>
    </row>
    <row r="20" spans="2:37">
      <c r="B20" s="26">
        <v>2</v>
      </c>
      <c r="C20" s="17">
        <v>7.0000000000000007E-2</v>
      </c>
      <c r="F20" s="45">
        <v>10015</v>
      </c>
      <c r="G20" s="12" t="s">
        <v>117</v>
      </c>
      <c r="H20" s="14"/>
      <c r="L20" s="12">
        <v>10506</v>
      </c>
      <c r="M20" s="30">
        <v>48000</v>
      </c>
      <c r="N20" s="30">
        <v>84000</v>
      </c>
      <c r="R20" s="14">
        <v>10400</v>
      </c>
      <c r="S20" s="14" t="s">
        <v>239</v>
      </c>
      <c r="T20" s="12" t="s">
        <v>144</v>
      </c>
      <c r="U20" s="15" t="str">
        <f t="shared" si="0"/>
        <v>Act! Software - CCOD</v>
      </c>
      <c r="V20" s="12" t="s">
        <v>126</v>
      </c>
      <c r="W20" s="12" t="s">
        <v>360</v>
      </c>
      <c r="X20" s="12" t="s">
        <v>361</v>
      </c>
      <c r="Y20" s="12" t="s">
        <v>1038</v>
      </c>
      <c r="AA20" s="14">
        <v>10773</v>
      </c>
      <c r="AB20" s="14" t="s">
        <v>192</v>
      </c>
      <c r="AC20" s="12" t="s">
        <v>116</v>
      </c>
      <c r="AD20" s="15" t="str">
        <f t="shared" si="1"/>
        <v>ADNIC L2L3 App Support India - PRD</v>
      </c>
      <c r="AE20" s="12" t="s">
        <v>117</v>
      </c>
      <c r="AF20" s="12" t="s">
        <v>117</v>
      </c>
      <c r="AG20" s="12" t="s">
        <v>117</v>
      </c>
      <c r="AH20" s="12" t="s">
        <v>1038</v>
      </c>
      <c r="AJ20" s="14">
        <v>10046</v>
      </c>
      <c r="AK20" s="14" t="s">
        <v>195</v>
      </c>
    </row>
    <row r="21" spans="2:37">
      <c r="B21" s="26">
        <v>3</v>
      </c>
      <c r="C21" s="17">
        <v>0.1</v>
      </c>
      <c r="F21" s="45">
        <v>10019</v>
      </c>
      <c r="G21" s="12" t="s">
        <v>117</v>
      </c>
      <c r="H21" s="14"/>
      <c r="L21" s="12">
        <v>10507</v>
      </c>
      <c r="M21" s="30">
        <v>48000</v>
      </c>
      <c r="N21" s="30">
        <v>84000</v>
      </c>
      <c r="R21" s="14">
        <v>10400</v>
      </c>
      <c r="S21" s="14" t="s">
        <v>239</v>
      </c>
      <c r="T21" s="12" t="s">
        <v>150</v>
      </c>
      <c r="U21" s="15" t="str">
        <f t="shared" si="0"/>
        <v>Act! Software - CCS</v>
      </c>
      <c r="V21" s="12" t="s">
        <v>126</v>
      </c>
      <c r="W21" s="12" t="s">
        <v>360</v>
      </c>
      <c r="X21" s="12" t="s">
        <v>361</v>
      </c>
      <c r="Y21" s="12" t="s">
        <v>1038</v>
      </c>
      <c r="AA21" s="14">
        <v>10773</v>
      </c>
      <c r="AB21" s="14" t="s">
        <v>192</v>
      </c>
      <c r="AC21" s="12" t="s">
        <v>145</v>
      </c>
      <c r="AD21" s="15" t="str">
        <f t="shared" si="1"/>
        <v>ADNIC L2L3 App Support India - SUP</v>
      </c>
      <c r="AE21" s="12" t="s">
        <v>117</v>
      </c>
      <c r="AF21" s="12" t="s">
        <v>117</v>
      </c>
      <c r="AG21" s="12" t="s">
        <v>117</v>
      </c>
      <c r="AH21" s="12" t="s">
        <v>1038</v>
      </c>
      <c r="AJ21" s="14">
        <v>10048</v>
      </c>
      <c r="AK21" s="14" t="s">
        <v>1041</v>
      </c>
    </row>
    <row r="22" spans="2:37">
      <c r="B22" s="26">
        <v>4</v>
      </c>
      <c r="C22" s="17">
        <v>0.12</v>
      </c>
      <c r="F22" s="45">
        <v>10024</v>
      </c>
      <c r="G22" s="12" t="s">
        <v>117</v>
      </c>
      <c r="H22" s="14"/>
      <c r="L22" s="12">
        <v>10508</v>
      </c>
      <c r="M22" s="30">
        <v>48000</v>
      </c>
      <c r="N22" s="30">
        <v>84000</v>
      </c>
      <c r="R22" s="14">
        <v>10400</v>
      </c>
      <c r="S22" s="14" t="s">
        <v>239</v>
      </c>
      <c r="T22" s="12" t="s">
        <v>168</v>
      </c>
      <c r="U22" s="15" t="str">
        <f t="shared" si="0"/>
        <v>Act! Software - ESC</v>
      </c>
      <c r="V22" s="12" t="s">
        <v>126</v>
      </c>
      <c r="W22" s="12" t="s">
        <v>360</v>
      </c>
      <c r="X22" s="12" t="s">
        <v>361</v>
      </c>
      <c r="Y22" s="12" t="s">
        <v>1038</v>
      </c>
      <c r="AA22" s="14">
        <v>10773</v>
      </c>
      <c r="AB22" s="14" t="s">
        <v>192</v>
      </c>
      <c r="AC22" s="12" t="s">
        <v>185</v>
      </c>
      <c r="AD22" s="15" t="str">
        <f t="shared" si="1"/>
        <v>ADNIC L2L3 App Support India - TPS</v>
      </c>
      <c r="AE22" s="12" t="s">
        <v>117</v>
      </c>
      <c r="AF22" s="12" t="s">
        <v>117</v>
      </c>
      <c r="AG22" s="12" t="s">
        <v>117</v>
      </c>
      <c r="AH22" s="12" t="s">
        <v>1038</v>
      </c>
      <c r="AJ22" s="14">
        <v>10082</v>
      </c>
      <c r="AK22" s="14" t="s">
        <v>197</v>
      </c>
    </row>
    <row r="23" spans="2:37">
      <c r="B23" s="26" t="s">
        <v>158</v>
      </c>
      <c r="C23" s="17">
        <v>0.15</v>
      </c>
      <c r="F23" s="45">
        <v>10035</v>
      </c>
      <c r="G23" s="12" t="s">
        <v>117</v>
      </c>
      <c r="H23" s="14"/>
      <c r="L23" s="12">
        <v>10518</v>
      </c>
      <c r="M23" s="30">
        <v>48000</v>
      </c>
      <c r="N23" s="30">
        <v>84000</v>
      </c>
      <c r="R23" s="14">
        <v>10400</v>
      </c>
      <c r="S23" s="14" t="s">
        <v>239</v>
      </c>
      <c r="T23" s="12" t="s">
        <v>171</v>
      </c>
      <c r="U23" s="15" t="str">
        <f t="shared" si="0"/>
        <v>Act! Software - ETE</v>
      </c>
      <c r="V23" s="12" t="s">
        <v>126</v>
      </c>
      <c r="W23" s="12" t="s">
        <v>360</v>
      </c>
      <c r="X23" s="12" t="s">
        <v>361</v>
      </c>
      <c r="Y23" s="12" t="s">
        <v>1038</v>
      </c>
      <c r="AA23" s="14">
        <v>40251</v>
      </c>
      <c r="AB23" s="14" t="s">
        <v>201</v>
      </c>
      <c r="AC23" s="12" t="s">
        <v>116</v>
      </c>
      <c r="AD23" s="15" t="str">
        <f t="shared" si="1"/>
        <v>ADNICL2L3AppSupport AbuDhabi - PRD</v>
      </c>
      <c r="AE23" s="12" t="s">
        <v>117</v>
      </c>
      <c r="AF23" s="12" t="s">
        <v>117</v>
      </c>
      <c r="AG23" s="12" t="s">
        <v>117</v>
      </c>
      <c r="AH23" s="12" t="s">
        <v>1038</v>
      </c>
      <c r="AJ23" s="14">
        <v>10084</v>
      </c>
      <c r="AK23" s="14" t="s">
        <v>199</v>
      </c>
    </row>
    <row r="24" spans="2:37">
      <c r="B24" s="26" t="s">
        <v>166</v>
      </c>
      <c r="C24" s="17">
        <v>0.15</v>
      </c>
      <c r="F24" s="45">
        <v>10036</v>
      </c>
      <c r="G24" s="12" t="s">
        <v>117</v>
      </c>
      <c r="H24" s="14"/>
      <c r="L24" s="12">
        <v>10713</v>
      </c>
      <c r="M24" s="30">
        <v>48000</v>
      </c>
      <c r="N24" s="30">
        <v>84000</v>
      </c>
      <c r="R24" s="14">
        <v>10400</v>
      </c>
      <c r="S24" s="14" t="s">
        <v>239</v>
      </c>
      <c r="T24" s="12" t="s">
        <v>177</v>
      </c>
      <c r="U24" s="15" t="str">
        <f t="shared" si="0"/>
        <v>Act! Software - OPS</v>
      </c>
      <c r="V24" s="12" t="s">
        <v>126</v>
      </c>
      <c r="W24" s="12" t="s">
        <v>360</v>
      </c>
      <c r="X24" s="12" t="s">
        <v>361</v>
      </c>
      <c r="Y24" s="12" t="s">
        <v>1038</v>
      </c>
      <c r="AA24" s="14">
        <v>88146</v>
      </c>
      <c r="AB24" s="14" t="s">
        <v>206</v>
      </c>
      <c r="AC24" s="12" t="s">
        <v>145</v>
      </c>
      <c r="AD24" s="15" t="str">
        <f t="shared" si="1"/>
        <v>Advance Hiring - ITS - SUP</v>
      </c>
      <c r="AE24" s="12" t="s">
        <v>117</v>
      </c>
      <c r="AF24" s="12" t="s">
        <v>117</v>
      </c>
      <c r="AG24" s="12" t="s">
        <v>117</v>
      </c>
      <c r="AH24" s="12" t="s">
        <v>1038</v>
      </c>
      <c r="AJ24" s="14">
        <v>10085</v>
      </c>
      <c r="AK24" s="14" t="s">
        <v>200</v>
      </c>
    </row>
    <row r="25" spans="2:37">
      <c r="B25" s="26" t="s">
        <v>170</v>
      </c>
      <c r="C25" s="17">
        <v>0.18</v>
      </c>
      <c r="F25" s="45">
        <v>10037</v>
      </c>
      <c r="G25" s="12" t="s">
        <v>117</v>
      </c>
      <c r="H25" s="14"/>
      <c r="L25" s="12">
        <v>10714</v>
      </c>
      <c r="M25" s="30">
        <v>48000</v>
      </c>
      <c r="N25" s="30">
        <v>84000</v>
      </c>
      <c r="R25" s="14">
        <v>10400</v>
      </c>
      <c r="S25" s="14" t="s">
        <v>239</v>
      </c>
      <c r="T25" s="12" t="s">
        <v>111</v>
      </c>
      <c r="U25" s="15" t="str">
        <f t="shared" si="0"/>
        <v>Act! Software - QLY</v>
      </c>
      <c r="V25" s="12" t="s">
        <v>112</v>
      </c>
      <c r="W25" s="12" t="s">
        <v>113</v>
      </c>
      <c r="X25" s="12" t="s">
        <v>114</v>
      </c>
      <c r="Y25" s="12" t="s">
        <v>1038</v>
      </c>
      <c r="AA25" s="14">
        <v>12351</v>
      </c>
      <c r="AB25" s="14" t="s">
        <v>209</v>
      </c>
      <c r="AC25" s="12" t="s">
        <v>133</v>
      </c>
      <c r="AD25" s="15" t="str">
        <f t="shared" si="1"/>
        <v>Aetna - CPD/LNCPD - AMG</v>
      </c>
      <c r="AE25" s="12" t="s">
        <v>141</v>
      </c>
      <c r="AF25" s="12" t="s">
        <v>163</v>
      </c>
      <c r="AG25" s="12" t="s">
        <v>164</v>
      </c>
      <c r="AH25" s="12" t="s">
        <v>1038</v>
      </c>
      <c r="AJ25" s="14">
        <v>10086</v>
      </c>
      <c r="AK25" s="14" t="s">
        <v>1042</v>
      </c>
    </row>
    <row r="26" spans="2:37">
      <c r="B26" s="26" t="s">
        <v>174</v>
      </c>
      <c r="C26" s="17">
        <v>0.18</v>
      </c>
      <c r="F26" s="45">
        <v>10038</v>
      </c>
      <c r="G26" s="12" t="s">
        <v>117</v>
      </c>
      <c r="H26" s="14"/>
      <c r="L26" s="12">
        <v>10715</v>
      </c>
      <c r="M26" s="30">
        <v>48000</v>
      </c>
      <c r="N26" s="30">
        <v>84000</v>
      </c>
      <c r="R26" s="14">
        <v>10400</v>
      </c>
      <c r="S26" s="14" t="s">
        <v>239</v>
      </c>
      <c r="T26" s="12" t="s">
        <v>119</v>
      </c>
      <c r="U26" s="15" t="str">
        <f t="shared" si="0"/>
        <v>Act! Software - SQM</v>
      </c>
      <c r="V26" s="12" t="s">
        <v>112</v>
      </c>
      <c r="W26" s="12" t="s">
        <v>113</v>
      </c>
      <c r="X26" s="12" t="s">
        <v>114</v>
      </c>
      <c r="Y26" s="12" t="s">
        <v>1038</v>
      </c>
      <c r="AA26" s="14">
        <v>12351</v>
      </c>
      <c r="AB26" s="14" t="s">
        <v>209</v>
      </c>
      <c r="AC26" s="12" t="s">
        <v>116</v>
      </c>
      <c r="AD26" s="15" t="str">
        <f t="shared" si="1"/>
        <v>Aetna - CPD/LNCPD - PRD</v>
      </c>
      <c r="AE26" s="12" t="s">
        <v>141</v>
      </c>
      <c r="AF26" s="12" t="s">
        <v>163</v>
      </c>
      <c r="AG26" s="12" t="s">
        <v>164</v>
      </c>
      <c r="AH26" s="12" t="s">
        <v>1038</v>
      </c>
      <c r="AJ26" s="14">
        <v>10087</v>
      </c>
      <c r="AK26" s="14" t="s">
        <v>1043</v>
      </c>
    </row>
    <row r="27" spans="2:37">
      <c r="B27" s="26" t="s">
        <v>176</v>
      </c>
      <c r="C27" s="17">
        <v>0.2</v>
      </c>
      <c r="F27" s="45">
        <v>10042</v>
      </c>
      <c r="G27" s="12" t="s">
        <v>117</v>
      </c>
      <c r="H27" s="14"/>
      <c r="L27" s="12">
        <v>10716</v>
      </c>
      <c r="M27" s="30">
        <v>48000</v>
      </c>
      <c r="N27" s="30">
        <v>84000</v>
      </c>
      <c r="R27" s="14">
        <v>10400</v>
      </c>
      <c r="S27" s="14" t="s">
        <v>239</v>
      </c>
      <c r="T27" s="12" t="s">
        <v>145</v>
      </c>
      <c r="U27" s="15" t="str">
        <f t="shared" si="0"/>
        <v>Act! Software - SUP</v>
      </c>
      <c r="V27" s="12" t="s">
        <v>126</v>
      </c>
      <c r="W27" s="12" t="s">
        <v>360</v>
      </c>
      <c r="X27" s="12" t="s">
        <v>361</v>
      </c>
      <c r="Y27" s="12" t="s">
        <v>1038</v>
      </c>
      <c r="AA27" s="14">
        <v>12351</v>
      </c>
      <c r="AB27" s="14" t="s">
        <v>209</v>
      </c>
      <c r="AC27" s="12" t="s">
        <v>172</v>
      </c>
      <c r="AD27" s="15" t="str">
        <f t="shared" si="1"/>
        <v>Aetna - CPD/LNCPD - SME</v>
      </c>
      <c r="AE27" s="12" t="s">
        <v>141</v>
      </c>
      <c r="AF27" s="12" t="s">
        <v>163</v>
      </c>
      <c r="AG27" s="12" t="s">
        <v>164</v>
      </c>
      <c r="AH27" s="12" t="s">
        <v>1038</v>
      </c>
      <c r="AJ27" s="14">
        <v>10088</v>
      </c>
      <c r="AK27" s="14" t="s">
        <v>202</v>
      </c>
    </row>
    <row r="28" spans="2:37">
      <c r="F28" s="45">
        <v>10048</v>
      </c>
      <c r="G28" s="12" t="s">
        <v>117</v>
      </c>
      <c r="H28" s="14"/>
      <c r="L28" s="12">
        <v>10730</v>
      </c>
      <c r="M28" s="30">
        <v>48000</v>
      </c>
      <c r="N28" s="30">
        <v>84000</v>
      </c>
      <c r="R28" s="14">
        <v>10400</v>
      </c>
      <c r="S28" s="14" t="s">
        <v>239</v>
      </c>
      <c r="T28" s="12" t="s">
        <v>196</v>
      </c>
      <c r="U28" s="15" t="str">
        <f t="shared" si="0"/>
        <v>Act! Software - SUT</v>
      </c>
      <c r="V28" s="12" t="s">
        <v>126</v>
      </c>
      <c r="W28" s="12" t="s">
        <v>360</v>
      </c>
      <c r="X28" s="12" t="s">
        <v>361</v>
      </c>
      <c r="Y28" s="12" t="s">
        <v>1038</v>
      </c>
      <c r="AA28" s="14">
        <v>12351</v>
      </c>
      <c r="AB28" s="14" t="s">
        <v>209</v>
      </c>
      <c r="AC28" s="12" t="s">
        <v>145</v>
      </c>
      <c r="AD28" s="15" t="str">
        <f t="shared" si="1"/>
        <v>Aetna - CPD/LNCPD - SUP</v>
      </c>
      <c r="AE28" s="12" t="s">
        <v>141</v>
      </c>
      <c r="AF28" s="12" t="s">
        <v>163</v>
      </c>
      <c r="AG28" s="12" t="s">
        <v>164</v>
      </c>
      <c r="AH28" s="12" t="s">
        <v>1038</v>
      </c>
      <c r="AJ28" s="14">
        <v>10089</v>
      </c>
      <c r="AK28" s="14" t="s">
        <v>207</v>
      </c>
    </row>
    <row r="29" spans="2:37">
      <c r="F29" s="45">
        <v>10049</v>
      </c>
      <c r="G29" s="12" t="s">
        <v>117</v>
      </c>
      <c r="H29" s="14"/>
      <c r="L29" s="12">
        <v>25008</v>
      </c>
      <c r="M29" s="30">
        <v>48000</v>
      </c>
      <c r="N29" s="30">
        <v>84000</v>
      </c>
      <c r="R29" s="14">
        <v>10400</v>
      </c>
      <c r="S29" s="14" t="s">
        <v>239</v>
      </c>
      <c r="T29" s="12" t="s">
        <v>198</v>
      </c>
      <c r="U29" s="15" t="str">
        <f t="shared" si="0"/>
        <v>Act! Software - TEC</v>
      </c>
      <c r="V29" s="12" t="s">
        <v>126</v>
      </c>
      <c r="W29" s="12" t="s">
        <v>360</v>
      </c>
      <c r="X29" s="12" t="s">
        <v>361</v>
      </c>
      <c r="Y29" s="12" t="s">
        <v>1038</v>
      </c>
      <c r="AA29" s="14">
        <v>12351</v>
      </c>
      <c r="AB29" s="14" t="s">
        <v>209</v>
      </c>
      <c r="AC29" s="12" t="s">
        <v>180</v>
      </c>
      <c r="AD29" s="15" t="str">
        <f t="shared" si="1"/>
        <v>Aetna - CPD/LNCPD - TMG</v>
      </c>
      <c r="AE29" s="12" t="s">
        <v>141</v>
      </c>
      <c r="AF29" s="12" t="s">
        <v>163</v>
      </c>
      <c r="AG29" s="12" t="s">
        <v>164</v>
      </c>
      <c r="AH29" s="12" t="s">
        <v>1038</v>
      </c>
      <c r="AJ29" s="14">
        <v>10090</v>
      </c>
      <c r="AK29" s="14" t="s">
        <v>210</v>
      </c>
    </row>
    <row r="30" spans="2:37">
      <c r="F30" s="45">
        <v>10084</v>
      </c>
      <c r="G30" s="12" t="s">
        <v>117</v>
      </c>
      <c r="H30" s="14"/>
      <c r="L30" s="12">
        <v>40096</v>
      </c>
      <c r="M30" s="30">
        <v>48000</v>
      </c>
      <c r="N30" s="30">
        <v>84000</v>
      </c>
      <c r="R30" s="14">
        <v>10400</v>
      </c>
      <c r="S30" s="14" t="s">
        <v>239</v>
      </c>
      <c r="T30" s="12" t="s">
        <v>203</v>
      </c>
      <c r="U30" s="15" t="str">
        <f t="shared" si="0"/>
        <v>Act! Software - TRG</v>
      </c>
      <c r="V30" s="12" t="s">
        <v>112</v>
      </c>
      <c r="W30" s="12" t="s">
        <v>204</v>
      </c>
      <c r="X30" s="12" t="s">
        <v>205</v>
      </c>
      <c r="Y30" s="12" t="s">
        <v>1038</v>
      </c>
      <c r="AA30" s="14">
        <v>12351</v>
      </c>
      <c r="AB30" s="14" t="s">
        <v>209</v>
      </c>
      <c r="AC30" s="12" t="s">
        <v>185</v>
      </c>
      <c r="AD30" s="15" t="str">
        <f t="shared" si="1"/>
        <v>Aetna - CPD/LNCPD - TPS</v>
      </c>
      <c r="AE30" s="12" t="s">
        <v>141</v>
      </c>
      <c r="AF30" s="12" t="s">
        <v>163</v>
      </c>
      <c r="AG30" s="12" t="s">
        <v>164</v>
      </c>
      <c r="AH30" s="12" t="s">
        <v>1038</v>
      </c>
      <c r="AJ30" s="14">
        <v>10091</v>
      </c>
      <c r="AK30" s="14" t="s">
        <v>211</v>
      </c>
    </row>
    <row r="31" spans="2:37">
      <c r="F31" s="45">
        <v>10087</v>
      </c>
      <c r="G31" s="12" t="s">
        <v>117</v>
      </c>
      <c r="H31" s="14"/>
      <c r="L31" s="12">
        <v>40097</v>
      </c>
      <c r="M31" s="30">
        <v>48000</v>
      </c>
      <c r="N31" s="30">
        <v>84000</v>
      </c>
      <c r="R31" s="14">
        <v>10400</v>
      </c>
      <c r="S31" s="14" t="s">
        <v>239</v>
      </c>
      <c r="T31" s="12" t="s">
        <v>208</v>
      </c>
      <c r="U31" s="15" t="str">
        <f t="shared" si="0"/>
        <v>Act! Software - TTR</v>
      </c>
      <c r="V31" s="12" t="s">
        <v>112</v>
      </c>
      <c r="W31" s="12" t="s">
        <v>204</v>
      </c>
      <c r="X31" s="12" t="s">
        <v>205</v>
      </c>
      <c r="Y31" s="12" t="s">
        <v>1038</v>
      </c>
      <c r="AA31" s="14">
        <v>10732</v>
      </c>
      <c r="AB31" s="14" t="s">
        <v>216</v>
      </c>
      <c r="AC31" s="12" t="s">
        <v>116</v>
      </c>
      <c r="AD31" s="15" t="str">
        <f t="shared" si="1"/>
        <v>AFG Support- IT Services - PRD</v>
      </c>
      <c r="AE31" s="12" t="s">
        <v>117</v>
      </c>
      <c r="AF31" s="12" t="s">
        <v>117</v>
      </c>
      <c r="AG31" s="12" t="s">
        <v>117</v>
      </c>
      <c r="AH31" s="12" t="s">
        <v>1038</v>
      </c>
      <c r="AJ31" s="14">
        <v>10097</v>
      </c>
      <c r="AK31" s="14" t="s">
        <v>212</v>
      </c>
    </row>
    <row r="32" spans="2:37">
      <c r="F32" s="45">
        <v>10093</v>
      </c>
      <c r="G32" s="12" t="s">
        <v>117</v>
      </c>
      <c r="H32" s="14"/>
      <c r="L32" s="12">
        <v>40224</v>
      </c>
      <c r="M32" s="30">
        <v>48000</v>
      </c>
      <c r="N32" s="30">
        <v>84000</v>
      </c>
      <c r="R32" s="14">
        <v>51376</v>
      </c>
      <c r="S32" s="14" t="s">
        <v>1044</v>
      </c>
      <c r="T32" s="12" t="s">
        <v>116</v>
      </c>
      <c r="U32" s="15" t="str">
        <f t="shared" si="0"/>
        <v>AdidasCloudInfra - PRD</v>
      </c>
      <c r="V32" s="12" t="s">
        <v>117</v>
      </c>
      <c r="W32" s="12" t="s">
        <v>117</v>
      </c>
      <c r="X32" s="12" t="s">
        <v>117</v>
      </c>
      <c r="Y32" s="12" t="s">
        <v>1038</v>
      </c>
      <c r="AA32" s="14">
        <v>10789</v>
      </c>
      <c r="AB32" s="14" t="s">
        <v>219</v>
      </c>
      <c r="AC32" s="12" t="s">
        <v>150</v>
      </c>
      <c r="AD32" s="15" t="str">
        <f t="shared" si="1"/>
        <v>AirBnb India - CCS</v>
      </c>
      <c r="AE32" s="12" t="s">
        <v>154</v>
      </c>
      <c r="AF32" s="12" t="s">
        <v>127</v>
      </c>
      <c r="AG32" s="12" t="s">
        <v>128</v>
      </c>
      <c r="AH32" s="12" t="s">
        <v>1038</v>
      </c>
      <c r="AJ32" s="14">
        <v>10099</v>
      </c>
      <c r="AK32" s="14" t="s">
        <v>213</v>
      </c>
    </row>
    <row r="33" spans="6:37">
      <c r="F33" s="45">
        <v>10094</v>
      </c>
      <c r="G33" s="12" t="s">
        <v>117</v>
      </c>
      <c r="H33" s="14"/>
      <c r="L33" s="12">
        <v>40225</v>
      </c>
      <c r="M33" s="30">
        <v>48000</v>
      </c>
      <c r="N33" s="30">
        <v>84000</v>
      </c>
      <c r="R33" s="14">
        <v>12457</v>
      </c>
      <c r="S33" s="14" t="s">
        <v>162</v>
      </c>
      <c r="T33" s="12" t="s">
        <v>116</v>
      </c>
      <c r="U33" s="15" t="str">
        <f t="shared" si="0"/>
        <v>ADNIC - Claims Operations - PRD</v>
      </c>
      <c r="V33" s="12" t="s">
        <v>126</v>
      </c>
      <c r="W33" s="12" t="s">
        <v>163</v>
      </c>
      <c r="X33" s="12" t="s">
        <v>164</v>
      </c>
      <c r="Y33" s="12" t="s">
        <v>1038</v>
      </c>
      <c r="AA33" s="14">
        <v>51056</v>
      </c>
      <c r="AB33" s="14" t="s">
        <v>221</v>
      </c>
      <c r="AC33" s="12" t="s">
        <v>116</v>
      </c>
      <c r="AD33" s="15" t="str">
        <f t="shared" si="1"/>
        <v>AJG-InframanagedServices - PRD</v>
      </c>
      <c r="AE33" s="12" t="s">
        <v>117</v>
      </c>
      <c r="AF33" s="12" t="s">
        <v>117</v>
      </c>
      <c r="AG33" s="12" t="s">
        <v>117</v>
      </c>
      <c r="AH33" s="12" t="s">
        <v>1038</v>
      </c>
      <c r="AJ33" s="14">
        <v>10101</v>
      </c>
      <c r="AK33" s="14" t="s">
        <v>1037</v>
      </c>
    </row>
    <row r="34" spans="6:37">
      <c r="F34" s="45">
        <v>10096</v>
      </c>
      <c r="G34" s="12" t="s">
        <v>117</v>
      </c>
      <c r="H34" s="14"/>
      <c r="L34" s="12">
        <v>88025</v>
      </c>
      <c r="M34" s="30">
        <v>48000</v>
      </c>
      <c r="N34" s="30">
        <v>84000</v>
      </c>
      <c r="R34" s="14">
        <v>12457</v>
      </c>
      <c r="S34" s="14" t="s">
        <v>162</v>
      </c>
      <c r="T34" s="12" t="s">
        <v>172</v>
      </c>
      <c r="U34" s="15" t="str">
        <f t="shared" si="0"/>
        <v>ADNIC - Claims Operations - SME</v>
      </c>
      <c r="V34" s="12" t="s">
        <v>126</v>
      </c>
      <c r="W34" s="12" t="s">
        <v>163</v>
      </c>
      <c r="X34" s="12" t="s">
        <v>164</v>
      </c>
      <c r="Y34" s="12" t="s">
        <v>1038</v>
      </c>
      <c r="AA34" s="14">
        <v>12020</v>
      </c>
      <c r="AB34" s="14" t="s">
        <v>223</v>
      </c>
      <c r="AC34" s="12" t="s">
        <v>224</v>
      </c>
      <c r="AD34" s="15" t="str">
        <f t="shared" si="1"/>
        <v>Allscripts _US MSA - ACM</v>
      </c>
      <c r="AE34" s="12" t="s">
        <v>117</v>
      </c>
      <c r="AF34" s="12" t="s">
        <v>117</v>
      </c>
      <c r="AG34" s="12" t="s">
        <v>117</v>
      </c>
      <c r="AH34" s="12" t="s">
        <v>1038</v>
      </c>
      <c r="AJ34" s="14">
        <v>10102</v>
      </c>
      <c r="AK34" s="14" t="s">
        <v>214</v>
      </c>
    </row>
    <row r="35" spans="6:37">
      <c r="F35" s="45">
        <v>10097</v>
      </c>
      <c r="G35" s="12" t="s">
        <v>117</v>
      </c>
      <c r="H35" s="14"/>
      <c r="L35" s="12">
        <v>93005</v>
      </c>
      <c r="M35" s="30">
        <v>48000</v>
      </c>
      <c r="N35" s="30">
        <v>84000</v>
      </c>
      <c r="R35" s="14">
        <v>12457</v>
      </c>
      <c r="S35" s="14" t="s">
        <v>162</v>
      </c>
      <c r="T35" s="12" t="s">
        <v>180</v>
      </c>
      <c r="U35" s="15" t="str">
        <f t="shared" si="0"/>
        <v>ADNIC - Claims Operations - TMG</v>
      </c>
      <c r="V35" s="12" t="s">
        <v>126</v>
      </c>
      <c r="W35" s="12" t="s">
        <v>163</v>
      </c>
      <c r="X35" s="12" t="s">
        <v>164</v>
      </c>
      <c r="Y35" s="12" t="s">
        <v>1038</v>
      </c>
      <c r="AA35" s="14">
        <v>12020</v>
      </c>
      <c r="AB35" s="14" t="s">
        <v>223</v>
      </c>
      <c r="AC35" s="12" t="s">
        <v>133</v>
      </c>
      <c r="AD35" s="15" t="str">
        <f t="shared" si="1"/>
        <v>Allscripts _US MSA - AMG</v>
      </c>
      <c r="AE35" s="12" t="s">
        <v>117</v>
      </c>
      <c r="AF35" s="12" t="s">
        <v>117</v>
      </c>
      <c r="AG35" s="12" t="s">
        <v>117</v>
      </c>
      <c r="AH35" s="12" t="s">
        <v>1038</v>
      </c>
      <c r="AJ35" s="14">
        <v>10104</v>
      </c>
      <c r="AK35" s="14" t="s">
        <v>215</v>
      </c>
    </row>
    <row r="36" spans="6:37">
      <c r="F36" s="45">
        <v>10113</v>
      </c>
      <c r="G36" s="12" t="s">
        <v>117</v>
      </c>
      <c r="H36" s="14"/>
      <c r="L36" s="12">
        <v>93032</v>
      </c>
      <c r="M36" s="30">
        <v>48000</v>
      </c>
      <c r="N36" s="30">
        <v>84000</v>
      </c>
      <c r="R36" s="14">
        <v>12457</v>
      </c>
      <c r="S36" s="14" t="s">
        <v>162</v>
      </c>
      <c r="T36" s="12" t="s">
        <v>185</v>
      </c>
      <c r="U36" s="15" t="str">
        <f t="shared" si="0"/>
        <v>ADNIC - Claims Operations - TPS</v>
      </c>
      <c r="V36" s="12" t="s">
        <v>126</v>
      </c>
      <c r="W36" s="12" t="s">
        <v>163</v>
      </c>
      <c r="X36" s="12" t="s">
        <v>164</v>
      </c>
      <c r="Y36" s="12" t="s">
        <v>1038</v>
      </c>
      <c r="AA36" s="14">
        <v>12020</v>
      </c>
      <c r="AB36" s="14" t="s">
        <v>223</v>
      </c>
      <c r="AC36" s="12" t="s">
        <v>227</v>
      </c>
      <c r="AD36" s="15" t="str">
        <f t="shared" si="1"/>
        <v>Allscripts _US MSA - INT</v>
      </c>
      <c r="AE36" s="12" t="s">
        <v>117</v>
      </c>
      <c r="AF36" s="12" t="s">
        <v>117</v>
      </c>
      <c r="AG36" s="12" t="s">
        <v>117</v>
      </c>
      <c r="AH36" s="12" t="s">
        <v>1038</v>
      </c>
      <c r="AJ36" s="14">
        <v>10105</v>
      </c>
      <c r="AK36" s="14" t="s">
        <v>217</v>
      </c>
    </row>
    <row r="37" spans="6:37">
      <c r="F37" s="45">
        <v>10497</v>
      </c>
      <c r="G37" s="12" t="s">
        <v>117</v>
      </c>
      <c r="H37" s="12"/>
      <c r="L37" s="12">
        <v>93601</v>
      </c>
      <c r="M37" s="30">
        <v>48000</v>
      </c>
      <c r="N37" s="30">
        <v>84000</v>
      </c>
      <c r="R37" s="14">
        <v>10773</v>
      </c>
      <c r="S37" s="14" t="s">
        <v>192</v>
      </c>
      <c r="T37" s="12" t="s">
        <v>193</v>
      </c>
      <c r="U37" s="15" t="str">
        <f t="shared" si="0"/>
        <v>ADNIC L2L3 App Support India - DEV</v>
      </c>
      <c r="V37" s="12" t="s">
        <v>117</v>
      </c>
      <c r="W37" s="12" t="s">
        <v>117</v>
      </c>
      <c r="X37" s="12" t="s">
        <v>117</v>
      </c>
      <c r="Y37" s="12" t="s">
        <v>1038</v>
      </c>
      <c r="AA37" s="14">
        <v>12020</v>
      </c>
      <c r="AB37" s="14" t="s">
        <v>223</v>
      </c>
      <c r="AC37" s="12" t="s">
        <v>116</v>
      </c>
      <c r="AD37" s="15" t="str">
        <f t="shared" si="1"/>
        <v>Allscripts _US MSA - PRD</v>
      </c>
      <c r="AE37" s="12" t="s">
        <v>117</v>
      </c>
      <c r="AF37" s="12" t="s">
        <v>117</v>
      </c>
      <c r="AG37" s="12" t="s">
        <v>117</v>
      </c>
      <c r="AH37" s="12" t="s">
        <v>1038</v>
      </c>
      <c r="AJ37" s="14">
        <v>10107</v>
      </c>
      <c r="AK37" s="14" t="s">
        <v>220</v>
      </c>
    </row>
    <row r="38" spans="6:37">
      <c r="F38" s="45">
        <v>10521</v>
      </c>
      <c r="G38" s="12" t="s">
        <v>117</v>
      </c>
      <c r="H38" s="14"/>
      <c r="R38" s="14">
        <v>10773</v>
      </c>
      <c r="S38" s="14" t="s">
        <v>192</v>
      </c>
      <c r="T38" s="12" t="s">
        <v>129</v>
      </c>
      <c r="U38" s="15" t="str">
        <f t="shared" si="0"/>
        <v>ADNIC L2L3 App Support India - MGT</v>
      </c>
      <c r="V38" s="12" t="s">
        <v>117</v>
      </c>
      <c r="W38" s="12" t="s">
        <v>117</v>
      </c>
      <c r="X38" s="12" t="s">
        <v>117</v>
      </c>
      <c r="Y38" s="12" t="s">
        <v>1038</v>
      </c>
      <c r="AA38" s="14">
        <v>12020</v>
      </c>
      <c r="AB38" s="14" t="s">
        <v>223</v>
      </c>
      <c r="AC38" s="12" t="s">
        <v>230</v>
      </c>
      <c r="AD38" s="15" t="str">
        <f t="shared" si="1"/>
        <v>Allscripts _US MSA - PRSP</v>
      </c>
      <c r="AE38" s="12" t="s">
        <v>117</v>
      </c>
      <c r="AF38" s="12" t="s">
        <v>117</v>
      </c>
      <c r="AG38" s="12" t="s">
        <v>117</v>
      </c>
      <c r="AH38" s="12" t="s">
        <v>1038</v>
      </c>
      <c r="AJ38" s="14">
        <v>10108</v>
      </c>
      <c r="AK38" s="14" t="s">
        <v>1045</v>
      </c>
    </row>
    <row r="39" spans="6:37">
      <c r="F39" s="45">
        <v>10616</v>
      </c>
      <c r="G39" s="12" t="s">
        <v>117</v>
      </c>
      <c r="H39" s="12"/>
      <c r="R39" s="14">
        <v>10773</v>
      </c>
      <c r="S39" s="14" t="s">
        <v>192</v>
      </c>
      <c r="T39" s="12" t="s">
        <v>116</v>
      </c>
      <c r="U39" s="15" t="str">
        <f t="shared" si="0"/>
        <v>ADNIC L2L3 App Support India - PRD</v>
      </c>
      <c r="V39" s="12" t="s">
        <v>117</v>
      </c>
      <c r="W39" s="12" t="s">
        <v>117</v>
      </c>
      <c r="X39" s="12" t="s">
        <v>117</v>
      </c>
      <c r="Y39" s="12" t="s">
        <v>1038</v>
      </c>
      <c r="AA39" s="14">
        <v>12020</v>
      </c>
      <c r="AB39" s="14" t="s">
        <v>223</v>
      </c>
      <c r="AC39" s="12" t="s">
        <v>172</v>
      </c>
      <c r="AD39" s="15" t="str">
        <f t="shared" si="1"/>
        <v>Allscripts _US MSA - SME</v>
      </c>
      <c r="AE39" s="12" t="s">
        <v>117</v>
      </c>
      <c r="AF39" s="12" t="s">
        <v>117</v>
      </c>
      <c r="AG39" s="12" t="s">
        <v>117</v>
      </c>
      <c r="AH39" s="12" t="s">
        <v>1038</v>
      </c>
      <c r="AJ39" s="14">
        <v>10109</v>
      </c>
      <c r="AK39" s="14" t="s">
        <v>222</v>
      </c>
    </row>
    <row r="40" spans="6:37">
      <c r="F40" s="45">
        <v>10682</v>
      </c>
      <c r="G40" s="12" t="s">
        <v>117</v>
      </c>
      <c r="H40" s="12"/>
      <c r="R40" s="14">
        <v>10773</v>
      </c>
      <c r="S40" s="14" t="s">
        <v>192</v>
      </c>
      <c r="T40" s="12" t="s">
        <v>145</v>
      </c>
      <c r="U40" s="15" t="str">
        <f t="shared" si="0"/>
        <v>ADNIC L2L3 App Support India - SUP</v>
      </c>
      <c r="V40" s="12" t="s">
        <v>117</v>
      </c>
      <c r="W40" s="12" t="s">
        <v>117</v>
      </c>
      <c r="X40" s="12" t="s">
        <v>117</v>
      </c>
      <c r="Y40" s="12" t="s">
        <v>1038</v>
      </c>
      <c r="AA40" s="14">
        <v>12020</v>
      </c>
      <c r="AB40" s="14" t="s">
        <v>223</v>
      </c>
      <c r="AC40" s="12" t="s">
        <v>139</v>
      </c>
      <c r="AD40" s="15" t="str">
        <f t="shared" si="1"/>
        <v>Allscripts _US MSA - SMGT</v>
      </c>
      <c r="AE40" s="12" t="s">
        <v>117</v>
      </c>
      <c r="AF40" s="12" t="s">
        <v>117</v>
      </c>
      <c r="AG40" s="12" t="s">
        <v>117</v>
      </c>
      <c r="AH40" s="12" t="s">
        <v>1038</v>
      </c>
      <c r="AJ40" s="14">
        <v>10110</v>
      </c>
      <c r="AK40" s="14" t="s">
        <v>1046</v>
      </c>
    </row>
    <row r="41" spans="6:37">
      <c r="F41" s="45">
        <v>10690</v>
      </c>
      <c r="G41" s="12" t="s">
        <v>117</v>
      </c>
      <c r="H41" s="12"/>
      <c r="R41" s="14">
        <v>10773</v>
      </c>
      <c r="S41" s="14" t="s">
        <v>192</v>
      </c>
      <c r="T41" s="12" t="s">
        <v>185</v>
      </c>
      <c r="U41" s="15" t="str">
        <f t="shared" si="0"/>
        <v>ADNIC L2L3 App Support India - TPS</v>
      </c>
      <c r="V41" s="12" t="s">
        <v>117</v>
      </c>
      <c r="W41" s="12" t="s">
        <v>117</v>
      </c>
      <c r="X41" s="12" t="s">
        <v>117</v>
      </c>
      <c r="Y41" s="12" t="s">
        <v>1038</v>
      </c>
      <c r="AA41" s="14">
        <v>12020</v>
      </c>
      <c r="AB41" s="14" t="s">
        <v>223</v>
      </c>
      <c r="AC41" s="12" t="s">
        <v>145</v>
      </c>
      <c r="AD41" s="15" t="str">
        <f t="shared" si="1"/>
        <v>Allscripts _US MSA - SUP</v>
      </c>
      <c r="AE41" s="12" t="s">
        <v>117</v>
      </c>
      <c r="AF41" s="12" t="s">
        <v>117</v>
      </c>
      <c r="AG41" s="12" t="s">
        <v>117</v>
      </c>
      <c r="AH41" s="12" t="s">
        <v>1038</v>
      </c>
      <c r="AJ41" s="14">
        <v>10112</v>
      </c>
      <c r="AK41" s="14" t="s">
        <v>225</v>
      </c>
    </row>
    <row r="42" spans="6:37">
      <c r="F42" s="45">
        <v>10732</v>
      </c>
      <c r="G42" s="12" t="s">
        <v>117</v>
      </c>
      <c r="H42" s="12"/>
      <c r="R42" s="14">
        <v>40251</v>
      </c>
      <c r="S42" s="14" t="s">
        <v>201</v>
      </c>
      <c r="T42" s="12" t="s">
        <v>145</v>
      </c>
      <c r="U42" s="15" t="str">
        <f t="shared" si="0"/>
        <v>ADNICL2L3AppSupport AbuDhabi - SUP</v>
      </c>
      <c r="V42" s="12" t="s">
        <v>117</v>
      </c>
      <c r="W42" s="12" t="s">
        <v>117</v>
      </c>
      <c r="X42" s="12" t="s">
        <v>117</v>
      </c>
      <c r="Y42" s="12" t="s">
        <v>1038</v>
      </c>
      <c r="AA42" s="14">
        <v>12020</v>
      </c>
      <c r="AB42" s="14" t="s">
        <v>223</v>
      </c>
      <c r="AC42" s="12" t="s">
        <v>185</v>
      </c>
      <c r="AD42" s="15" t="str">
        <f t="shared" si="1"/>
        <v>Allscripts _US MSA - TPS</v>
      </c>
      <c r="AE42" s="12" t="s">
        <v>117</v>
      </c>
      <c r="AF42" s="12" t="s">
        <v>117</v>
      </c>
      <c r="AG42" s="12" t="s">
        <v>117</v>
      </c>
      <c r="AH42" s="12" t="s">
        <v>1038</v>
      </c>
      <c r="AJ42" s="14">
        <v>10113</v>
      </c>
      <c r="AK42" s="14" t="s">
        <v>1047</v>
      </c>
    </row>
    <row r="43" spans="6:37">
      <c r="F43" s="45">
        <v>10745</v>
      </c>
      <c r="G43" s="12" t="s">
        <v>117</v>
      </c>
      <c r="H43" s="14"/>
      <c r="R43" s="14">
        <v>88146</v>
      </c>
      <c r="S43" s="14" t="s">
        <v>206</v>
      </c>
      <c r="T43" s="12" t="s">
        <v>193</v>
      </c>
      <c r="U43" s="15" t="str">
        <f t="shared" si="0"/>
        <v>Advance Hiring - ITS - DEV</v>
      </c>
      <c r="V43" s="12" t="s">
        <v>117</v>
      </c>
      <c r="W43" s="12" t="s">
        <v>117</v>
      </c>
      <c r="X43" s="12" t="s">
        <v>117</v>
      </c>
      <c r="Y43" s="12" t="s">
        <v>1038</v>
      </c>
      <c r="AA43" s="14">
        <v>12426</v>
      </c>
      <c r="AB43" s="14" t="s">
        <v>236</v>
      </c>
      <c r="AC43" s="12" t="s">
        <v>116</v>
      </c>
      <c r="AD43" s="15" t="str">
        <f t="shared" si="1"/>
        <v>AllyAlign Health_Coding - PRD</v>
      </c>
      <c r="AE43" s="12" t="s">
        <v>159</v>
      </c>
      <c r="AF43" s="12" t="s">
        <v>237</v>
      </c>
      <c r="AG43" s="12" t="s">
        <v>238</v>
      </c>
      <c r="AH43" s="12" t="s">
        <v>1038</v>
      </c>
      <c r="AJ43" s="14">
        <v>10117</v>
      </c>
      <c r="AK43" s="14" t="s">
        <v>226</v>
      </c>
    </row>
    <row r="44" spans="6:37">
      <c r="F44" s="45">
        <v>10748</v>
      </c>
      <c r="G44" s="12" t="s">
        <v>117</v>
      </c>
      <c r="H44" s="14"/>
      <c r="R44" s="14">
        <v>88146</v>
      </c>
      <c r="S44" s="14" t="s">
        <v>206</v>
      </c>
      <c r="T44" s="12" t="s">
        <v>262</v>
      </c>
      <c r="U44" s="15" t="str">
        <f t="shared" si="0"/>
        <v>Advance Hiring - ITS - GSI</v>
      </c>
      <c r="V44" s="12" t="s">
        <v>117</v>
      </c>
      <c r="W44" s="12" t="s">
        <v>117</v>
      </c>
      <c r="X44" s="12" t="s">
        <v>117</v>
      </c>
      <c r="Y44" s="12" t="s">
        <v>1038</v>
      </c>
      <c r="AA44" s="14">
        <v>12426</v>
      </c>
      <c r="AB44" s="14" t="s">
        <v>236</v>
      </c>
      <c r="AC44" s="12" t="s">
        <v>230</v>
      </c>
      <c r="AD44" s="15" t="str">
        <f t="shared" si="1"/>
        <v>AllyAlign Health_Coding - PRSP</v>
      </c>
      <c r="AE44" s="12" t="s">
        <v>159</v>
      </c>
      <c r="AF44" s="12" t="s">
        <v>237</v>
      </c>
      <c r="AG44" s="12" t="s">
        <v>238</v>
      </c>
      <c r="AH44" s="12" t="s">
        <v>1038</v>
      </c>
      <c r="AJ44" s="14">
        <v>10118</v>
      </c>
      <c r="AK44" s="14" t="s">
        <v>228</v>
      </c>
    </row>
    <row r="45" spans="6:37">
      <c r="F45" s="45">
        <v>10755</v>
      </c>
      <c r="G45" s="12" t="s">
        <v>117</v>
      </c>
      <c r="H45" s="14"/>
      <c r="R45" s="14">
        <v>88146</v>
      </c>
      <c r="S45" s="14" t="s">
        <v>206</v>
      </c>
      <c r="T45" s="12" t="s">
        <v>129</v>
      </c>
      <c r="U45" s="15" t="str">
        <f t="shared" si="0"/>
        <v>Advance Hiring - ITS - MGT</v>
      </c>
      <c r="V45" s="12" t="s">
        <v>117</v>
      </c>
      <c r="W45" s="12" t="s">
        <v>117</v>
      </c>
      <c r="X45" s="12" t="s">
        <v>117</v>
      </c>
      <c r="Y45" s="12" t="s">
        <v>1038</v>
      </c>
      <c r="AA45" s="14">
        <v>12426</v>
      </c>
      <c r="AB45" s="14" t="s">
        <v>236</v>
      </c>
      <c r="AC45" s="12" t="s">
        <v>185</v>
      </c>
      <c r="AD45" s="15" t="str">
        <f t="shared" si="1"/>
        <v>AllyAlign Health_Coding - TPS</v>
      </c>
      <c r="AE45" s="12" t="s">
        <v>159</v>
      </c>
      <c r="AF45" s="12" t="s">
        <v>237</v>
      </c>
      <c r="AG45" s="12" t="s">
        <v>238</v>
      </c>
      <c r="AH45" s="12" t="s">
        <v>1038</v>
      </c>
      <c r="AJ45" s="14">
        <v>10119</v>
      </c>
      <c r="AK45" s="14" t="s">
        <v>229</v>
      </c>
    </row>
    <row r="46" spans="6:37">
      <c r="F46" s="45">
        <v>10759</v>
      </c>
      <c r="G46" s="12" t="s">
        <v>117</v>
      </c>
      <c r="H46" s="14"/>
      <c r="R46" s="14">
        <v>88146</v>
      </c>
      <c r="S46" s="14" t="s">
        <v>206</v>
      </c>
      <c r="T46" s="12" t="s">
        <v>116</v>
      </c>
      <c r="U46" s="15" t="str">
        <f t="shared" si="0"/>
        <v>Advance Hiring - ITS - PRD</v>
      </c>
      <c r="V46" s="12" t="s">
        <v>117</v>
      </c>
      <c r="W46" s="12" t="s">
        <v>117</v>
      </c>
      <c r="X46" s="12" t="s">
        <v>117</v>
      </c>
      <c r="Y46" s="12" t="s">
        <v>1038</v>
      </c>
      <c r="AA46" s="14">
        <v>12593</v>
      </c>
      <c r="AB46" s="14" t="s">
        <v>242</v>
      </c>
      <c r="AC46" s="12" t="s">
        <v>116</v>
      </c>
      <c r="AD46" s="15" t="str">
        <f t="shared" si="1"/>
        <v>Altera - TW Prof Services - PRD</v>
      </c>
      <c r="AE46" s="12" t="s">
        <v>117</v>
      </c>
      <c r="AF46" s="12" t="s">
        <v>117</v>
      </c>
      <c r="AG46" s="12" t="s">
        <v>117</v>
      </c>
      <c r="AH46" s="12" t="s">
        <v>1038</v>
      </c>
      <c r="AJ46" s="14">
        <v>10120</v>
      </c>
      <c r="AK46" s="14" t="s">
        <v>1048</v>
      </c>
    </row>
    <row r="47" spans="6:37">
      <c r="F47" s="45">
        <v>10773</v>
      </c>
      <c r="G47" s="12" t="s">
        <v>117</v>
      </c>
      <c r="H47" s="12"/>
      <c r="R47" s="14">
        <v>88146</v>
      </c>
      <c r="S47" s="14" t="s">
        <v>206</v>
      </c>
      <c r="T47" s="12" t="s">
        <v>145</v>
      </c>
      <c r="U47" s="15" t="str">
        <f t="shared" si="0"/>
        <v>Advance Hiring - ITS - SUP</v>
      </c>
      <c r="V47" s="12" t="s">
        <v>117</v>
      </c>
      <c r="W47" s="12" t="s">
        <v>117</v>
      </c>
      <c r="X47" s="12" t="s">
        <v>117</v>
      </c>
      <c r="Y47" s="12" t="s">
        <v>1038</v>
      </c>
      <c r="AA47" s="14">
        <v>12593</v>
      </c>
      <c r="AB47" s="14" t="s">
        <v>242</v>
      </c>
      <c r="AC47" s="12" t="s">
        <v>145</v>
      </c>
      <c r="AD47" s="15" t="str">
        <f t="shared" si="1"/>
        <v>Altera - TW Prof Services - SUP</v>
      </c>
      <c r="AE47" s="12" t="s">
        <v>117</v>
      </c>
      <c r="AF47" s="12" t="s">
        <v>117</v>
      </c>
      <c r="AG47" s="12" t="s">
        <v>117</v>
      </c>
      <c r="AH47" s="12" t="s">
        <v>1038</v>
      </c>
      <c r="AJ47" s="14">
        <v>10121</v>
      </c>
      <c r="AK47" s="14" t="s">
        <v>1049</v>
      </c>
    </row>
    <row r="48" spans="6:37">
      <c r="F48" s="45">
        <v>10774</v>
      </c>
      <c r="G48" s="12" t="s">
        <v>117</v>
      </c>
      <c r="H48" s="12"/>
      <c r="R48" s="14">
        <v>88250</v>
      </c>
      <c r="S48" s="14" t="s">
        <v>916</v>
      </c>
      <c r="T48" s="12" t="s">
        <v>116</v>
      </c>
      <c r="U48" s="15" t="str">
        <f t="shared" si="0"/>
        <v>Advance Hiring DES1 - PRD</v>
      </c>
      <c r="V48" s="12" t="s">
        <v>117</v>
      </c>
      <c r="W48" s="12" t="s">
        <v>117</v>
      </c>
      <c r="X48" s="12" t="s">
        <v>117</v>
      </c>
      <c r="Y48" s="12" t="s">
        <v>1038</v>
      </c>
      <c r="AA48" s="14">
        <v>12522</v>
      </c>
      <c r="AB48" s="14" t="s">
        <v>245</v>
      </c>
      <c r="AC48" s="12" t="s">
        <v>116</v>
      </c>
      <c r="AD48" s="15" t="str">
        <f t="shared" si="1"/>
        <v>AmeriHealth Caritas_Credential - PRD</v>
      </c>
      <c r="AE48" s="12" t="s">
        <v>141</v>
      </c>
      <c r="AF48" s="12" t="s">
        <v>163</v>
      </c>
      <c r="AG48" s="12" t="s">
        <v>164</v>
      </c>
      <c r="AH48" s="12" t="s">
        <v>1038</v>
      </c>
      <c r="AJ48" s="14">
        <v>10122</v>
      </c>
      <c r="AK48" s="14" t="s">
        <v>231</v>
      </c>
    </row>
    <row r="49" spans="6:37">
      <c r="F49" s="45">
        <v>10778</v>
      </c>
      <c r="G49" s="12" t="s">
        <v>117</v>
      </c>
      <c r="H49" s="12"/>
      <c r="R49" s="14">
        <v>51581</v>
      </c>
      <c r="S49" s="14" t="s">
        <v>1050</v>
      </c>
      <c r="T49" s="12" t="s">
        <v>116</v>
      </c>
      <c r="U49" s="15" t="str">
        <f t="shared" si="0"/>
        <v>AEG Fuels IT Strategy Roadmap. - PRD</v>
      </c>
      <c r="V49" s="12" t="s">
        <v>117</v>
      </c>
      <c r="W49" s="12" t="s">
        <v>117</v>
      </c>
      <c r="X49" s="12" t="s">
        <v>117</v>
      </c>
      <c r="Y49" s="12" t="s">
        <v>1038</v>
      </c>
      <c r="AA49" s="14">
        <v>12522</v>
      </c>
      <c r="AB49" s="14" t="s">
        <v>245</v>
      </c>
      <c r="AC49" s="12" t="s">
        <v>180</v>
      </c>
      <c r="AD49" s="15" t="str">
        <f t="shared" si="1"/>
        <v>AmeriHealth Caritas_Credential - TMG</v>
      </c>
      <c r="AE49" s="12" t="s">
        <v>141</v>
      </c>
      <c r="AF49" s="12" t="s">
        <v>163</v>
      </c>
      <c r="AG49" s="12" t="s">
        <v>164</v>
      </c>
      <c r="AH49" s="12" t="s">
        <v>1038</v>
      </c>
      <c r="AJ49" s="14">
        <v>10123</v>
      </c>
      <c r="AK49" s="14" t="s">
        <v>232</v>
      </c>
    </row>
    <row r="50" spans="6:37">
      <c r="F50" s="45">
        <v>10781</v>
      </c>
      <c r="G50" s="12" t="s">
        <v>117</v>
      </c>
      <c r="H50" s="12"/>
      <c r="R50" s="14">
        <v>12351</v>
      </c>
      <c r="S50" s="14" t="s">
        <v>209</v>
      </c>
      <c r="T50" s="12" t="s">
        <v>133</v>
      </c>
      <c r="U50" s="15" t="str">
        <f t="shared" si="0"/>
        <v>Aetna - CPD/LNCPD - AMG</v>
      </c>
      <c r="V50" s="12" t="s">
        <v>126</v>
      </c>
      <c r="W50" s="12" t="s">
        <v>163</v>
      </c>
      <c r="X50" s="12" t="s">
        <v>164</v>
      </c>
      <c r="Y50" s="12" t="s">
        <v>1038</v>
      </c>
      <c r="AA50" s="14">
        <v>12522</v>
      </c>
      <c r="AB50" s="14" t="s">
        <v>245</v>
      </c>
      <c r="AC50" s="12" t="s">
        <v>185</v>
      </c>
      <c r="AD50" s="15" t="str">
        <f t="shared" si="1"/>
        <v>AmeriHealth Caritas_Credential - TPS</v>
      </c>
      <c r="AE50" s="12" t="s">
        <v>141</v>
      </c>
      <c r="AF50" s="12" t="s">
        <v>163</v>
      </c>
      <c r="AG50" s="12" t="s">
        <v>164</v>
      </c>
      <c r="AH50" s="12" t="s">
        <v>1038</v>
      </c>
      <c r="AJ50" s="14">
        <v>10162</v>
      </c>
      <c r="AK50" s="14" t="s">
        <v>1051</v>
      </c>
    </row>
    <row r="51" spans="6:37">
      <c r="F51" s="45">
        <v>10785</v>
      </c>
      <c r="G51" s="12" t="s">
        <v>117</v>
      </c>
      <c r="H51" s="12"/>
      <c r="R51" s="14">
        <v>12351</v>
      </c>
      <c r="S51" s="14" t="s">
        <v>209</v>
      </c>
      <c r="T51" s="12" t="s">
        <v>116</v>
      </c>
      <c r="U51" s="15" t="str">
        <f t="shared" si="0"/>
        <v>Aetna - CPD/LNCPD - PRD</v>
      </c>
      <c r="V51" s="12" t="s">
        <v>126</v>
      </c>
      <c r="W51" s="12" t="s">
        <v>163</v>
      </c>
      <c r="X51" s="12" t="s">
        <v>164</v>
      </c>
      <c r="Y51" s="12" t="s">
        <v>1038</v>
      </c>
      <c r="AA51" s="14">
        <v>12538</v>
      </c>
      <c r="AB51" s="14" t="s">
        <v>249</v>
      </c>
      <c r="AC51" s="12" t="s">
        <v>250</v>
      </c>
      <c r="AD51" s="15" t="str">
        <f t="shared" si="1"/>
        <v>AmeriHealth_ProviderEnrollment - LED</v>
      </c>
      <c r="AE51" s="12" t="s">
        <v>141</v>
      </c>
      <c r="AF51" s="12" t="s">
        <v>163</v>
      </c>
      <c r="AG51" s="12" t="s">
        <v>164</v>
      </c>
      <c r="AH51" s="12" t="s">
        <v>1038</v>
      </c>
      <c r="AJ51" s="14">
        <v>10163</v>
      </c>
      <c r="AK51" s="14" t="s">
        <v>1052</v>
      </c>
    </row>
    <row r="52" spans="6:37">
      <c r="F52" s="45">
        <v>10818</v>
      </c>
      <c r="G52" s="12" t="s">
        <v>117</v>
      </c>
      <c r="H52" s="14"/>
      <c r="R52" s="14">
        <v>12351</v>
      </c>
      <c r="S52" s="14" t="s">
        <v>209</v>
      </c>
      <c r="T52" s="12" t="s">
        <v>172</v>
      </c>
      <c r="U52" s="15" t="str">
        <f t="shared" si="0"/>
        <v>Aetna - CPD/LNCPD - SME</v>
      </c>
      <c r="V52" s="12" t="s">
        <v>126</v>
      </c>
      <c r="W52" s="12" t="s">
        <v>163</v>
      </c>
      <c r="X52" s="12" t="s">
        <v>164</v>
      </c>
      <c r="Y52" s="12" t="s">
        <v>1038</v>
      </c>
      <c r="AA52" s="14">
        <v>12538</v>
      </c>
      <c r="AB52" s="14" t="s">
        <v>249</v>
      </c>
      <c r="AC52" s="12" t="s">
        <v>116</v>
      </c>
      <c r="AD52" s="15" t="str">
        <f t="shared" si="1"/>
        <v>AmeriHealth_ProviderEnrollment - PRD</v>
      </c>
      <c r="AE52" s="12" t="s">
        <v>141</v>
      </c>
      <c r="AF52" s="12" t="s">
        <v>163</v>
      </c>
      <c r="AG52" s="12" t="s">
        <v>164</v>
      </c>
      <c r="AH52" s="12" t="s">
        <v>1038</v>
      </c>
      <c r="AJ52" s="14">
        <v>10200</v>
      </c>
      <c r="AK52" s="14" t="s">
        <v>233</v>
      </c>
    </row>
    <row r="53" spans="6:37">
      <c r="F53" s="45">
        <v>10824</v>
      </c>
      <c r="G53" s="12" t="s">
        <v>117</v>
      </c>
      <c r="H53" s="14"/>
      <c r="R53" s="14">
        <v>12351</v>
      </c>
      <c r="S53" s="14" t="s">
        <v>209</v>
      </c>
      <c r="T53" s="12" t="s">
        <v>180</v>
      </c>
      <c r="U53" s="15" t="str">
        <f t="shared" si="0"/>
        <v>Aetna - CPD/LNCPD - TMG</v>
      </c>
      <c r="V53" s="12" t="s">
        <v>126</v>
      </c>
      <c r="W53" s="12" t="s">
        <v>163</v>
      </c>
      <c r="X53" s="12" t="s">
        <v>164</v>
      </c>
      <c r="Y53" s="12" t="s">
        <v>1038</v>
      </c>
      <c r="AA53" s="14">
        <v>12538</v>
      </c>
      <c r="AB53" s="14" t="s">
        <v>249</v>
      </c>
      <c r="AC53" s="12" t="s">
        <v>139</v>
      </c>
      <c r="AD53" s="15" t="str">
        <f t="shared" si="1"/>
        <v>AmeriHealth_ProviderEnrollment - SMGT</v>
      </c>
      <c r="AE53" s="12" t="s">
        <v>141</v>
      </c>
      <c r="AF53" s="12" t="s">
        <v>163</v>
      </c>
      <c r="AG53" s="12" t="s">
        <v>164</v>
      </c>
      <c r="AH53" s="12" t="s">
        <v>1038</v>
      </c>
      <c r="AJ53" s="14">
        <v>10211</v>
      </c>
      <c r="AK53" s="14" t="s">
        <v>234</v>
      </c>
    </row>
    <row r="54" spans="6:37">
      <c r="F54" s="45">
        <v>10827</v>
      </c>
      <c r="G54" s="12" t="s">
        <v>117</v>
      </c>
      <c r="H54" s="14"/>
      <c r="R54" s="14">
        <v>12351</v>
      </c>
      <c r="S54" s="14" t="s">
        <v>209</v>
      </c>
      <c r="T54" s="12" t="s">
        <v>185</v>
      </c>
      <c r="U54" s="15" t="str">
        <f t="shared" si="0"/>
        <v>Aetna - CPD/LNCPD - TPS</v>
      </c>
      <c r="V54" s="12" t="s">
        <v>126</v>
      </c>
      <c r="W54" s="12" t="s">
        <v>163</v>
      </c>
      <c r="X54" s="12" t="s">
        <v>164</v>
      </c>
      <c r="Y54" s="12" t="s">
        <v>1038</v>
      </c>
      <c r="AA54" s="14">
        <v>12538</v>
      </c>
      <c r="AB54" s="14" t="s">
        <v>249</v>
      </c>
      <c r="AC54" s="12" t="s">
        <v>180</v>
      </c>
      <c r="AD54" s="15" t="str">
        <f t="shared" si="1"/>
        <v>AmeriHealth_ProviderEnrollment - TMG</v>
      </c>
      <c r="AE54" s="12" t="s">
        <v>141</v>
      </c>
      <c r="AF54" s="12" t="s">
        <v>163</v>
      </c>
      <c r="AG54" s="12" t="s">
        <v>164</v>
      </c>
      <c r="AH54" s="12" t="s">
        <v>1038</v>
      </c>
      <c r="AJ54" s="14">
        <v>10217</v>
      </c>
      <c r="AK54" s="14" t="s">
        <v>235</v>
      </c>
    </row>
    <row r="55" spans="6:37">
      <c r="F55" s="45">
        <v>10833</v>
      </c>
      <c r="G55" s="12" t="s">
        <v>117</v>
      </c>
      <c r="H55" s="14"/>
      <c r="R55" s="14">
        <v>10876</v>
      </c>
      <c r="S55" s="14" t="s">
        <v>435</v>
      </c>
      <c r="T55" s="12" t="s">
        <v>138</v>
      </c>
      <c r="U55" s="15" t="str">
        <f t="shared" si="0"/>
        <v>Aetna Insurance - BOS</v>
      </c>
      <c r="V55" s="12" t="s">
        <v>126</v>
      </c>
      <c r="W55" s="12" t="s">
        <v>163</v>
      </c>
      <c r="X55" s="12" t="s">
        <v>164</v>
      </c>
      <c r="Y55" s="12" t="s">
        <v>1038</v>
      </c>
      <c r="AA55" s="14">
        <v>12538</v>
      </c>
      <c r="AB55" s="14" t="s">
        <v>249</v>
      </c>
      <c r="AC55" s="12" t="s">
        <v>185</v>
      </c>
      <c r="AD55" s="15" t="str">
        <f t="shared" si="1"/>
        <v>AmeriHealth_ProviderEnrollment - TPS</v>
      </c>
      <c r="AE55" s="12" t="s">
        <v>141</v>
      </c>
      <c r="AF55" s="12" t="s">
        <v>163</v>
      </c>
      <c r="AG55" s="12" t="s">
        <v>164</v>
      </c>
      <c r="AH55" s="12" t="s">
        <v>1038</v>
      </c>
      <c r="AJ55" s="14">
        <v>10400</v>
      </c>
      <c r="AK55" s="14" t="s">
        <v>239</v>
      </c>
    </row>
    <row r="56" spans="6:37">
      <c r="F56" s="45">
        <v>10834</v>
      </c>
      <c r="G56" s="12" t="s">
        <v>117</v>
      </c>
      <c r="H56" s="14"/>
      <c r="R56" s="14">
        <v>10876</v>
      </c>
      <c r="S56" s="14" t="s">
        <v>435</v>
      </c>
      <c r="T56" s="12" t="s">
        <v>306</v>
      </c>
      <c r="U56" s="15" t="str">
        <f t="shared" si="0"/>
        <v>Aetna Insurance - FAO</v>
      </c>
      <c r="V56" s="12" t="s">
        <v>126</v>
      </c>
      <c r="W56" s="12" t="s">
        <v>163</v>
      </c>
      <c r="X56" s="12" t="s">
        <v>164</v>
      </c>
      <c r="Y56" s="12" t="s">
        <v>1038</v>
      </c>
      <c r="AA56" s="14">
        <v>93675</v>
      </c>
      <c r="AB56" s="14" t="s">
        <v>256</v>
      </c>
      <c r="AC56" s="12" t="s">
        <v>145</v>
      </c>
      <c r="AD56" s="15" t="str">
        <f t="shared" si="1"/>
        <v>Analyst &amp; Advisor Relations - SUP</v>
      </c>
      <c r="AE56" s="12" t="s">
        <v>118</v>
      </c>
      <c r="AF56" s="12" t="s">
        <v>257</v>
      </c>
      <c r="AG56" s="12" t="s">
        <v>114</v>
      </c>
      <c r="AH56" s="12" t="s">
        <v>1038</v>
      </c>
      <c r="AJ56" s="14">
        <v>10470</v>
      </c>
      <c r="AK56" s="14" t="s">
        <v>240</v>
      </c>
    </row>
    <row r="57" spans="6:37">
      <c r="F57" s="45">
        <v>10844</v>
      </c>
      <c r="G57" s="12" t="s">
        <v>117</v>
      </c>
      <c r="H57" s="14"/>
      <c r="R57" s="14">
        <v>10876</v>
      </c>
      <c r="S57" s="14" t="s">
        <v>435</v>
      </c>
      <c r="T57" s="12" t="s">
        <v>180</v>
      </c>
      <c r="U57" s="15" t="str">
        <f t="shared" si="0"/>
        <v>Aetna Insurance - TMG</v>
      </c>
      <c r="V57" s="12" t="s">
        <v>126</v>
      </c>
      <c r="W57" s="12" t="s">
        <v>163</v>
      </c>
      <c r="X57" s="12" t="s">
        <v>164</v>
      </c>
      <c r="Y57" s="12" t="s">
        <v>1038</v>
      </c>
      <c r="AA57" s="14">
        <v>12498</v>
      </c>
      <c r="AB57" s="14" t="s">
        <v>259</v>
      </c>
      <c r="AC57" s="12" t="s">
        <v>185</v>
      </c>
      <c r="AD57" s="15" t="str">
        <f t="shared" si="1"/>
        <v>Anthem - Provider Enrollment - TPS</v>
      </c>
      <c r="AE57" s="12" t="s">
        <v>141</v>
      </c>
      <c r="AF57" s="12" t="s">
        <v>163</v>
      </c>
      <c r="AG57" s="12" t="s">
        <v>164</v>
      </c>
      <c r="AH57" s="12" t="s">
        <v>1038</v>
      </c>
      <c r="AJ57" s="14">
        <v>10471</v>
      </c>
      <c r="AK57" s="14" t="s">
        <v>241</v>
      </c>
    </row>
    <row r="58" spans="6:37">
      <c r="F58" s="45">
        <v>10858</v>
      </c>
      <c r="G58" s="12" t="s">
        <v>117</v>
      </c>
      <c r="H58" s="14"/>
      <c r="R58" s="14">
        <v>10901</v>
      </c>
      <c r="S58" s="14" t="s">
        <v>444</v>
      </c>
      <c r="T58" s="12" t="s">
        <v>185</v>
      </c>
      <c r="U58" s="15" t="str">
        <f t="shared" si="0"/>
        <v>AFG Back Off and Pol Migration - TPS</v>
      </c>
      <c r="V58" s="12" t="s">
        <v>126</v>
      </c>
      <c r="W58" s="12" t="s">
        <v>163</v>
      </c>
      <c r="X58" s="12" t="s">
        <v>164</v>
      </c>
      <c r="Y58" s="12" t="s">
        <v>1038</v>
      </c>
      <c r="AA58" s="14">
        <v>95302</v>
      </c>
      <c r="AB58" s="14" t="s">
        <v>261</v>
      </c>
      <c r="AC58" s="12" t="s">
        <v>262</v>
      </c>
      <c r="AD58" s="15" t="str">
        <f t="shared" si="1"/>
        <v>Application Support - GSI</v>
      </c>
      <c r="AE58" s="12" t="s">
        <v>118</v>
      </c>
      <c r="AF58" s="12" t="s">
        <v>263</v>
      </c>
      <c r="AG58" s="12" t="s">
        <v>264</v>
      </c>
      <c r="AH58" s="12" t="s">
        <v>1038</v>
      </c>
      <c r="AJ58" s="14">
        <v>10482</v>
      </c>
      <c r="AK58" s="14" t="s">
        <v>243</v>
      </c>
    </row>
    <row r="59" spans="6:37">
      <c r="F59" s="45">
        <v>10859</v>
      </c>
      <c r="G59" s="12" t="s">
        <v>117</v>
      </c>
      <c r="H59" s="14"/>
      <c r="R59" s="14">
        <v>10732</v>
      </c>
      <c r="S59" s="14" t="s">
        <v>216</v>
      </c>
      <c r="T59" s="12" t="s">
        <v>116</v>
      </c>
      <c r="U59" s="15" t="str">
        <f t="shared" si="0"/>
        <v>AFG Support- IT Services - PRD</v>
      </c>
      <c r="V59" s="12" t="s">
        <v>117</v>
      </c>
      <c r="W59" s="12" t="s">
        <v>117</v>
      </c>
      <c r="X59" s="12" t="s">
        <v>117</v>
      </c>
      <c r="Y59" s="12" t="s">
        <v>1038</v>
      </c>
      <c r="AA59" s="14">
        <v>95302</v>
      </c>
      <c r="AB59" s="14" t="s">
        <v>261</v>
      </c>
      <c r="AC59" s="12" t="s">
        <v>177</v>
      </c>
      <c r="AD59" s="15" t="str">
        <f t="shared" si="1"/>
        <v>Application Support - OPS</v>
      </c>
      <c r="AE59" s="12" t="s">
        <v>118</v>
      </c>
      <c r="AF59" s="12" t="s">
        <v>263</v>
      </c>
      <c r="AG59" s="12" t="s">
        <v>264</v>
      </c>
      <c r="AH59" s="12" t="s">
        <v>1038</v>
      </c>
      <c r="AJ59" s="14">
        <v>10484</v>
      </c>
      <c r="AK59" s="14" t="s">
        <v>244</v>
      </c>
    </row>
    <row r="60" spans="6:37">
      <c r="F60" s="45">
        <v>10864</v>
      </c>
      <c r="G60" s="12" t="s">
        <v>117</v>
      </c>
      <c r="H60" s="14"/>
      <c r="R60" s="14">
        <v>10732</v>
      </c>
      <c r="S60" s="14" t="s">
        <v>216</v>
      </c>
      <c r="T60" s="12" t="s">
        <v>145</v>
      </c>
      <c r="U60" s="15" t="str">
        <f t="shared" si="0"/>
        <v>AFG Support- IT Services - SUP</v>
      </c>
      <c r="V60" s="12" t="s">
        <v>117</v>
      </c>
      <c r="W60" s="12" t="s">
        <v>117</v>
      </c>
      <c r="X60" s="12" t="s">
        <v>117</v>
      </c>
      <c r="Y60" s="12" t="s">
        <v>1038</v>
      </c>
      <c r="AA60" s="14">
        <v>95302</v>
      </c>
      <c r="AB60" s="14" t="s">
        <v>261</v>
      </c>
      <c r="AC60" s="12" t="s">
        <v>145</v>
      </c>
      <c r="AD60" s="15" t="str">
        <f t="shared" si="1"/>
        <v>Application Support - SUP</v>
      </c>
      <c r="AE60" s="12" t="s">
        <v>118</v>
      </c>
      <c r="AF60" s="12" t="s">
        <v>263</v>
      </c>
      <c r="AG60" s="12" t="s">
        <v>264</v>
      </c>
      <c r="AH60" s="12" t="s">
        <v>1038</v>
      </c>
      <c r="AJ60" s="14">
        <v>10487</v>
      </c>
      <c r="AK60" s="14" t="s">
        <v>246</v>
      </c>
    </row>
    <row r="61" spans="6:37">
      <c r="F61" s="45">
        <v>10865</v>
      </c>
      <c r="G61" s="12" t="s">
        <v>117</v>
      </c>
      <c r="H61" s="14"/>
      <c r="R61" s="14">
        <v>18065</v>
      </c>
      <c r="S61" s="14" t="s">
        <v>628</v>
      </c>
      <c r="T61" s="12" t="s">
        <v>116</v>
      </c>
      <c r="U61" s="15" t="str">
        <f t="shared" si="0"/>
        <v>AHL UW Index - PRD</v>
      </c>
      <c r="V61" s="12" t="s">
        <v>126</v>
      </c>
      <c r="W61" s="12" t="s">
        <v>163</v>
      </c>
      <c r="X61" s="12" t="s">
        <v>164</v>
      </c>
      <c r="Y61" s="12" t="s">
        <v>1038</v>
      </c>
      <c r="AA61" s="14">
        <v>95230</v>
      </c>
      <c r="AB61" s="14" t="s">
        <v>268</v>
      </c>
      <c r="AC61" s="12" t="s">
        <v>262</v>
      </c>
      <c r="AD61" s="15" t="str">
        <f t="shared" si="1"/>
        <v>Application Testing - GSI</v>
      </c>
      <c r="AE61" s="12" t="s">
        <v>118</v>
      </c>
      <c r="AF61" s="12" t="s">
        <v>263</v>
      </c>
      <c r="AG61" s="12" t="s">
        <v>264</v>
      </c>
      <c r="AH61" s="12" t="s">
        <v>1038</v>
      </c>
      <c r="AJ61" s="14">
        <v>10489</v>
      </c>
      <c r="AK61" s="14" t="s">
        <v>247</v>
      </c>
    </row>
    <row r="62" spans="6:37">
      <c r="F62" s="45">
        <v>10868</v>
      </c>
      <c r="G62" s="12" t="s">
        <v>117</v>
      </c>
      <c r="H62" s="14"/>
      <c r="R62" s="14">
        <v>18065</v>
      </c>
      <c r="S62" s="14" t="s">
        <v>628</v>
      </c>
      <c r="T62" s="12" t="s">
        <v>185</v>
      </c>
      <c r="U62" s="15" t="str">
        <f t="shared" si="0"/>
        <v>AHL UW Index - TPS</v>
      </c>
      <c r="V62" s="12" t="s">
        <v>126</v>
      </c>
      <c r="W62" s="12" t="s">
        <v>163</v>
      </c>
      <c r="X62" s="12" t="s">
        <v>164</v>
      </c>
      <c r="Y62" s="12" t="s">
        <v>1038</v>
      </c>
      <c r="AA62" s="14">
        <v>95230</v>
      </c>
      <c r="AB62" s="14" t="s">
        <v>268</v>
      </c>
      <c r="AC62" s="12" t="s">
        <v>145</v>
      </c>
      <c r="AD62" s="15" t="str">
        <f t="shared" si="1"/>
        <v>Application Testing - SUP</v>
      </c>
      <c r="AE62" s="12" t="s">
        <v>118</v>
      </c>
      <c r="AF62" s="12" t="s">
        <v>263</v>
      </c>
      <c r="AG62" s="12" t="s">
        <v>264</v>
      </c>
      <c r="AH62" s="12" t="s">
        <v>1038</v>
      </c>
      <c r="AJ62" s="14">
        <v>10494</v>
      </c>
      <c r="AK62" s="14" t="s">
        <v>248</v>
      </c>
    </row>
    <row r="63" spans="6:37">
      <c r="F63" s="45">
        <v>10904</v>
      </c>
      <c r="G63" s="12" t="s">
        <v>117</v>
      </c>
      <c r="H63" s="14"/>
      <c r="R63" s="14">
        <v>82016</v>
      </c>
      <c r="S63" s="14" t="s">
        <v>871</v>
      </c>
      <c r="T63" s="12" t="s">
        <v>198</v>
      </c>
      <c r="U63" s="15" t="str">
        <f t="shared" si="0"/>
        <v>AI Center of Excellence - TEC</v>
      </c>
      <c r="V63" s="12" t="s">
        <v>104</v>
      </c>
      <c r="W63" s="12" t="s">
        <v>117</v>
      </c>
      <c r="X63" s="12" t="s">
        <v>117</v>
      </c>
      <c r="Y63" s="12" t="s">
        <v>1038</v>
      </c>
      <c r="AA63" s="14">
        <v>33002</v>
      </c>
      <c r="AB63" s="14" t="s">
        <v>272</v>
      </c>
      <c r="AC63" s="12" t="s">
        <v>145</v>
      </c>
      <c r="AD63" s="15" t="str">
        <f t="shared" si="1"/>
        <v>Aramco - GSBS - SUP</v>
      </c>
      <c r="AE63" s="12" t="s">
        <v>117</v>
      </c>
      <c r="AF63" s="12" t="s">
        <v>117</v>
      </c>
      <c r="AG63" s="12" t="s">
        <v>117</v>
      </c>
      <c r="AH63" s="12" t="s">
        <v>1038</v>
      </c>
      <c r="AJ63" s="14">
        <v>10498</v>
      </c>
      <c r="AK63" s="14" t="s">
        <v>251</v>
      </c>
    </row>
    <row r="64" spans="6:37">
      <c r="F64" s="45">
        <v>10906</v>
      </c>
      <c r="G64" s="12" t="s">
        <v>117</v>
      </c>
      <c r="H64" s="14"/>
      <c r="R64" s="14">
        <v>10643</v>
      </c>
      <c r="S64" s="14" t="s">
        <v>281</v>
      </c>
      <c r="T64" s="12" t="s">
        <v>116</v>
      </c>
      <c r="U64" s="15" t="str">
        <f t="shared" si="0"/>
        <v>Air Europa FDS - PRD</v>
      </c>
      <c r="V64" s="12" t="s">
        <v>126</v>
      </c>
      <c r="W64" s="12" t="s">
        <v>163</v>
      </c>
      <c r="X64" s="12" t="s">
        <v>164</v>
      </c>
      <c r="Y64" s="12" t="s">
        <v>1038</v>
      </c>
      <c r="AA64" s="14">
        <v>10949</v>
      </c>
      <c r="AB64" s="14" t="s">
        <v>274</v>
      </c>
      <c r="AC64" s="12" t="s">
        <v>145</v>
      </c>
      <c r="AD64" s="15" t="str">
        <f t="shared" si="1"/>
        <v>Arch Re Offshore Tech JC - SUP</v>
      </c>
      <c r="AE64" s="12" t="s">
        <v>117</v>
      </c>
      <c r="AF64" s="12" t="s">
        <v>117</v>
      </c>
      <c r="AG64" s="12" t="s">
        <v>117</v>
      </c>
      <c r="AH64" s="12" t="s">
        <v>1038</v>
      </c>
      <c r="AJ64" s="14">
        <v>10499</v>
      </c>
      <c r="AK64" s="14" t="s">
        <v>252</v>
      </c>
    </row>
    <row r="65" spans="6:37">
      <c r="F65" s="45">
        <v>10910</v>
      </c>
      <c r="G65" s="12" t="s">
        <v>117</v>
      </c>
      <c r="H65" s="14"/>
      <c r="R65" s="14">
        <v>10643</v>
      </c>
      <c r="S65" s="14" t="s">
        <v>281</v>
      </c>
      <c r="T65" s="12" t="s">
        <v>180</v>
      </c>
      <c r="U65" s="15" t="str">
        <f t="shared" si="0"/>
        <v>Air Europa FDS - TMG</v>
      </c>
      <c r="V65" s="12" t="s">
        <v>126</v>
      </c>
      <c r="W65" s="12" t="s">
        <v>163</v>
      </c>
      <c r="X65" s="12" t="s">
        <v>164</v>
      </c>
      <c r="Y65" s="12" t="s">
        <v>1038</v>
      </c>
      <c r="AA65" s="14">
        <v>12621</v>
      </c>
      <c r="AB65" s="14" t="s">
        <v>276</v>
      </c>
      <c r="AC65" s="12" t="s">
        <v>116</v>
      </c>
      <c r="AD65" s="15" t="str">
        <f t="shared" si="1"/>
        <v>Arkansas - Report Development - PRD</v>
      </c>
      <c r="AE65" s="12" t="s">
        <v>117</v>
      </c>
      <c r="AF65" s="12" t="s">
        <v>117</v>
      </c>
      <c r="AG65" s="12" t="s">
        <v>117</v>
      </c>
      <c r="AH65" s="12" t="s">
        <v>1038</v>
      </c>
      <c r="AJ65" s="14">
        <v>10502</v>
      </c>
      <c r="AK65" s="14" t="s">
        <v>253</v>
      </c>
    </row>
    <row r="66" spans="6:37">
      <c r="F66" s="45">
        <v>10915</v>
      </c>
      <c r="G66" s="12" t="s">
        <v>117</v>
      </c>
      <c r="H66" s="14"/>
      <c r="R66" s="14">
        <v>10643</v>
      </c>
      <c r="S66" s="14" t="s">
        <v>281</v>
      </c>
      <c r="T66" s="12" t="s">
        <v>185</v>
      </c>
      <c r="U66" s="15" t="str">
        <f t="shared" si="0"/>
        <v>Air Europa FDS - TPS</v>
      </c>
      <c r="V66" s="12" t="s">
        <v>126</v>
      </c>
      <c r="W66" s="12" t="s">
        <v>163</v>
      </c>
      <c r="X66" s="12" t="s">
        <v>164</v>
      </c>
      <c r="Y66" s="12" t="s">
        <v>1038</v>
      </c>
      <c r="AA66" s="14">
        <v>12567</v>
      </c>
      <c r="AB66" s="14" t="s">
        <v>278</v>
      </c>
      <c r="AC66" s="12" t="s">
        <v>185</v>
      </c>
      <c r="AD66" s="15" t="str">
        <f t="shared" si="1"/>
        <v>Athena - Coding - TPS</v>
      </c>
      <c r="AE66" s="12" t="s">
        <v>159</v>
      </c>
      <c r="AF66" s="12" t="s">
        <v>237</v>
      </c>
      <c r="AG66" s="12" t="s">
        <v>238</v>
      </c>
      <c r="AH66" s="12" t="s">
        <v>1038</v>
      </c>
      <c r="AJ66" s="14">
        <v>10505</v>
      </c>
      <c r="AK66" s="14" t="s">
        <v>254</v>
      </c>
    </row>
    <row r="67" spans="6:37">
      <c r="F67" s="45">
        <v>10942</v>
      </c>
      <c r="G67" s="12" t="s">
        <v>117</v>
      </c>
      <c r="H67" s="14"/>
      <c r="R67" s="14">
        <v>10902</v>
      </c>
      <c r="S67" s="14" t="s">
        <v>446</v>
      </c>
      <c r="T67" s="12" t="s">
        <v>116</v>
      </c>
      <c r="U67" s="15" t="str">
        <f t="shared" ref="U67:U130" si="3">S67&amp;" - "&amp;T67</f>
        <v>Air Niugini India - PRD</v>
      </c>
      <c r="V67" s="12" t="s">
        <v>104</v>
      </c>
      <c r="W67" s="12" t="s">
        <v>117</v>
      </c>
      <c r="X67" s="12" t="s">
        <v>117</v>
      </c>
      <c r="Y67" s="12" t="s">
        <v>1038</v>
      </c>
      <c r="AA67" s="14">
        <v>12602</v>
      </c>
      <c r="AB67" s="14" t="s">
        <v>280</v>
      </c>
      <c r="AC67" s="12" t="s">
        <v>116</v>
      </c>
      <c r="AD67" s="15" t="str">
        <f t="shared" ref="AD67:AD130" si="4">AB67&amp;" - "&amp;AC67</f>
        <v>Athena - Coding - NFB - PRD</v>
      </c>
      <c r="AE67" s="12" t="s">
        <v>159</v>
      </c>
      <c r="AF67" s="12" t="s">
        <v>237</v>
      </c>
      <c r="AG67" s="12" t="s">
        <v>238</v>
      </c>
      <c r="AH67" s="12" t="s">
        <v>1038</v>
      </c>
      <c r="AJ67" s="14">
        <v>10506</v>
      </c>
      <c r="AK67" s="14" t="s">
        <v>255</v>
      </c>
    </row>
    <row r="68" spans="6:37">
      <c r="F68" s="45">
        <v>10947</v>
      </c>
      <c r="G68" s="12" t="s">
        <v>117</v>
      </c>
      <c r="H68" s="14"/>
      <c r="R68" s="14">
        <v>10902</v>
      </c>
      <c r="S68" s="14" t="s">
        <v>446</v>
      </c>
      <c r="T68" s="12" t="s">
        <v>134</v>
      </c>
      <c r="U68" s="15" t="str">
        <f t="shared" si="3"/>
        <v>Air Niugini India - SEC</v>
      </c>
      <c r="V68" s="12" t="s">
        <v>104</v>
      </c>
      <c r="W68" s="12" t="s">
        <v>117</v>
      </c>
      <c r="X68" s="12" t="s">
        <v>117</v>
      </c>
      <c r="Y68" s="12" t="s">
        <v>1038</v>
      </c>
      <c r="AA68" s="14">
        <v>12557</v>
      </c>
      <c r="AB68" s="14" t="s">
        <v>282</v>
      </c>
      <c r="AC68" s="12" t="s">
        <v>145</v>
      </c>
      <c r="AD68" s="15" t="str">
        <f t="shared" si="4"/>
        <v>Athena - Community Hosp Coding - SUP</v>
      </c>
      <c r="AE68" s="12" t="s">
        <v>159</v>
      </c>
      <c r="AF68" s="12" t="s">
        <v>237</v>
      </c>
      <c r="AG68" s="12" t="s">
        <v>238</v>
      </c>
      <c r="AH68" s="12" t="s">
        <v>1038</v>
      </c>
      <c r="AJ68" s="14">
        <v>10507</v>
      </c>
      <c r="AK68" s="14" t="s">
        <v>258</v>
      </c>
    </row>
    <row r="69" spans="6:37">
      <c r="F69" s="45">
        <v>10949</v>
      </c>
      <c r="G69" s="12" t="s">
        <v>117</v>
      </c>
      <c r="H69" s="14"/>
      <c r="R69" s="14">
        <v>10119</v>
      </c>
      <c r="S69" s="14" t="s">
        <v>229</v>
      </c>
      <c r="T69" s="12" t="s">
        <v>150</v>
      </c>
      <c r="U69" s="15" t="str">
        <f t="shared" si="3"/>
        <v>Air Niugini_ARM - CCS</v>
      </c>
      <c r="V69" s="12" t="s">
        <v>126</v>
      </c>
      <c r="W69" s="12" t="s">
        <v>163</v>
      </c>
      <c r="X69" s="12" t="s">
        <v>164</v>
      </c>
      <c r="Y69" s="12" t="s">
        <v>1038</v>
      </c>
      <c r="AA69" s="14">
        <v>12624</v>
      </c>
      <c r="AB69" s="14" t="s">
        <v>284</v>
      </c>
      <c r="AC69" s="12" t="s">
        <v>185</v>
      </c>
      <c r="AD69" s="15" t="str">
        <f t="shared" si="4"/>
        <v>Athena - Cred - TPS</v>
      </c>
      <c r="AE69" s="12" t="s">
        <v>154</v>
      </c>
      <c r="AF69" s="12" t="s">
        <v>163</v>
      </c>
      <c r="AG69" s="12" t="s">
        <v>164</v>
      </c>
      <c r="AH69" s="12" t="s">
        <v>1038</v>
      </c>
      <c r="AJ69" s="14">
        <v>10510</v>
      </c>
      <c r="AK69" s="14" t="s">
        <v>260</v>
      </c>
    </row>
    <row r="70" spans="6:37">
      <c r="F70" s="45">
        <v>12020</v>
      </c>
      <c r="G70" s="12" t="s">
        <v>117</v>
      </c>
      <c r="H70" s="14"/>
      <c r="R70" s="14">
        <v>10016</v>
      </c>
      <c r="S70" s="14" t="s">
        <v>157</v>
      </c>
      <c r="T70" s="12" t="s">
        <v>150</v>
      </c>
      <c r="U70" s="15" t="str">
        <f t="shared" si="3"/>
        <v>Air Niugini_Audit. - CCS</v>
      </c>
      <c r="V70" s="12" t="s">
        <v>126</v>
      </c>
      <c r="W70" s="12" t="s">
        <v>163</v>
      </c>
      <c r="X70" s="12" t="s">
        <v>164</v>
      </c>
      <c r="Y70" s="12" t="s">
        <v>1038</v>
      </c>
      <c r="AA70" s="14">
        <v>12600</v>
      </c>
      <c r="AB70" s="14" t="s">
        <v>286</v>
      </c>
      <c r="AC70" s="12" t="s">
        <v>116</v>
      </c>
      <c r="AD70" s="15" t="str">
        <f t="shared" si="4"/>
        <v>Athena - IN COMPASS Coding - PRD</v>
      </c>
      <c r="AE70" s="12" t="s">
        <v>159</v>
      </c>
      <c r="AF70" s="12" t="s">
        <v>237</v>
      </c>
      <c r="AG70" s="12" t="s">
        <v>238</v>
      </c>
      <c r="AH70" s="12" t="s">
        <v>1038</v>
      </c>
      <c r="AJ70" s="14">
        <v>10512</v>
      </c>
      <c r="AK70" s="14" t="s">
        <v>265</v>
      </c>
    </row>
    <row r="71" spans="6:37">
      <c r="F71" s="45">
        <v>12079</v>
      </c>
      <c r="G71" s="12" t="s">
        <v>117</v>
      </c>
      <c r="H71" s="14"/>
      <c r="R71" s="14">
        <v>10099</v>
      </c>
      <c r="S71" s="14" t="s">
        <v>213</v>
      </c>
      <c r="T71" s="12" t="s">
        <v>150</v>
      </c>
      <c r="U71" s="15" t="str">
        <f t="shared" si="3"/>
        <v>Airbnb Aircover Insurance - CCS</v>
      </c>
      <c r="V71" s="12" t="s">
        <v>126</v>
      </c>
      <c r="W71" s="12" t="s">
        <v>127</v>
      </c>
      <c r="X71" s="12" t="s">
        <v>128</v>
      </c>
      <c r="Y71" s="12" t="s">
        <v>1038</v>
      </c>
      <c r="AA71" s="14">
        <v>12543</v>
      </c>
      <c r="AB71" s="14" t="s">
        <v>290</v>
      </c>
      <c r="AC71" s="12" t="s">
        <v>185</v>
      </c>
      <c r="AD71" s="15" t="str">
        <f t="shared" si="4"/>
        <v>Athena - Panoramic Health - TPS</v>
      </c>
      <c r="AE71" s="12" t="s">
        <v>154</v>
      </c>
      <c r="AF71" s="12" t="s">
        <v>163</v>
      </c>
      <c r="AG71" s="12" t="s">
        <v>164</v>
      </c>
      <c r="AH71" s="12" t="s">
        <v>1038</v>
      </c>
      <c r="AJ71" s="14">
        <v>10513</v>
      </c>
      <c r="AK71" s="14" t="s">
        <v>266</v>
      </c>
    </row>
    <row r="72" spans="6:37">
      <c r="F72" s="45">
        <v>12147</v>
      </c>
      <c r="G72" s="12" t="s">
        <v>117</v>
      </c>
      <c r="H72" s="14"/>
      <c r="R72" s="14">
        <v>10099</v>
      </c>
      <c r="S72" s="14" t="s">
        <v>213</v>
      </c>
      <c r="T72" s="12" t="s">
        <v>150</v>
      </c>
      <c r="U72" s="15" t="str">
        <f t="shared" si="3"/>
        <v>Airbnb Aircover Insurance - CCS</v>
      </c>
      <c r="V72" s="12" t="s">
        <v>126</v>
      </c>
      <c r="W72" s="12" t="s">
        <v>127</v>
      </c>
      <c r="X72" s="12" t="s">
        <v>128</v>
      </c>
      <c r="Y72" s="12" t="s">
        <v>1038</v>
      </c>
      <c r="AA72" s="14">
        <v>12570</v>
      </c>
      <c r="AB72" s="14" t="s">
        <v>294</v>
      </c>
      <c r="AC72" s="12" t="s">
        <v>138</v>
      </c>
      <c r="AD72" s="15" t="str">
        <f t="shared" si="4"/>
        <v>Athena - RCM - BOS</v>
      </c>
      <c r="AE72" s="12" t="s">
        <v>154</v>
      </c>
      <c r="AF72" s="12" t="s">
        <v>163</v>
      </c>
      <c r="AG72" s="12" t="s">
        <v>164</v>
      </c>
      <c r="AH72" s="12" t="s">
        <v>1038</v>
      </c>
      <c r="AJ72" s="14">
        <v>10515</v>
      </c>
      <c r="AK72" s="14" t="s">
        <v>267</v>
      </c>
    </row>
    <row r="73" spans="6:37">
      <c r="F73" s="45">
        <v>12243</v>
      </c>
      <c r="G73" s="12" t="s">
        <v>117</v>
      </c>
      <c r="H73" s="14"/>
      <c r="R73" s="14">
        <v>28086</v>
      </c>
      <c r="S73" s="14" t="s">
        <v>656</v>
      </c>
      <c r="T73" s="12" t="s">
        <v>129</v>
      </c>
      <c r="U73" s="15" t="str">
        <f t="shared" si="3"/>
        <v>Airbnb CS COL - MGT</v>
      </c>
      <c r="V73" s="12" t="s">
        <v>126</v>
      </c>
      <c r="W73" s="12" t="s">
        <v>127</v>
      </c>
      <c r="X73" s="12" t="s">
        <v>128</v>
      </c>
      <c r="Y73" s="12" t="s">
        <v>1038</v>
      </c>
      <c r="AA73" s="14">
        <v>12570</v>
      </c>
      <c r="AB73" s="14" t="s">
        <v>294</v>
      </c>
      <c r="AC73" s="12" t="s">
        <v>116</v>
      </c>
      <c r="AD73" s="15" t="str">
        <f t="shared" si="4"/>
        <v>Athena - RCM - PRD</v>
      </c>
      <c r="AE73" s="12" t="s">
        <v>154</v>
      </c>
      <c r="AF73" s="12" t="s">
        <v>163</v>
      </c>
      <c r="AG73" s="12" t="s">
        <v>164</v>
      </c>
      <c r="AH73" s="12" t="s">
        <v>1038</v>
      </c>
      <c r="AJ73" s="14">
        <v>10524</v>
      </c>
      <c r="AK73" s="14" t="s">
        <v>269</v>
      </c>
    </row>
    <row r="74" spans="6:37">
      <c r="F74" s="45">
        <v>12316</v>
      </c>
      <c r="G74" s="12" t="s">
        <v>117</v>
      </c>
      <c r="H74" s="14"/>
      <c r="R74" s="14">
        <v>10789</v>
      </c>
      <c r="S74" s="14" t="s">
        <v>219</v>
      </c>
      <c r="T74" s="12" t="s">
        <v>224</v>
      </c>
      <c r="U74" s="15" t="str">
        <f t="shared" si="3"/>
        <v>AirBnb India - ACM</v>
      </c>
      <c r="V74" s="12" t="s">
        <v>126</v>
      </c>
      <c r="W74" s="12" t="s">
        <v>127</v>
      </c>
      <c r="X74" s="12" t="s">
        <v>128</v>
      </c>
      <c r="Y74" s="12" t="s">
        <v>1038</v>
      </c>
      <c r="AA74" s="14">
        <v>12524</v>
      </c>
      <c r="AB74" s="14" t="s">
        <v>292</v>
      </c>
      <c r="AC74" s="12" t="s">
        <v>145</v>
      </c>
      <c r="AD74" s="15" t="str">
        <f t="shared" si="4"/>
        <v>Athena - RPA - SUP</v>
      </c>
      <c r="AE74" s="12" t="s">
        <v>118</v>
      </c>
      <c r="AF74" s="12" t="s">
        <v>117</v>
      </c>
      <c r="AG74" s="12" t="s">
        <v>117</v>
      </c>
      <c r="AH74" s="12" t="s">
        <v>1038</v>
      </c>
      <c r="AJ74" s="14">
        <v>10583</v>
      </c>
      <c r="AK74" s="14" t="s">
        <v>270</v>
      </c>
    </row>
    <row r="75" spans="6:37">
      <c r="F75" s="45">
        <v>12320</v>
      </c>
      <c r="G75" s="12" t="s">
        <v>117</v>
      </c>
      <c r="H75" s="14"/>
      <c r="R75" s="14">
        <v>10789</v>
      </c>
      <c r="S75" s="14" t="s">
        <v>219</v>
      </c>
      <c r="T75" s="12" t="s">
        <v>133</v>
      </c>
      <c r="U75" s="15" t="str">
        <f t="shared" si="3"/>
        <v>AirBnb India - AMG</v>
      </c>
      <c r="V75" s="12" t="s">
        <v>126</v>
      </c>
      <c r="W75" s="12" t="s">
        <v>127</v>
      </c>
      <c r="X75" s="12" t="s">
        <v>128</v>
      </c>
      <c r="Y75" s="12" t="s">
        <v>1038</v>
      </c>
      <c r="AA75" s="14">
        <v>12524</v>
      </c>
      <c r="AB75" s="33" t="s">
        <v>292</v>
      </c>
      <c r="AC75" s="34" t="s">
        <v>145</v>
      </c>
      <c r="AD75" s="15" t="str">
        <f t="shared" si="4"/>
        <v>Athena - RPA - SUP</v>
      </c>
      <c r="AE75" s="12" t="s">
        <v>118</v>
      </c>
      <c r="AF75" s="12" t="s">
        <v>117</v>
      </c>
      <c r="AG75" s="12" t="s">
        <v>117</v>
      </c>
      <c r="AH75" s="12" t="s">
        <v>1038</v>
      </c>
      <c r="AJ75" s="14">
        <v>10614</v>
      </c>
      <c r="AK75" s="14" t="s">
        <v>273</v>
      </c>
    </row>
    <row r="76" spans="6:37">
      <c r="F76" s="45">
        <v>12328</v>
      </c>
      <c r="G76" s="12" t="s">
        <v>117</v>
      </c>
      <c r="H76" s="14"/>
      <c r="R76" s="14">
        <v>10789</v>
      </c>
      <c r="S76" s="14" t="s">
        <v>219</v>
      </c>
      <c r="T76" s="12" t="s">
        <v>150</v>
      </c>
      <c r="U76" s="15" t="str">
        <f t="shared" si="3"/>
        <v>AirBnb India - CCS</v>
      </c>
      <c r="V76" s="12" t="s">
        <v>126</v>
      </c>
      <c r="W76" s="12" t="s">
        <v>127</v>
      </c>
      <c r="X76" s="12" t="s">
        <v>128</v>
      </c>
      <c r="Y76" s="12" t="s">
        <v>1038</v>
      </c>
      <c r="AA76" s="14">
        <v>12589</v>
      </c>
      <c r="AB76" s="14" t="s">
        <v>288</v>
      </c>
      <c r="AC76" s="12" t="s">
        <v>116</v>
      </c>
      <c r="AD76" s="15" t="str">
        <f t="shared" si="4"/>
        <v>Athena - RPA - NFB - PRD</v>
      </c>
      <c r="AE76" s="12" t="s">
        <v>118</v>
      </c>
      <c r="AF76" s="12" t="s">
        <v>117</v>
      </c>
      <c r="AG76" s="12" t="s">
        <v>117</v>
      </c>
      <c r="AH76" s="12" t="s">
        <v>1038</v>
      </c>
      <c r="AJ76" s="14">
        <v>10620</v>
      </c>
      <c r="AK76" s="14" t="s">
        <v>275</v>
      </c>
    </row>
    <row r="77" spans="6:37">
      <c r="F77" s="45">
        <v>12366</v>
      </c>
      <c r="G77" s="12" t="s">
        <v>117</v>
      </c>
      <c r="H77" s="14"/>
      <c r="R77" s="14">
        <v>10789</v>
      </c>
      <c r="S77" s="14" t="s">
        <v>219</v>
      </c>
      <c r="T77" s="12" t="s">
        <v>129</v>
      </c>
      <c r="U77" s="15" t="str">
        <f t="shared" si="3"/>
        <v>AirBnb India - MGT</v>
      </c>
      <c r="V77" s="12" t="s">
        <v>126</v>
      </c>
      <c r="W77" s="12" t="s">
        <v>127</v>
      </c>
      <c r="X77" s="12" t="s">
        <v>128</v>
      </c>
      <c r="Y77" s="12" t="s">
        <v>1038</v>
      </c>
      <c r="AA77" s="14">
        <v>12599</v>
      </c>
      <c r="AB77" s="14" t="s">
        <v>298</v>
      </c>
      <c r="AC77" s="12" t="s">
        <v>116</v>
      </c>
      <c r="AD77" s="15" t="str">
        <f t="shared" si="4"/>
        <v>Athena RCM - NFB - PRD</v>
      </c>
      <c r="AE77" s="12" t="s">
        <v>154</v>
      </c>
      <c r="AF77" s="12" t="s">
        <v>163</v>
      </c>
      <c r="AG77" s="12" t="s">
        <v>164</v>
      </c>
      <c r="AH77" s="12" t="s">
        <v>1038</v>
      </c>
      <c r="AJ77" s="14">
        <v>10637</v>
      </c>
      <c r="AK77" s="14" t="s">
        <v>277</v>
      </c>
    </row>
    <row r="78" spans="6:37">
      <c r="F78" s="45">
        <v>12421</v>
      </c>
      <c r="G78" s="12" t="s">
        <v>117</v>
      </c>
      <c r="H78" s="14"/>
      <c r="R78" s="14">
        <v>10789</v>
      </c>
      <c r="S78" s="14" t="s">
        <v>219</v>
      </c>
      <c r="T78" s="12" t="s">
        <v>177</v>
      </c>
      <c r="U78" s="15" t="str">
        <f t="shared" si="3"/>
        <v>AirBnb India - OPS</v>
      </c>
      <c r="V78" s="12" t="s">
        <v>112</v>
      </c>
      <c r="W78" s="12" t="s">
        <v>867</v>
      </c>
      <c r="X78" s="12" t="s">
        <v>114</v>
      </c>
      <c r="Y78" s="12" t="s">
        <v>1038</v>
      </c>
      <c r="AA78" s="14">
        <v>12029</v>
      </c>
      <c r="AB78" s="14" t="s">
        <v>300</v>
      </c>
      <c r="AC78" s="12" t="s">
        <v>185</v>
      </c>
      <c r="AD78" s="15" t="str">
        <f t="shared" si="4"/>
        <v>BCBS-AZ SOW 2-Credentialling - TPS</v>
      </c>
      <c r="AE78" s="12" t="s">
        <v>141</v>
      </c>
      <c r="AF78" s="12" t="s">
        <v>163</v>
      </c>
      <c r="AG78" s="12" t="s">
        <v>164</v>
      </c>
      <c r="AH78" s="12" t="s">
        <v>1038</v>
      </c>
      <c r="AJ78" s="14">
        <v>10640</v>
      </c>
      <c r="AK78" s="14" t="s">
        <v>279</v>
      </c>
    </row>
    <row r="79" spans="6:37">
      <c r="F79" s="45">
        <v>12434</v>
      </c>
      <c r="G79" s="12" t="s">
        <v>117</v>
      </c>
      <c r="H79" s="14"/>
      <c r="R79" s="14">
        <v>10789</v>
      </c>
      <c r="S79" s="14" t="s">
        <v>219</v>
      </c>
      <c r="T79" s="12" t="s">
        <v>116</v>
      </c>
      <c r="U79" s="15" t="str">
        <f t="shared" si="3"/>
        <v>AirBnb India - PRD</v>
      </c>
      <c r="V79" s="12" t="s">
        <v>126</v>
      </c>
      <c r="W79" s="12" t="s">
        <v>127</v>
      </c>
      <c r="X79" s="12" t="s">
        <v>128</v>
      </c>
      <c r="Y79" s="12" t="s">
        <v>1038</v>
      </c>
      <c r="AA79" s="14">
        <v>93621</v>
      </c>
      <c r="AB79" s="14" t="s">
        <v>302</v>
      </c>
      <c r="AC79" s="12" t="s">
        <v>145</v>
      </c>
      <c r="AD79" s="15" t="str">
        <f t="shared" si="4"/>
        <v>BD - Sales team/ Compensation - SUP</v>
      </c>
      <c r="AE79" s="12" t="s">
        <v>118</v>
      </c>
      <c r="AF79" s="12" t="s">
        <v>303</v>
      </c>
      <c r="AG79" s="12" t="s">
        <v>114</v>
      </c>
      <c r="AH79" s="12" t="s">
        <v>1038</v>
      </c>
      <c r="AJ79" s="14">
        <v>10643</v>
      </c>
      <c r="AK79" s="14" t="s">
        <v>281</v>
      </c>
    </row>
    <row r="80" spans="6:37">
      <c r="F80" s="45">
        <v>12446</v>
      </c>
      <c r="G80" s="12" t="s">
        <v>117</v>
      </c>
      <c r="H80" s="14"/>
      <c r="R80" s="14">
        <v>10789</v>
      </c>
      <c r="S80" s="14" t="s">
        <v>219</v>
      </c>
      <c r="T80" s="12" t="s">
        <v>111</v>
      </c>
      <c r="U80" s="15" t="str">
        <f t="shared" si="3"/>
        <v>AirBnb India - QLY</v>
      </c>
      <c r="V80" s="12" t="s">
        <v>112</v>
      </c>
      <c r="W80" s="12" t="s">
        <v>113</v>
      </c>
      <c r="X80" s="12" t="s">
        <v>114</v>
      </c>
      <c r="Y80" s="12" t="s">
        <v>1038</v>
      </c>
      <c r="AA80" s="14">
        <v>10852</v>
      </c>
      <c r="AB80" s="14" t="s">
        <v>305</v>
      </c>
      <c r="AC80" s="12" t="s">
        <v>306</v>
      </c>
      <c r="AD80" s="15" t="str">
        <f t="shared" si="4"/>
        <v>Beachbody-DBS - FAO</v>
      </c>
      <c r="AE80" s="12" t="s">
        <v>118</v>
      </c>
      <c r="AF80" s="12" t="s">
        <v>122</v>
      </c>
      <c r="AG80" s="12" t="s">
        <v>114</v>
      </c>
      <c r="AH80" s="12" t="s">
        <v>1038</v>
      </c>
      <c r="AJ80" s="14">
        <v>10648</v>
      </c>
      <c r="AK80" s="14" t="s">
        <v>283</v>
      </c>
    </row>
    <row r="81" spans="6:37">
      <c r="F81" s="45">
        <v>12456</v>
      </c>
      <c r="G81" s="12" t="s">
        <v>117</v>
      </c>
      <c r="H81" s="14"/>
      <c r="R81" s="14">
        <v>10789</v>
      </c>
      <c r="S81" s="14" t="s">
        <v>219</v>
      </c>
      <c r="T81" s="12" t="s">
        <v>172</v>
      </c>
      <c r="U81" s="15" t="str">
        <f t="shared" si="3"/>
        <v>AirBnb India - SME</v>
      </c>
      <c r="V81" s="12" t="s">
        <v>126</v>
      </c>
      <c r="W81" s="12" t="s">
        <v>127</v>
      </c>
      <c r="X81" s="12" t="s">
        <v>128</v>
      </c>
      <c r="Y81" s="12" t="s">
        <v>1038</v>
      </c>
      <c r="AA81" s="14">
        <v>12620</v>
      </c>
      <c r="AB81" s="14" t="s">
        <v>308</v>
      </c>
      <c r="AC81" s="12" t="s">
        <v>185</v>
      </c>
      <c r="AD81" s="15" t="str">
        <f t="shared" si="4"/>
        <v>BedRock - Cred &amp; Enrollment - TPS</v>
      </c>
      <c r="AE81" s="12" t="s">
        <v>154</v>
      </c>
      <c r="AF81" s="12" t="s">
        <v>163</v>
      </c>
      <c r="AG81" s="12" t="s">
        <v>164</v>
      </c>
      <c r="AH81" s="12" t="s">
        <v>1038</v>
      </c>
      <c r="AJ81" s="14">
        <v>10652</v>
      </c>
      <c r="AK81" s="14" t="s">
        <v>285</v>
      </c>
    </row>
    <row r="82" spans="6:37">
      <c r="F82" s="45">
        <v>12461</v>
      </c>
      <c r="G82" s="12" t="s">
        <v>117</v>
      </c>
      <c r="H82" s="14"/>
      <c r="R82" s="14">
        <v>10789</v>
      </c>
      <c r="S82" s="14" t="s">
        <v>219</v>
      </c>
      <c r="T82" s="12" t="s">
        <v>139</v>
      </c>
      <c r="U82" s="15" t="str">
        <f t="shared" si="3"/>
        <v>AirBnb India - SMGT</v>
      </c>
      <c r="V82" s="12" t="s">
        <v>126</v>
      </c>
      <c r="W82" s="12" t="s">
        <v>127</v>
      </c>
      <c r="X82" s="12" t="s">
        <v>128</v>
      </c>
      <c r="Y82" s="12" t="s">
        <v>1038</v>
      </c>
      <c r="AA82" s="14">
        <v>12628</v>
      </c>
      <c r="AB82" s="14" t="s">
        <v>310</v>
      </c>
      <c r="AC82" s="12" t="s">
        <v>185</v>
      </c>
      <c r="AD82" s="15" t="str">
        <f t="shared" si="4"/>
        <v>BedRock - RCM - TPS</v>
      </c>
      <c r="AE82" s="12" t="s">
        <v>154</v>
      </c>
      <c r="AF82" s="12" t="s">
        <v>163</v>
      </c>
      <c r="AG82" s="12" t="s">
        <v>164</v>
      </c>
      <c r="AH82" s="12" t="s">
        <v>1038</v>
      </c>
      <c r="AJ82" s="14">
        <v>10654</v>
      </c>
      <c r="AK82" s="14" t="s">
        <v>287</v>
      </c>
    </row>
    <row r="83" spans="6:37">
      <c r="F83" s="45">
        <v>12471</v>
      </c>
      <c r="G83" s="12" t="s">
        <v>117</v>
      </c>
      <c r="H83" s="14"/>
      <c r="R83" s="14">
        <v>10789</v>
      </c>
      <c r="S83" s="14" t="s">
        <v>219</v>
      </c>
      <c r="T83" s="12" t="s">
        <v>145</v>
      </c>
      <c r="U83" s="15" t="str">
        <f t="shared" si="3"/>
        <v>AirBnb India - SUP</v>
      </c>
      <c r="V83" s="12" t="s">
        <v>126</v>
      </c>
      <c r="W83" s="12" t="s">
        <v>127</v>
      </c>
      <c r="X83" s="12" t="s">
        <v>128</v>
      </c>
      <c r="Y83" s="12" t="s">
        <v>1038</v>
      </c>
      <c r="AA83" s="14">
        <v>88156</v>
      </c>
      <c r="AB83" s="14" t="s">
        <v>312</v>
      </c>
      <c r="AC83" s="12" t="s">
        <v>116</v>
      </c>
      <c r="AD83" s="15" t="str">
        <f t="shared" si="4"/>
        <v>Bench - New Business - DHES - PRD</v>
      </c>
      <c r="AE83" s="12" t="s">
        <v>117</v>
      </c>
      <c r="AF83" s="12" t="s">
        <v>117</v>
      </c>
      <c r="AG83" s="12" t="s">
        <v>117</v>
      </c>
      <c r="AH83" s="12" t="s">
        <v>1038</v>
      </c>
      <c r="AJ83" s="14">
        <v>10655</v>
      </c>
      <c r="AK83" s="14" t="s">
        <v>289</v>
      </c>
    </row>
    <row r="84" spans="6:37">
      <c r="F84" s="45">
        <v>12472</v>
      </c>
      <c r="G84" s="12" t="s">
        <v>117</v>
      </c>
      <c r="H84" s="14"/>
      <c r="R84" s="14">
        <v>10789</v>
      </c>
      <c r="S84" s="14" t="s">
        <v>219</v>
      </c>
      <c r="T84" s="12" t="s">
        <v>180</v>
      </c>
      <c r="U84" s="15" t="str">
        <f t="shared" si="3"/>
        <v>AirBnb India - TMG</v>
      </c>
      <c r="V84" s="12" t="s">
        <v>126</v>
      </c>
      <c r="W84" s="12" t="s">
        <v>127</v>
      </c>
      <c r="X84" s="12" t="s">
        <v>128</v>
      </c>
      <c r="Y84" s="12" t="s">
        <v>1038</v>
      </c>
      <c r="AA84" s="14">
        <v>88156</v>
      </c>
      <c r="AB84" s="14" t="s">
        <v>312</v>
      </c>
      <c r="AC84" s="12" t="s">
        <v>145</v>
      </c>
      <c r="AD84" s="15" t="str">
        <f t="shared" si="4"/>
        <v>Bench - New Business - DHES - SUP</v>
      </c>
      <c r="AE84" s="12" t="s">
        <v>117</v>
      </c>
      <c r="AF84" s="12" t="s">
        <v>117</v>
      </c>
      <c r="AG84" s="12" t="s">
        <v>117</v>
      </c>
      <c r="AH84" s="12" t="s">
        <v>1038</v>
      </c>
      <c r="AJ84" s="14">
        <v>10657</v>
      </c>
      <c r="AK84" s="14" t="s">
        <v>291</v>
      </c>
    </row>
    <row r="85" spans="6:37">
      <c r="F85" s="45">
        <v>12483</v>
      </c>
      <c r="G85" s="12" t="s">
        <v>117</v>
      </c>
      <c r="H85" s="14"/>
      <c r="R85" s="14">
        <v>10789</v>
      </c>
      <c r="S85" s="14" t="s">
        <v>219</v>
      </c>
      <c r="T85" s="12" t="s">
        <v>203</v>
      </c>
      <c r="U85" s="15" t="str">
        <f t="shared" si="3"/>
        <v>AirBnb India - TRG</v>
      </c>
      <c r="V85" s="12" t="s">
        <v>112</v>
      </c>
      <c r="W85" s="12" t="s">
        <v>204</v>
      </c>
      <c r="X85" s="12" t="s">
        <v>205</v>
      </c>
      <c r="Y85" s="12" t="s">
        <v>1038</v>
      </c>
      <c r="AA85" s="14">
        <v>88156</v>
      </c>
      <c r="AB85" s="14" t="s">
        <v>312</v>
      </c>
      <c r="AC85" s="12" t="s">
        <v>185</v>
      </c>
      <c r="AD85" s="15" t="str">
        <f t="shared" si="4"/>
        <v>Bench - New Business - DHES - TPS</v>
      </c>
      <c r="AE85" s="12" t="s">
        <v>117</v>
      </c>
      <c r="AF85" s="12" t="s">
        <v>117</v>
      </c>
      <c r="AG85" s="12" t="s">
        <v>117</v>
      </c>
      <c r="AH85" s="12" t="s">
        <v>1038</v>
      </c>
      <c r="AJ85" s="14">
        <v>10658</v>
      </c>
      <c r="AK85" s="14" t="s">
        <v>293</v>
      </c>
    </row>
    <row r="86" spans="6:37">
      <c r="F86" s="45">
        <v>12489</v>
      </c>
      <c r="G86" s="12" t="s">
        <v>117</v>
      </c>
      <c r="H86" s="14"/>
      <c r="R86" s="14">
        <v>10789</v>
      </c>
      <c r="S86" s="14" t="s">
        <v>219</v>
      </c>
      <c r="T86" s="12" t="s">
        <v>546</v>
      </c>
      <c r="U86" s="15" t="str">
        <f t="shared" si="3"/>
        <v>AirBnb India - TRN</v>
      </c>
      <c r="V86" s="12" t="s">
        <v>112</v>
      </c>
      <c r="W86" s="12" t="s">
        <v>204</v>
      </c>
      <c r="X86" s="12" t="s">
        <v>205</v>
      </c>
      <c r="Y86" s="12" t="s">
        <v>1038</v>
      </c>
      <c r="AA86" s="14">
        <v>12549</v>
      </c>
      <c r="AB86" s="14" t="s">
        <v>316</v>
      </c>
      <c r="AC86" s="12" t="s">
        <v>185</v>
      </c>
      <c r="AD86" s="15" t="str">
        <f t="shared" si="4"/>
        <v>Bermuda - BHB Funding Model - TPS</v>
      </c>
      <c r="AE86" s="12" t="s">
        <v>141</v>
      </c>
      <c r="AF86" s="12" t="s">
        <v>163</v>
      </c>
      <c r="AG86" s="12" t="s">
        <v>164</v>
      </c>
      <c r="AH86" s="12" t="s">
        <v>1038</v>
      </c>
      <c r="AJ86" s="14">
        <v>10660</v>
      </c>
      <c r="AK86" s="14" t="s">
        <v>295</v>
      </c>
    </row>
    <row r="87" spans="6:37">
      <c r="F87" s="45">
        <v>12494</v>
      </c>
      <c r="G87" s="12" t="s">
        <v>117</v>
      </c>
      <c r="H87" s="14"/>
      <c r="R87" s="14">
        <v>10789</v>
      </c>
      <c r="S87" s="14" t="s">
        <v>219</v>
      </c>
      <c r="T87" s="12" t="s">
        <v>208</v>
      </c>
      <c r="U87" s="15" t="str">
        <f t="shared" si="3"/>
        <v>AirBnb India - TTR</v>
      </c>
      <c r="V87" s="12" t="s">
        <v>112</v>
      </c>
      <c r="W87" s="12" t="s">
        <v>204</v>
      </c>
      <c r="X87" s="12" t="s">
        <v>205</v>
      </c>
      <c r="Y87" s="12" t="s">
        <v>1038</v>
      </c>
      <c r="AA87" s="14">
        <v>88046</v>
      </c>
      <c r="AB87" s="14" t="s">
        <v>318</v>
      </c>
      <c r="AC87" s="12" t="s">
        <v>306</v>
      </c>
      <c r="AD87" s="15" t="str">
        <f t="shared" si="4"/>
        <v>BPT – SD Support - FAO</v>
      </c>
      <c r="AE87" s="12" t="s">
        <v>118</v>
      </c>
      <c r="AF87" s="12" t="s">
        <v>122</v>
      </c>
      <c r="AG87" s="12" t="s">
        <v>114</v>
      </c>
      <c r="AH87" s="12" t="s">
        <v>1038</v>
      </c>
      <c r="AJ87" s="14">
        <v>10664</v>
      </c>
      <c r="AK87" s="14" t="s">
        <v>296</v>
      </c>
    </row>
    <row r="88" spans="6:37">
      <c r="F88" s="45">
        <v>12495</v>
      </c>
      <c r="G88" s="12" t="s">
        <v>117</v>
      </c>
      <c r="H88" s="14"/>
      <c r="R88" s="14">
        <v>51055</v>
      </c>
      <c r="S88" s="14" t="s">
        <v>693</v>
      </c>
      <c r="T88" s="12" t="s">
        <v>116</v>
      </c>
      <c r="U88" s="15" t="str">
        <f t="shared" si="3"/>
        <v>AJG_FB_Support-Maintenance - PRD</v>
      </c>
      <c r="V88" s="12" t="s">
        <v>117</v>
      </c>
      <c r="W88" s="12" t="s">
        <v>117</v>
      </c>
      <c r="X88" s="12" t="s">
        <v>117</v>
      </c>
      <c r="Y88" s="12" t="s">
        <v>1038</v>
      </c>
      <c r="AA88" s="14">
        <v>88046</v>
      </c>
      <c r="AB88" s="14" t="s">
        <v>318</v>
      </c>
      <c r="AC88" s="12" t="s">
        <v>145</v>
      </c>
      <c r="AD88" s="15" t="str">
        <f t="shared" si="4"/>
        <v>BPT – SD Support - SUP</v>
      </c>
      <c r="AE88" s="12" t="s">
        <v>118</v>
      </c>
      <c r="AF88" s="12" t="s">
        <v>122</v>
      </c>
      <c r="AG88" s="12" t="s">
        <v>114</v>
      </c>
      <c r="AH88" s="12" t="s">
        <v>1038</v>
      </c>
      <c r="AJ88" s="14">
        <v>10666</v>
      </c>
      <c r="AK88" s="14" t="s">
        <v>297</v>
      </c>
    </row>
    <row r="89" spans="6:37">
      <c r="F89" s="45">
        <v>12496</v>
      </c>
      <c r="G89" s="12" t="s">
        <v>117</v>
      </c>
      <c r="H89" s="14"/>
      <c r="R89" s="14">
        <v>51056</v>
      </c>
      <c r="S89" s="14" t="s">
        <v>221</v>
      </c>
      <c r="T89" s="12" t="s">
        <v>145</v>
      </c>
      <c r="U89" s="15" t="str">
        <f t="shared" si="3"/>
        <v>AJG-InframanagedServices - SUP</v>
      </c>
      <c r="V89" s="12" t="s">
        <v>117</v>
      </c>
      <c r="W89" s="12" t="s">
        <v>117</v>
      </c>
      <c r="X89" s="12" t="s">
        <v>117</v>
      </c>
      <c r="Y89" s="12" t="s">
        <v>1038</v>
      </c>
      <c r="AA89" s="14">
        <v>88046</v>
      </c>
      <c r="AB89" s="14" t="s">
        <v>318</v>
      </c>
      <c r="AC89" s="12" t="s">
        <v>185</v>
      </c>
      <c r="AD89" s="15" t="str">
        <f t="shared" si="4"/>
        <v>BPT – SD Support - TPS</v>
      </c>
      <c r="AE89" s="12" t="s">
        <v>118</v>
      </c>
      <c r="AF89" s="12" t="s">
        <v>122</v>
      </c>
      <c r="AG89" s="12" t="s">
        <v>114</v>
      </c>
      <c r="AH89" s="12" t="s">
        <v>1038</v>
      </c>
      <c r="AJ89" s="14">
        <v>10674</v>
      </c>
      <c r="AK89" s="14" t="s">
        <v>299</v>
      </c>
    </row>
    <row r="90" spans="6:37">
      <c r="F90" s="45">
        <v>12500</v>
      </c>
      <c r="G90" s="12" t="s">
        <v>117</v>
      </c>
      <c r="H90" s="14"/>
      <c r="R90" s="14">
        <v>10693</v>
      </c>
      <c r="S90" s="14" t="s">
        <v>313</v>
      </c>
      <c r="T90" s="12" t="s">
        <v>198</v>
      </c>
      <c r="U90" s="15" t="str">
        <f t="shared" si="3"/>
        <v>Allianz_ Environment Resource - TEC</v>
      </c>
      <c r="V90" s="12" t="s">
        <v>126</v>
      </c>
      <c r="W90" s="12" t="s">
        <v>360</v>
      </c>
      <c r="X90" s="12" t="s">
        <v>361</v>
      </c>
      <c r="Y90" s="12" t="s">
        <v>1038</v>
      </c>
      <c r="AA90" s="14">
        <v>87100</v>
      </c>
      <c r="AB90" s="14" t="s">
        <v>322</v>
      </c>
      <c r="AC90" s="12" t="s">
        <v>139</v>
      </c>
      <c r="AD90" s="15" t="str">
        <f t="shared" si="4"/>
        <v>BTS COMMON JC_93605 - SMGT</v>
      </c>
      <c r="AE90" s="12" t="s">
        <v>118</v>
      </c>
      <c r="AF90" s="12" t="s">
        <v>323</v>
      </c>
      <c r="AG90" s="12" t="s">
        <v>114</v>
      </c>
      <c r="AH90" s="12" t="s">
        <v>1038</v>
      </c>
      <c r="AJ90" s="14">
        <v>10677</v>
      </c>
      <c r="AK90" s="14" t="s">
        <v>301</v>
      </c>
    </row>
    <row r="91" spans="6:37">
      <c r="F91" s="45">
        <v>12503</v>
      </c>
      <c r="G91" s="12" t="s">
        <v>117</v>
      </c>
      <c r="H91" s="14"/>
      <c r="R91" s="14">
        <v>12020</v>
      </c>
      <c r="S91" s="14" t="s">
        <v>223</v>
      </c>
      <c r="T91" s="12" t="s">
        <v>224</v>
      </c>
      <c r="U91" s="15" t="str">
        <f t="shared" si="3"/>
        <v>Allscripts _US MSA - ACM</v>
      </c>
      <c r="V91" s="12" t="s">
        <v>117</v>
      </c>
      <c r="W91" s="12" t="s">
        <v>117</v>
      </c>
      <c r="X91" s="12" t="s">
        <v>117</v>
      </c>
      <c r="Y91" s="12" t="s">
        <v>1038</v>
      </c>
      <c r="AA91" s="14">
        <v>96120</v>
      </c>
      <c r="AB91" s="14" t="s">
        <v>325</v>
      </c>
      <c r="AC91" s="12" t="s">
        <v>139</v>
      </c>
      <c r="AD91" s="15" t="str">
        <f t="shared" si="4"/>
        <v>Business Contracting - SMGT</v>
      </c>
      <c r="AE91" s="12" t="s">
        <v>118</v>
      </c>
      <c r="AF91" s="12" t="s">
        <v>326</v>
      </c>
      <c r="AG91" s="12" t="s">
        <v>114</v>
      </c>
      <c r="AH91" s="12" t="s">
        <v>1038</v>
      </c>
      <c r="AJ91" s="14">
        <v>10678</v>
      </c>
      <c r="AK91" s="14" t="s">
        <v>304</v>
      </c>
    </row>
    <row r="92" spans="6:37">
      <c r="F92" s="45">
        <v>12504</v>
      </c>
      <c r="G92" s="12" t="s">
        <v>117</v>
      </c>
      <c r="H92" s="14"/>
      <c r="R92" s="14">
        <v>12020</v>
      </c>
      <c r="S92" s="14" t="s">
        <v>223</v>
      </c>
      <c r="T92" s="12" t="s">
        <v>133</v>
      </c>
      <c r="U92" s="15" t="str">
        <f t="shared" si="3"/>
        <v>Allscripts _US MSA - AMG</v>
      </c>
      <c r="V92" s="12" t="s">
        <v>117</v>
      </c>
      <c r="W92" s="12" t="s">
        <v>117</v>
      </c>
      <c r="X92" s="12" t="s">
        <v>117</v>
      </c>
      <c r="Y92" s="12" t="s">
        <v>1038</v>
      </c>
      <c r="AA92" s="14">
        <v>96120</v>
      </c>
      <c r="AB92" s="14" t="s">
        <v>325</v>
      </c>
      <c r="AC92" s="12" t="s">
        <v>145</v>
      </c>
      <c r="AD92" s="15" t="str">
        <f t="shared" si="4"/>
        <v>Business Contracting - SUP</v>
      </c>
      <c r="AE92" s="12" t="s">
        <v>118</v>
      </c>
      <c r="AF92" s="12" t="s">
        <v>326</v>
      </c>
      <c r="AG92" s="12" t="s">
        <v>114</v>
      </c>
      <c r="AH92" s="12" t="s">
        <v>1038</v>
      </c>
      <c r="AJ92" s="14">
        <v>10690</v>
      </c>
      <c r="AK92" s="14" t="s">
        <v>307</v>
      </c>
    </row>
    <row r="93" spans="6:37">
      <c r="F93" s="45">
        <v>12505</v>
      </c>
      <c r="G93" s="12" t="s">
        <v>117</v>
      </c>
      <c r="H93" s="14"/>
      <c r="R93" s="14">
        <v>12020</v>
      </c>
      <c r="S93" s="14" t="s">
        <v>223</v>
      </c>
      <c r="T93" s="12" t="s">
        <v>227</v>
      </c>
      <c r="U93" s="15" t="str">
        <f t="shared" si="3"/>
        <v>Allscripts _US MSA - INT</v>
      </c>
      <c r="V93" s="12" t="s">
        <v>117</v>
      </c>
      <c r="W93" s="12" t="s">
        <v>117</v>
      </c>
      <c r="X93" s="12" t="s">
        <v>117</v>
      </c>
      <c r="Y93" s="12" t="s">
        <v>1038</v>
      </c>
      <c r="AA93" s="14">
        <v>12345</v>
      </c>
      <c r="AB93" s="14" t="s">
        <v>329</v>
      </c>
      <c r="AC93" s="12" t="s">
        <v>177</v>
      </c>
      <c r="AD93" s="15" t="str">
        <f t="shared" si="4"/>
        <v>California Dept of Public Heal - OPS</v>
      </c>
      <c r="AE93" s="12" t="s">
        <v>154</v>
      </c>
      <c r="AF93" s="12" t="s">
        <v>163</v>
      </c>
      <c r="AG93" s="12" t="s">
        <v>164</v>
      </c>
      <c r="AH93" s="12" t="s">
        <v>1038</v>
      </c>
      <c r="AJ93" s="14">
        <v>10691</v>
      </c>
      <c r="AK93" s="14" t="s">
        <v>309</v>
      </c>
    </row>
    <row r="94" spans="6:37">
      <c r="F94" s="45">
        <v>12518</v>
      </c>
      <c r="G94" s="12" t="s">
        <v>117</v>
      </c>
      <c r="H94" s="14"/>
      <c r="R94" s="14">
        <v>12020</v>
      </c>
      <c r="S94" s="14" t="s">
        <v>223</v>
      </c>
      <c r="T94" s="12" t="s">
        <v>129</v>
      </c>
      <c r="U94" s="15" t="str">
        <f t="shared" si="3"/>
        <v>Allscripts _US MSA - MGT</v>
      </c>
      <c r="V94" s="12" t="s">
        <v>117</v>
      </c>
      <c r="W94" s="12" t="s">
        <v>117</v>
      </c>
      <c r="X94" s="12" t="s">
        <v>117</v>
      </c>
      <c r="Y94" s="12" t="s">
        <v>1038</v>
      </c>
      <c r="AA94" s="14">
        <v>12345</v>
      </c>
      <c r="AB94" s="14" t="s">
        <v>329</v>
      </c>
      <c r="AC94" s="12" t="s">
        <v>116</v>
      </c>
      <c r="AD94" s="15" t="str">
        <f t="shared" si="4"/>
        <v>California Dept of Public Heal - PRD</v>
      </c>
      <c r="AE94" s="12" t="s">
        <v>154</v>
      </c>
      <c r="AF94" s="12" t="s">
        <v>163</v>
      </c>
      <c r="AG94" s="12" t="s">
        <v>164</v>
      </c>
      <c r="AH94" s="12" t="s">
        <v>1038</v>
      </c>
      <c r="AJ94" s="14">
        <v>10692</v>
      </c>
      <c r="AK94" s="14" t="s">
        <v>311</v>
      </c>
    </row>
    <row r="95" spans="6:37">
      <c r="F95" s="45">
        <v>12525</v>
      </c>
      <c r="G95" s="12" t="s">
        <v>117</v>
      </c>
      <c r="H95" s="14"/>
      <c r="R95" s="14">
        <v>12020</v>
      </c>
      <c r="S95" s="14" t="s">
        <v>223</v>
      </c>
      <c r="T95" s="12" t="s">
        <v>116</v>
      </c>
      <c r="U95" s="15" t="str">
        <f t="shared" si="3"/>
        <v>Allscripts _US MSA - PRD</v>
      </c>
      <c r="V95" s="12" t="s">
        <v>117</v>
      </c>
      <c r="W95" s="12" t="s">
        <v>117</v>
      </c>
      <c r="X95" s="12" t="s">
        <v>117</v>
      </c>
      <c r="Y95" s="12" t="s">
        <v>1038</v>
      </c>
      <c r="AA95" s="14">
        <v>12345</v>
      </c>
      <c r="AB95" s="14" t="s">
        <v>329</v>
      </c>
      <c r="AC95" s="12" t="s">
        <v>332</v>
      </c>
      <c r="AD95" s="15" t="str">
        <f t="shared" si="4"/>
        <v>California Dept of Public Heal - RCF</v>
      </c>
      <c r="AE95" s="12" t="s">
        <v>154</v>
      </c>
      <c r="AF95" s="12" t="s">
        <v>163</v>
      </c>
      <c r="AG95" s="12" t="s">
        <v>164</v>
      </c>
      <c r="AH95" s="12" t="s">
        <v>1038</v>
      </c>
      <c r="AJ95" s="14">
        <v>10693</v>
      </c>
      <c r="AK95" s="14" t="s">
        <v>313</v>
      </c>
    </row>
    <row r="96" spans="6:37">
      <c r="F96" s="45">
        <v>12529</v>
      </c>
      <c r="G96" s="12" t="s">
        <v>117</v>
      </c>
      <c r="H96" s="14"/>
      <c r="R96" s="14">
        <v>12020</v>
      </c>
      <c r="S96" s="14" t="s">
        <v>223</v>
      </c>
      <c r="T96" s="12" t="s">
        <v>230</v>
      </c>
      <c r="U96" s="15" t="str">
        <f t="shared" si="3"/>
        <v>Allscripts _US MSA - PRSP</v>
      </c>
      <c r="V96" s="12" t="s">
        <v>117</v>
      </c>
      <c r="W96" s="12" t="s">
        <v>117</v>
      </c>
      <c r="X96" s="12" t="s">
        <v>117</v>
      </c>
      <c r="Y96" s="12" t="s">
        <v>1038</v>
      </c>
      <c r="AA96" s="14">
        <v>12345</v>
      </c>
      <c r="AB96" s="14" t="s">
        <v>329</v>
      </c>
      <c r="AC96" s="12" t="s">
        <v>145</v>
      </c>
      <c r="AD96" s="15" t="str">
        <f t="shared" si="4"/>
        <v>California Dept of Public Heal - SUP</v>
      </c>
      <c r="AE96" s="12" t="s">
        <v>154</v>
      </c>
      <c r="AF96" s="12" t="s">
        <v>163</v>
      </c>
      <c r="AG96" s="12" t="s">
        <v>164</v>
      </c>
      <c r="AH96" s="12" t="s">
        <v>1038</v>
      </c>
      <c r="AJ96" s="14">
        <v>10694</v>
      </c>
      <c r="AK96" s="14" t="s">
        <v>314</v>
      </c>
    </row>
    <row r="97" spans="6:37">
      <c r="F97" s="45">
        <v>12531</v>
      </c>
      <c r="G97" s="12" t="s">
        <v>117</v>
      </c>
      <c r="H97" s="14"/>
      <c r="R97" s="14">
        <v>12020</v>
      </c>
      <c r="S97" s="14" t="s">
        <v>223</v>
      </c>
      <c r="T97" s="12" t="s">
        <v>172</v>
      </c>
      <c r="U97" s="15" t="str">
        <f t="shared" si="3"/>
        <v>Allscripts _US MSA - SME</v>
      </c>
      <c r="V97" s="12" t="s">
        <v>117</v>
      </c>
      <c r="W97" s="12" t="s">
        <v>117</v>
      </c>
      <c r="X97" s="12" t="s">
        <v>117</v>
      </c>
      <c r="Y97" s="12" t="s">
        <v>1038</v>
      </c>
      <c r="AA97" s="14">
        <v>12345</v>
      </c>
      <c r="AB97" s="14" t="s">
        <v>329</v>
      </c>
      <c r="AC97" s="12" t="s">
        <v>185</v>
      </c>
      <c r="AD97" s="15" t="str">
        <f t="shared" si="4"/>
        <v>California Dept of Public Heal - TPS</v>
      </c>
      <c r="AE97" s="12" t="s">
        <v>154</v>
      </c>
      <c r="AF97" s="12" t="s">
        <v>163</v>
      </c>
      <c r="AG97" s="12" t="s">
        <v>164</v>
      </c>
      <c r="AH97" s="12" t="s">
        <v>1038</v>
      </c>
      <c r="AJ97" s="14">
        <v>10695</v>
      </c>
      <c r="AK97" s="14" t="s">
        <v>315</v>
      </c>
    </row>
    <row r="98" spans="6:37">
      <c r="F98" s="45">
        <v>12534</v>
      </c>
      <c r="G98" s="12" t="s">
        <v>117</v>
      </c>
      <c r="H98" s="14"/>
      <c r="R98" s="14">
        <v>12020</v>
      </c>
      <c r="S98" s="14" t="s">
        <v>223</v>
      </c>
      <c r="T98" s="12" t="s">
        <v>139</v>
      </c>
      <c r="U98" s="15" t="str">
        <f t="shared" si="3"/>
        <v>Allscripts _US MSA - SMGT</v>
      </c>
      <c r="V98" s="12" t="s">
        <v>117</v>
      </c>
      <c r="W98" s="12" t="s">
        <v>117</v>
      </c>
      <c r="X98" s="12" t="s">
        <v>117</v>
      </c>
      <c r="Y98" s="12" t="s">
        <v>1038</v>
      </c>
      <c r="AA98" s="14">
        <v>12579</v>
      </c>
      <c r="AB98" s="14" t="s">
        <v>337</v>
      </c>
      <c r="AC98" s="12" t="s">
        <v>116</v>
      </c>
      <c r="AD98" s="15" t="str">
        <f t="shared" si="4"/>
        <v>Carl Zeiss - PRD</v>
      </c>
      <c r="AE98" s="12" t="s">
        <v>117</v>
      </c>
      <c r="AF98" s="12" t="s">
        <v>117</v>
      </c>
      <c r="AG98" s="12" t="s">
        <v>117</v>
      </c>
      <c r="AH98" s="12" t="s">
        <v>1038</v>
      </c>
      <c r="AJ98" s="14">
        <v>10697</v>
      </c>
      <c r="AK98" s="14" t="s">
        <v>317</v>
      </c>
    </row>
    <row r="99" spans="6:37">
      <c r="F99" s="45">
        <v>12536</v>
      </c>
      <c r="G99" s="12" t="s">
        <v>117</v>
      </c>
      <c r="H99" s="14"/>
      <c r="R99" s="14">
        <v>12020</v>
      </c>
      <c r="S99" s="14" t="s">
        <v>223</v>
      </c>
      <c r="T99" s="12" t="s">
        <v>145</v>
      </c>
      <c r="U99" s="15" t="str">
        <f t="shared" si="3"/>
        <v>Allscripts _US MSA - SUP</v>
      </c>
      <c r="V99" s="12" t="s">
        <v>117</v>
      </c>
      <c r="W99" s="12" t="s">
        <v>117</v>
      </c>
      <c r="X99" s="12" t="s">
        <v>117</v>
      </c>
      <c r="Y99" s="12" t="s">
        <v>1038</v>
      </c>
      <c r="AA99" s="14">
        <v>12456</v>
      </c>
      <c r="AB99" s="14" t="s">
        <v>339</v>
      </c>
      <c r="AC99" s="12" t="s">
        <v>145</v>
      </c>
      <c r="AD99" s="15" t="str">
        <f t="shared" si="4"/>
        <v>CDPH - BMS - SUP</v>
      </c>
      <c r="AE99" s="12" t="s">
        <v>117</v>
      </c>
      <c r="AF99" s="12" t="s">
        <v>117</v>
      </c>
      <c r="AG99" s="12" t="s">
        <v>117</v>
      </c>
      <c r="AH99" s="12" t="s">
        <v>1038</v>
      </c>
      <c r="AJ99" s="14">
        <v>10699</v>
      </c>
      <c r="AK99" s="14" t="s">
        <v>319</v>
      </c>
    </row>
    <row r="100" spans="6:37">
      <c r="F100" s="45">
        <v>12537</v>
      </c>
      <c r="G100" s="12" t="s">
        <v>117</v>
      </c>
      <c r="H100" s="14"/>
      <c r="R100" s="14">
        <v>12020</v>
      </c>
      <c r="S100" s="14" t="s">
        <v>223</v>
      </c>
      <c r="T100" s="12" t="s">
        <v>185</v>
      </c>
      <c r="U100" s="15" t="str">
        <f t="shared" si="3"/>
        <v>Allscripts _US MSA - TPS</v>
      </c>
      <c r="V100" s="12" t="s">
        <v>117</v>
      </c>
      <c r="W100" s="12" t="s">
        <v>117</v>
      </c>
      <c r="X100" s="12" t="s">
        <v>117</v>
      </c>
      <c r="Y100" s="12" t="s">
        <v>1038</v>
      </c>
      <c r="AA100" s="14">
        <v>12456</v>
      </c>
      <c r="AB100" s="14" t="s">
        <v>339</v>
      </c>
      <c r="AC100" s="12" t="s">
        <v>185</v>
      </c>
      <c r="AD100" s="15" t="str">
        <f t="shared" si="4"/>
        <v>CDPH - BMS - TPS</v>
      </c>
      <c r="AE100" s="12" t="s">
        <v>117</v>
      </c>
      <c r="AF100" s="12" t="s">
        <v>117</v>
      </c>
      <c r="AG100" s="12" t="s">
        <v>117</v>
      </c>
      <c r="AH100" s="12" t="s">
        <v>1038</v>
      </c>
      <c r="AJ100" s="14">
        <v>10705</v>
      </c>
      <c r="AK100" s="14" t="s">
        <v>320</v>
      </c>
    </row>
    <row r="101" spans="6:37">
      <c r="F101" s="45">
        <v>12540</v>
      </c>
      <c r="G101" s="12" t="s">
        <v>117</v>
      </c>
      <c r="H101" s="14"/>
      <c r="R101" s="14">
        <v>20611</v>
      </c>
      <c r="S101" s="14" t="s">
        <v>639</v>
      </c>
      <c r="T101" s="12" t="s">
        <v>116</v>
      </c>
      <c r="U101" s="15" t="str">
        <f t="shared" si="3"/>
        <v>Ally Analytics reporting US - PRD</v>
      </c>
      <c r="V101" s="12" t="s">
        <v>126</v>
      </c>
      <c r="W101" s="12" t="s">
        <v>890</v>
      </c>
      <c r="X101" s="12" t="s">
        <v>890</v>
      </c>
      <c r="Y101" s="12" t="s">
        <v>1038</v>
      </c>
      <c r="AA101" s="14">
        <v>12425</v>
      </c>
      <c r="AB101" s="14" t="s">
        <v>342</v>
      </c>
      <c r="AC101" s="12" t="s">
        <v>230</v>
      </c>
      <c r="AD101" s="15" t="str">
        <f t="shared" si="4"/>
        <v>Centene - Conduct DMHC PAAS - PRSP</v>
      </c>
      <c r="AE101" s="12" t="s">
        <v>141</v>
      </c>
      <c r="AF101" s="12" t="s">
        <v>163</v>
      </c>
      <c r="AG101" s="12" t="s">
        <v>164</v>
      </c>
      <c r="AH101" s="12" t="s">
        <v>1038</v>
      </c>
      <c r="AJ101" s="14">
        <v>10706</v>
      </c>
      <c r="AK101" s="14" t="s">
        <v>321</v>
      </c>
    </row>
    <row r="102" spans="6:37">
      <c r="F102" s="45">
        <v>12556</v>
      </c>
      <c r="G102" s="12" t="s">
        <v>117</v>
      </c>
      <c r="H102" s="14"/>
      <c r="R102" s="14">
        <v>20611</v>
      </c>
      <c r="S102" s="14" t="s">
        <v>639</v>
      </c>
      <c r="T102" s="12" t="s">
        <v>145</v>
      </c>
      <c r="U102" s="15" t="str">
        <f t="shared" si="3"/>
        <v>Ally Analytics reporting US - SUP</v>
      </c>
      <c r="V102" s="12" t="s">
        <v>126</v>
      </c>
      <c r="W102" s="12" t="s">
        <v>890</v>
      </c>
      <c r="X102" s="12" t="s">
        <v>890</v>
      </c>
      <c r="Y102" s="12" t="s">
        <v>1038</v>
      </c>
      <c r="AA102" s="14">
        <v>12425</v>
      </c>
      <c r="AB102" s="14" t="s">
        <v>342</v>
      </c>
      <c r="AC102" s="12" t="s">
        <v>145</v>
      </c>
      <c r="AD102" s="15" t="str">
        <f t="shared" si="4"/>
        <v>Centene - Conduct DMHC PAAS - SUP</v>
      </c>
      <c r="AE102" s="12" t="s">
        <v>141</v>
      </c>
      <c r="AF102" s="12" t="s">
        <v>163</v>
      </c>
      <c r="AG102" s="12" t="s">
        <v>164</v>
      </c>
      <c r="AH102" s="12" t="s">
        <v>1038</v>
      </c>
      <c r="AJ102" s="14">
        <v>10707</v>
      </c>
      <c r="AK102" s="14" t="s">
        <v>324</v>
      </c>
    </row>
    <row r="103" spans="6:37">
      <c r="F103" s="45">
        <v>12558</v>
      </c>
      <c r="G103" s="12" t="s">
        <v>117</v>
      </c>
      <c r="H103" s="14"/>
      <c r="R103" s="14">
        <v>10970</v>
      </c>
      <c r="S103" s="14" t="s">
        <v>495</v>
      </c>
      <c r="T103" s="12" t="s">
        <v>138</v>
      </c>
      <c r="U103" s="15" t="str">
        <f t="shared" si="3"/>
        <v>Ally Financial - BOS</v>
      </c>
      <c r="V103" s="12" t="s">
        <v>126</v>
      </c>
      <c r="W103" s="12" t="s">
        <v>163</v>
      </c>
      <c r="X103" s="12" t="s">
        <v>164</v>
      </c>
      <c r="Y103" s="12" t="s">
        <v>1038</v>
      </c>
      <c r="AA103" s="14">
        <v>12425</v>
      </c>
      <c r="AB103" s="14" t="s">
        <v>342</v>
      </c>
      <c r="AC103" s="12" t="s">
        <v>185</v>
      </c>
      <c r="AD103" s="15" t="str">
        <f t="shared" si="4"/>
        <v>Centene - Conduct DMHC PAAS - TPS</v>
      </c>
      <c r="AE103" s="12" t="s">
        <v>141</v>
      </c>
      <c r="AF103" s="12" t="s">
        <v>163</v>
      </c>
      <c r="AG103" s="12" t="s">
        <v>164</v>
      </c>
      <c r="AH103" s="12" t="s">
        <v>1038</v>
      </c>
      <c r="AJ103" s="14">
        <v>10708</v>
      </c>
      <c r="AK103" s="14" t="s">
        <v>327</v>
      </c>
    </row>
    <row r="104" spans="6:37">
      <c r="F104" s="45">
        <v>12561</v>
      </c>
      <c r="G104" s="12" t="s">
        <v>117</v>
      </c>
      <c r="H104" s="14"/>
      <c r="R104" s="14">
        <v>10970</v>
      </c>
      <c r="S104" s="14" t="s">
        <v>495</v>
      </c>
      <c r="T104" s="12" t="s">
        <v>306</v>
      </c>
      <c r="U104" s="15" t="str">
        <f t="shared" si="3"/>
        <v>Ally Financial - FAO</v>
      </c>
      <c r="V104" s="12" t="s">
        <v>126</v>
      </c>
      <c r="W104" s="12" t="s">
        <v>163</v>
      </c>
      <c r="X104" s="12" t="s">
        <v>164</v>
      </c>
      <c r="Y104" s="12" t="s">
        <v>1038</v>
      </c>
      <c r="AA104" s="14">
        <v>90000</v>
      </c>
      <c r="AB104" s="14" t="s">
        <v>347</v>
      </c>
      <c r="AC104" s="12" t="s">
        <v>348</v>
      </c>
      <c r="AD104" s="15" t="str">
        <f t="shared" si="4"/>
        <v>Chairman &amp; CEO Office - ADM</v>
      </c>
      <c r="AE104" s="12" t="s">
        <v>118</v>
      </c>
      <c r="AF104" s="12" t="s">
        <v>349</v>
      </c>
      <c r="AG104" s="12" t="s">
        <v>350</v>
      </c>
      <c r="AH104" s="12" t="s">
        <v>1038</v>
      </c>
      <c r="AJ104" s="14">
        <v>10711</v>
      </c>
      <c r="AK104" s="14" t="s">
        <v>328</v>
      </c>
    </row>
    <row r="105" spans="6:37">
      <c r="F105" s="45">
        <v>12564</v>
      </c>
      <c r="G105" s="12" t="s">
        <v>117</v>
      </c>
      <c r="H105" s="14"/>
      <c r="R105" s="14">
        <v>10970</v>
      </c>
      <c r="S105" s="14" t="s">
        <v>495</v>
      </c>
      <c r="T105" s="12" t="s">
        <v>262</v>
      </c>
      <c r="U105" s="15" t="str">
        <f t="shared" si="3"/>
        <v>Ally Financial - GSI</v>
      </c>
      <c r="V105" s="12" t="s">
        <v>126</v>
      </c>
      <c r="W105" s="12" t="s">
        <v>163</v>
      </c>
      <c r="X105" s="12" t="s">
        <v>164</v>
      </c>
      <c r="Y105" s="12" t="s">
        <v>1038</v>
      </c>
      <c r="AA105" s="14">
        <v>90000</v>
      </c>
      <c r="AB105" s="14" t="s">
        <v>347</v>
      </c>
      <c r="AC105" s="12" t="s">
        <v>352</v>
      </c>
      <c r="AD105" s="15" t="str">
        <f t="shared" si="4"/>
        <v>Chairman &amp; CEO Office - EAT</v>
      </c>
      <c r="AE105" s="12" t="s">
        <v>118</v>
      </c>
      <c r="AF105" s="12" t="s">
        <v>349</v>
      </c>
      <c r="AG105" s="12" t="s">
        <v>350</v>
      </c>
      <c r="AH105" s="12" t="s">
        <v>1038</v>
      </c>
      <c r="AJ105" s="14">
        <v>10715</v>
      </c>
      <c r="AK105" s="14" t="s">
        <v>330</v>
      </c>
    </row>
    <row r="106" spans="6:37">
      <c r="F106" s="45">
        <v>12568</v>
      </c>
      <c r="G106" s="12" t="s">
        <v>117</v>
      </c>
      <c r="H106" s="14"/>
      <c r="R106" s="14">
        <v>10970</v>
      </c>
      <c r="S106" s="14" t="s">
        <v>495</v>
      </c>
      <c r="T106" s="12" t="s">
        <v>116</v>
      </c>
      <c r="U106" s="15" t="str">
        <f t="shared" si="3"/>
        <v>Ally Financial - PRD</v>
      </c>
      <c r="V106" s="12" t="s">
        <v>126</v>
      </c>
      <c r="W106" s="12" t="s">
        <v>163</v>
      </c>
      <c r="X106" s="12" t="s">
        <v>164</v>
      </c>
      <c r="Y106" s="12" t="s">
        <v>1038</v>
      </c>
      <c r="AA106" s="14">
        <v>90000</v>
      </c>
      <c r="AB106" s="14" t="s">
        <v>347</v>
      </c>
      <c r="AC106" s="12" t="s">
        <v>145</v>
      </c>
      <c r="AD106" s="15" t="str">
        <f t="shared" si="4"/>
        <v>Chairman &amp; CEO Office - SUP</v>
      </c>
      <c r="AE106" s="12" t="s">
        <v>118</v>
      </c>
      <c r="AF106" s="12" t="s">
        <v>349</v>
      </c>
      <c r="AG106" s="12" t="s">
        <v>350</v>
      </c>
      <c r="AH106" s="12" t="s">
        <v>1038</v>
      </c>
      <c r="AJ106" s="14">
        <v>10717</v>
      </c>
      <c r="AK106" s="14" t="s">
        <v>331</v>
      </c>
    </row>
    <row r="107" spans="6:37">
      <c r="F107" s="45">
        <v>12569</v>
      </c>
      <c r="G107" s="12" t="s">
        <v>117</v>
      </c>
      <c r="H107" s="14"/>
      <c r="R107" s="14">
        <v>10970</v>
      </c>
      <c r="S107" s="14" t="s">
        <v>495</v>
      </c>
      <c r="T107" s="12" t="s">
        <v>111</v>
      </c>
      <c r="U107" s="15" t="str">
        <f t="shared" si="3"/>
        <v>Ally Financial - QLY</v>
      </c>
      <c r="V107" s="12" t="s">
        <v>112</v>
      </c>
      <c r="W107" s="12" t="s">
        <v>113</v>
      </c>
      <c r="X107" s="12" t="s">
        <v>114</v>
      </c>
      <c r="Y107" s="12" t="s">
        <v>1038</v>
      </c>
      <c r="AA107" s="14">
        <v>12243</v>
      </c>
      <c r="AB107" s="14" t="s">
        <v>355</v>
      </c>
      <c r="AC107" s="12" t="s">
        <v>193</v>
      </c>
      <c r="AD107" s="15" t="str">
        <f t="shared" si="4"/>
        <v>ChartFast Web Application-Impl - DEV</v>
      </c>
      <c r="AE107" s="12" t="s">
        <v>117</v>
      </c>
      <c r="AF107" s="12" t="s">
        <v>117</v>
      </c>
      <c r="AG107" s="12" t="s">
        <v>117</v>
      </c>
      <c r="AH107" s="12" t="s">
        <v>1038</v>
      </c>
      <c r="AJ107" s="14">
        <v>10720</v>
      </c>
      <c r="AK107" s="14" t="s">
        <v>333</v>
      </c>
    </row>
    <row r="108" spans="6:37">
      <c r="F108" s="45">
        <v>12573</v>
      </c>
      <c r="G108" s="12" t="s">
        <v>117</v>
      </c>
      <c r="H108" s="14"/>
      <c r="R108" s="14">
        <v>10970</v>
      </c>
      <c r="S108" s="14" t="s">
        <v>495</v>
      </c>
      <c r="T108" s="12" t="s">
        <v>145</v>
      </c>
      <c r="U108" s="15" t="str">
        <f t="shared" si="3"/>
        <v>Ally Financial - SUP</v>
      </c>
      <c r="V108" s="12" t="s">
        <v>126</v>
      </c>
      <c r="W108" s="12" t="s">
        <v>163</v>
      </c>
      <c r="X108" s="12" t="s">
        <v>164</v>
      </c>
      <c r="Y108" s="12" t="s">
        <v>1038</v>
      </c>
      <c r="AA108" s="14">
        <v>12243</v>
      </c>
      <c r="AB108" s="14" t="s">
        <v>355</v>
      </c>
      <c r="AC108" s="12" t="s">
        <v>177</v>
      </c>
      <c r="AD108" s="15" t="str">
        <f t="shared" si="4"/>
        <v>ChartFast Web Application-Impl - OPS</v>
      </c>
      <c r="AE108" s="12" t="s">
        <v>117</v>
      </c>
      <c r="AF108" s="12" t="s">
        <v>117</v>
      </c>
      <c r="AG108" s="12" t="s">
        <v>117</v>
      </c>
      <c r="AH108" s="12" t="s">
        <v>1038</v>
      </c>
      <c r="AJ108" s="14">
        <v>10721</v>
      </c>
      <c r="AK108" s="14" t="s">
        <v>334</v>
      </c>
    </row>
    <row r="109" spans="6:37">
      <c r="F109" s="45">
        <v>12579</v>
      </c>
      <c r="G109" s="12" t="s">
        <v>117</v>
      </c>
      <c r="H109" s="14"/>
      <c r="R109" s="14">
        <v>10970</v>
      </c>
      <c r="S109" s="14" t="s">
        <v>495</v>
      </c>
      <c r="T109" s="12" t="s">
        <v>180</v>
      </c>
      <c r="U109" s="15" t="str">
        <f t="shared" si="3"/>
        <v>Ally Financial - TMG</v>
      </c>
      <c r="V109" s="12" t="s">
        <v>126</v>
      </c>
      <c r="W109" s="12" t="s">
        <v>163</v>
      </c>
      <c r="X109" s="12" t="s">
        <v>164</v>
      </c>
      <c r="Y109" s="12" t="s">
        <v>1038</v>
      </c>
      <c r="AA109" s="14">
        <v>12243</v>
      </c>
      <c r="AB109" s="14" t="s">
        <v>355</v>
      </c>
      <c r="AC109" s="12" t="s">
        <v>116</v>
      </c>
      <c r="AD109" s="15" t="str">
        <f t="shared" si="4"/>
        <v>ChartFast Web Application-Impl - PRD</v>
      </c>
      <c r="AE109" s="12" t="s">
        <v>117</v>
      </c>
      <c r="AF109" s="12" t="s">
        <v>117</v>
      </c>
      <c r="AG109" s="12" t="s">
        <v>117</v>
      </c>
      <c r="AH109" s="12" t="s">
        <v>1038</v>
      </c>
      <c r="AJ109" s="14">
        <v>10723</v>
      </c>
      <c r="AK109" s="14" t="s">
        <v>335</v>
      </c>
    </row>
    <row r="110" spans="6:37">
      <c r="F110" s="45">
        <v>12590</v>
      </c>
      <c r="G110" s="12" t="s">
        <v>117</v>
      </c>
      <c r="H110" s="14"/>
      <c r="R110" s="14">
        <v>10838</v>
      </c>
      <c r="S110" s="14" t="s">
        <v>421</v>
      </c>
      <c r="T110" s="12" t="s">
        <v>180</v>
      </c>
      <c r="U110" s="15" t="str">
        <f t="shared" si="3"/>
        <v>Ally Power BI - TMG</v>
      </c>
      <c r="V110" s="12" t="s">
        <v>126</v>
      </c>
      <c r="W110" s="12" t="s">
        <v>163</v>
      </c>
      <c r="X110" s="12" t="s">
        <v>164</v>
      </c>
      <c r="Y110" s="12" t="s">
        <v>1038</v>
      </c>
      <c r="AA110" s="14">
        <v>12243</v>
      </c>
      <c r="AB110" s="14" t="s">
        <v>355</v>
      </c>
      <c r="AC110" s="12" t="s">
        <v>145</v>
      </c>
      <c r="AD110" s="15" t="str">
        <f t="shared" si="4"/>
        <v>ChartFast Web Application-Impl - SUP</v>
      </c>
      <c r="AE110" s="12" t="s">
        <v>117</v>
      </c>
      <c r="AF110" s="12" t="s">
        <v>117</v>
      </c>
      <c r="AG110" s="12" t="s">
        <v>117</v>
      </c>
      <c r="AH110" s="12" t="s">
        <v>1038</v>
      </c>
      <c r="AJ110" s="14">
        <v>10726</v>
      </c>
      <c r="AK110" s="14" t="s">
        <v>338</v>
      </c>
    </row>
    <row r="111" spans="6:37">
      <c r="F111" s="45">
        <v>12593</v>
      </c>
      <c r="G111" s="12" t="s">
        <v>117</v>
      </c>
      <c r="H111" s="14"/>
      <c r="R111" s="14">
        <v>12426</v>
      </c>
      <c r="S111" s="14" t="s">
        <v>236</v>
      </c>
      <c r="T111" s="12" t="s">
        <v>116</v>
      </c>
      <c r="U111" s="15" t="str">
        <f t="shared" si="3"/>
        <v>AllyAlign Health_Coding - PRD</v>
      </c>
      <c r="V111" s="12" t="s">
        <v>126</v>
      </c>
      <c r="W111" s="12" t="s">
        <v>237</v>
      </c>
      <c r="X111" s="12" t="s">
        <v>238</v>
      </c>
      <c r="Y111" s="12" t="s">
        <v>1038</v>
      </c>
      <c r="AA111" s="14">
        <v>10014</v>
      </c>
      <c r="AB111" s="14" t="s">
        <v>152</v>
      </c>
      <c r="AC111" s="12" t="s">
        <v>336</v>
      </c>
      <c r="AD111" s="15" t="str">
        <f t="shared" si="4"/>
        <v>Clarien - Salesforce Cost JC - TSL</v>
      </c>
      <c r="AE111" s="12" t="s">
        <v>117</v>
      </c>
      <c r="AF111" s="12" t="s">
        <v>117</v>
      </c>
      <c r="AG111" s="12" t="s">
        <v>117</v>
      </c>
      <c r="AH111" s="12" t="s">
        <v>1038</v>
      </c>
      <c r="AJ111" s="14">
        <v>10727</v>
      </c>
      <c r="AK111" s="14" t="s">
        <v>340</v>
      </c>
    </row>
    <row r="112" spans="6:37">
      <c r="F112" s="45">
        <v>12596</v>
      </c>
      <c r="G112" s="12" t="s">
        <v>117</v>
      </c>
      <c r="H112" s="14"/>
      <c r="R112" s="14">
        <v>12426</v>
      </c>
      <c r="S112" s="14" t="s">
        <v>236</v>
      </c>
      <c r="T112" s="12" t="s">
        <v>230</v>
      </c>
      <c r="U112" s="15" t="str">
        <f t="shared" si="3"/>
        <v>AllyAlign Health_Coding - PRSP</v>
      </c>
      <c r="V112" s="12" t="s">
        <v>126</v>
      </c>
      <c r="W112" s="12" t="s">
        <v>237</v>
      </c>
      <c r="X112" s="12" t="s">
        <v>238</v>
      </c>
      <c r="Y112" s="12" t="s">
        <v>1038</v>
      </c>
      <c r="AA112" s="14">
        <v>10865</v>
      </c>
      <c r="AB112" s="14" t="s">
        <v>363</v>
      </c>
      <c r="AC112" s="12" t="s">
        <v>145</v>
      </c>
      <c r="AD112" s="15" t="str">
        <f t="shared" si="4"/>
        <v>Clarien Bank IT Strategy GRC - SUP</v>
      </c>
      <c r="AE112" s="12" t="s">
        <v>117</v>
      </c>
      <c r="AF112" s="12" t="s">
        <v>117</v>
      </c>
      <c r="AG112" s="12" t="s">
        <v>117</v>
      </c>
      <c r="AH112" s="12" t="s">
        <v>1038</v>
      </c>
      <c r="AJ112" s="14">
        <v>10730</v>
      </c>
      <c r="AK112" s="14" t="s">
        <v>341</v>
      </c>
    </row>
    <row r="113" spans="6:37">
      <c r="F113" s="45">
        <v>12606</v>
      </c>
      <c r="G113" s="12" t="s">
        <v>117</v>
      </c>
      <c r="H113" s="14"/>
      <c r="R113" s="14">
        <v>12426</v>
      </c>
      <c r="S113" s="14" t="s">
        <v>236</v>
      </c>
      <c r="T113" s="12" t="s">
        <v>185</v>
      </c>
      <c r="U113" s="15" t="str">
        <f t="shared" si="3"/>
        <v>AllyAlign Health_Coding - TPS</v>
      </c>
      <c r="V113" s="12" t="s">
        <v>126</v>
      </c>
      <c r="W113" s="12" t="s">
        <v>237</v>
      </c>
      <c r="X113" s="12" t="s">
        <v>238</v>
      </c>
      <c r="Y113" s="12" t="s">
        <v>1038</v>
      </c>
      <c r="AA113" s="14">
        <v>95240</v>
      </c>
      <c r="AB113" s="14" t="s">
        <v>365</v>
      </c>
      <c r="AC113" s="12" t="s">
        <v>262</v>
      </c>
      <c r="AD113" s="15" t="str">
        <f t="shared" si="4"/>
        <v>CLM Applications - GSI - GSI</v>
      </c>
      <c r="AE113" s="12" t="s">
        <v>118</v>
      </c>
      <c r="AF113" s="12" t="s">
        <v>366</v>
      </c>
      <c r="AG113" s="12" t="s">
        <v>264</v>
      </c>
      <c r="AH113" s="12" t="s">
        <v>1038</v>
      </c>
      <c r="AJ113" s="14">
        <v>10732</v>
      </c>
      <c r="AK113" s="14" t="s">
        <v>216</v>
      </c>
    </row>
    <row r="114" spans="6:37">
      <c r="F114" s="45">
        <v>12607</v>
      </c>
      <c r="G114" s="12" t="s">
        <v>117</v>
      </c>
      <c r="H114" s="14"/>
      <c r="R114" s="14">
        <v>51058</v>
      </c>
      <c r="S114" s="14" t="s">
        <v>694</v>
      </c>
      <c r="T114" s="12" t="s">
        <v>116</v>
      </c>
      <c r="U114" s="15" t="str">
        <f t="shared" si="3"/>
        <v>Almajdouie-2303-2603-QEC - Bla - PRD</v>
      </c>
      <c r="V114" s="12" t="s">
        <v>117</v>
      </c>
      <c r="W114" s="12" t="s">
        <v>117</v>
      </c>
      <c r="X114" s="12" t="s">
        <v>117</v>
      </c>
      <c r="Y114" s="12" t="s">
        <v>1038</v>
      </c>
      <c r="AA114" s="14">
        <v>95240</v>
      </c>
      <c r="AB114" s="14" t="s">
        <v>365</v>
      </c>
      <c r="AC114" s="12" t="s">
        <v>145</v>
      </c>
      <c r="AD114" s="15" t="str">
        <f t="shared" si="4"/>
        <v>CLM Applications - GSI - SUP</v>
      </c>
      <c r="AE114" s="12" t="s">
        <v>118</v>
      </c>
      <c r="AF114" s="12" t="s">
        <v>366</v>
      </c>
      <c r="AG114" s="12" t="s">
        <v>264</v>
      </c>
      <c r="AH114" s="12" t="s">
        <v>1038</v>
      </c>
      <c r="AJ114" s="14">
        <v>10734</v>
      </c>
      <c r="AK114" s="14" t="s">
        <v>345</v>
      </c>
    </row>
    <row r="115" spans="6:37">
      <c r="F115" s="45">
        <v>12608</v>
      </c>
      <c r="G115" s="12" t="s">
        <v>117</v>
      </c>
      <c r="H115" s="14"/>
      <c r="R115" s="14">
        <v>10699</v>
      </c>
      <c r="S115" s="14" t="s">
        <v>319</v>
      </c>
      <c r="T115" s="12" t="s">
        <v>133</v>
      </c>
      <c r="U115" s="15" t="str">
        <f t="shared" si="3"/>
        <v>Amazon ACCS SMS - AMG</v>
      </c>
      <c r="V115" s="12" t="s">
        <v>126</v>
      </c>
      <c r="W115" s="12" t="s">
        <v>127</v>
      </c>
      <c r="X115" s="12" t="s">
        <v>128</v>
      </c>
      <c r="Y115" s="12" t="s">
        <v>1038</v>
      </c>
      <c r="AA115" s="14">
        <v>97305</v>
      </c>
      <c r="AB115" s="14" t="s">
        <v>369</v>
      </c>
      <c r="AC115" s="12" t="s">
        <v>129</v>
      </c>
      <c r="AD115" s="15" t="str">
        <f t="shared" si="4"/>
        <v>CLS – ISD &amp; eLearning - MGT</v>
      </c>
      <c r="AE115" s="12" t="s">
        <v>118</v>
      </c>
      <c r="AF115" s="12" t="s">
        <v>370</v>
      </c>
      <c r="AG115" s="12" t="s">
        <v>205</v>
      </c>
      <c r="AH115" s="12" t="s">
        <v>1038</v>
      </c>
      <c r="AJ115" s="14">
        <v>10735</v>
      </c>
      <c r="AK115" s="14" t="s">
        <v>346</v>
      </c>
    </row>
    <row r="116" spans="6:37">
      <c r="F116" s="45">
        <v>12609</v>
      </c>
      <c r="G116" s="12" t="s">
        <v>117</v>
      </c>
      <c r="H116" s="14"/>
      <c r="R116" s="14">
        <v>10699</v>
      </c>
      <c r="S116" s="14" t="s">
        <v>319</v>
      </c>
      <c r="T116" s="12" t="s">
        <v>138</v>
      </c>
      <c r="U116" s="15" t="str">
        <f t="shared" si="3"/>
        <v>Amazon ACCS SMS - BOS</v>
      </c>
      <c r="V116" s="12" t="s">
        <v>126</v>
      </c>
      <c r="W116" s="12" t="s">
        <v>127</v>
      </c>
      <c r="X116" s="12" t="s">
        <v>128</v>
      </c>
      <c r="Y116" s="12" t="s">
        <v>1038</v>
      </c>
      <c r="AA116" s="14">
        <v>97305</v>
      </c>
      <c r="AB116" s="14" t="s">
        <v>369</v>
      </c>
      <c r="AC116" s="12" t="s">
        <v>145</v>
      </c>
      <c r="AD116" s="15" t="str">
        <f t="shared" si="4"/>
        <v>CLS – ISD &amp; eLearning - SUP</v>
      </c>
      <c r="AE116" s="12" t="s">
        <v>118</v>
      </c>
      <c r="AF116" s="12" t="s">
        <v>370</v>
      </c>
      <c r="AG116" s="12" t="s">
        <v>205</v>
      </c>
      <c r="AH116" s="12" t="s">
        <v>1038</v>
      </c>
      <c r="AJ116" s="14">
        <v>10736</v>
      </c>
      <c r="AK116" s="14" t="s">
        <v>351</v>
      </c>
    </row>
    <row r="117" spans="6:37">
      <c r="F117" s="45">
        <v>12615</v>
      </c>
      <c r="G117" s="12" t="s">
        <v>117</v>
      </c>
      <c r="H117" s="14"/>
      <c r="R117" s="14">
        <v>10699</v>
      </c>
      <c r="S117" s="14" t="s">
        <v>319</v>
      </c>
      <c r="T117" s="12" t="s">
        <v>161</v>
      </c>
      <c r="U117" s="15" t="str">
        <f t="shared" si="3"/>
        <v>Amazon ACCS SMS - ECC</v>
      </c>
      <c r="V117" s="12" t="s">
        <v>126</v>
      </c>
      <c r="W117" s="12" t="s">
        <v>127</v>
      </c>
      <c r="X117" s="12" t="s">
        <v>128</v>
      </c>
      <c r="Y117" s="12" t="s">
        <v>1038</v>
      </c>
      <c r="AA117" s="14">
        <v>97305</v>
      </c>
      <c r="AB117" s="14" t="s">
        <v>369</v>
      </c>
      <c r="AC117" s="12" t="s">
        <v>203</v>
      </c>
      <c r="AD117" s="15" t="str">
        <f t="shared" si="4"/>
        <v>CLS – ISD &amp; eLearning - TRG</v>
      </c>
      <c r="AE117" s="12" t="s">
        <v>118</v>
      </c>
      <c r="AF117" s="12" t="s">
        <v>370</v>
      </c>
      <c r="AG117" s="12" t="s">
        <v>205</v>
      </c>
      <c r="AH117" s="12" t="s">
        <v>1038</v>
      </c>
      <c r="AJ117" s="14">
        <v>10738</v>
      </c>
      <c r="AK117" s="14" t="s">
        <v>353</v>
      </c>
    </row>
    <row r="118" spans="6:37">
      <c r="F118" s="45">
        <v>12616</v>
      </c>
      <c r="G118" s="12" t="s">
        <v>117</v>
      </c>
      <c r="H118" s="14"/>
      <c r="R118" s="14">
        <v>10699</v>
      </c>
      <c r="S118" s="14" t="s">
        <v>319</v>
      </c>
      <c r="T118" s="12" t="s">
        <v>177</v>
      </c>
      <c r="U118" s="15" t="str">
        <f t="shared" si="3"/>
        <v>Amazon ACCS SMS - OPS</v>
      </c>
      <c r="V118" s="12" t="s">
        <v>126</v>
      </c>
      <c r="W118" s="12" t="s">
        <v>127</v>
      </c>
      <c r="X118" s="12" t="s">
        <v>128</v>
      </c>
      <c r="Y118" s="12" t="s">
        <v>1038</v>
      </c>
      <c r="AA118" s="14">
        <v>12048</v>
      </c>
      <c r="AB118" s="14" t="s">
        <v>374</v>
      </c>
      <c r="AC118" s="12" t="s">
        <v>177</v>
      </c>
      <c r="AD118" s="15" t="str">
        <f t="shared" si="4"/>
        <v>Columbia - CUFPO - OPS</v>
      </c>
      <c r="AE118" s="12" t="s">
        <v>154</v>
      </c>
      <c r="AF118" s="12" t="s">
        <v>163</v>
      </c>
      <c r="AG118" s="12" t="s">
        <v>164</v>
      </c>
      <c r="AH118" s="12" t="s">
        <v>1038</v>
      </c>
      <c r="AJ118" s="14">
        <v>10740</v>
      </c>
      <c r="AK118" s="14" t="s">
        <v>354</v>
      </c>
    </row>
    <row r="119" spans="6:37">
      <c r="F119" s="45">
        <v>12619</v>
      </c>
      <c r="G119" s="12" t="s">
        <v>117</v>
      </c>
      <c r="H119" s="14"/>
      <c r="R119" s="14">
        <v>10699</v>
      </c>
      <c r="S119" s="14" t="s">
        <v>319</v>
      </c>
      <c r="T119" s="12" t="s">
        <v>111</v>
      </c>
      <c r="U119" s="15" t="str">
        <f t="shared" si="3"/>
        <v>Amazon ACCS SMS - QLY</v>
      </c>
      <c r="V119" s="12" t="s">
        <v>112</v>
      </c>
      <c r="W119" s="12" t="s">
        <v>113</v>
      </c>
      <c r="X119" s="12" t="s">
        <v>114</v>
      </c>
      <c r="Y119" s="12" t="s">
        <v>1038</v>
      </c>
      <c r="AA119" s="14">
        <v>12048</v>
      </c>
      <c r="AB119" s="14" t="s">
        <v>374</v>
      </c>
      <c r="AC119" s="12" t="s">
        <v>116</v>
      </c>
      <c r="AD119" s="15" t="str">
        <f t="shared" si="4"/>
        <v>Columbia - CUFPO - PRD</v>
      </c>
      <c r="AE119" s="12" t="s">
        <v>154</v>
      </c>
      <c r="AF119" s="12" t="s">
        <v>163</v>
      </c>
      <c r="AG119" s="12" t="s">
        <v>164</v>
      </c>
      <c r="AH119" s="12" t="s">
        <v>1038</v>
      </c>
      <c r="AJ119" s="14">
        <v>10743</v>
      </c>
      <c r="AK119" s="14" t="s">
        <v>356</v>
      </c>
    </row>
    <row r="120" spans="6:37">
      <c r="F120" s="45">
        <v>12621</v>
      </c>
      <c r="G120" s="12" t="s">
        <v>117</v>
      </c>
      <c r="H120" s="14"/>
      <c r="R120" s="14">
        <v>10699</v>
      </c>
      <c r="S120" s="14" t="s">
        <v>319</v>
      </c>
      <c r="T120" s="12" t="s">
        <v>172</v>
      </c>
      <c r="U120" s="15" t="str">
        <f t="shared" si="3"/>
        <v>Amazon ACCS SMS - SME</v>
      </c>
      <c r="V120" s="12" t="s">
        <v>126</v>
      </c>
      <c r="W120" s="12" t="s">
        <v>127</v>
      </c>
      <c r="X120" s="12" t="s">
        <v>128</v>
      </c>
      <c r="Y120" s="12" t="s">
        <v>1038</v>
      </c>
      <c r="AA120" s="14">
        <v>12048</v>
      </c>
      <c r="AB120" s="14" t="s">
        <v>374</v>
      </c>
      <c r="AC120" s="12" t="s">
        <v>185</v>
      </c>
      <c r="AD120" s="15" t="str">
        <f t="shared" si="4"/>
        <v>Columbia - CUFPO - TPS</v>
      </c>
      <c r="AE120" s="12" t="s">
        <v>154</v>
      </c>
      <c r="AF120" s="12" t="s">
        <v>163</v>
      </c>
      <c r="AG120" s="12" t="s">
        <v>164</v>
      </c>
      <c r="AH120" s="12" t="s">
        <v>1038</v>
      </c>
      <c r="AJ120" s="14">
        <v>10744</v>
      </c>
      <c r="AK120" s="14" t="s">
        <v>357</v>
      </c>
    </row>
    <row r="121" spans="6:37">
      <c r="F121" s="45">
        <v>12622</v>
      </c>
      <c r="G121" s="12" t="s">
        <v>117</v>
      </c>
      <c r="H121" s="14"/>
      <c r="R121" s="14">
        <v>10699</v>
      </c>
      <c r="S121" s="14" t="s">
        <v>319</v>
      </c>
      <c r="T121" s="12" t="s">
        <v>180</v>
      </c>
      <c r="U121" s="15" t="str">
        <f t="shared" si="3"/>
        <v>Amazon ACCS SMS - TMG</v>
      </c>
      <c r="V121" s="12" t="s">
        <v>126</v>
      </c>
      <c r="W121" s="12" t="s">
        <v>127</v>
      </c>
      <c r="X121" s="12" t="s">
        <v>128</v>
      </c>
      <c r="Y121" s="12" t="s">
        <v>1038</v>
      </c>
      <c r="AA121" s="14">
        <v>12054</v>
      </c>
      <c r="AB121" s="14" t="s">
        <v>378</v>
      </c>
      <c r="AC121" s="12" t="s">
        <v>224</v>
      </c>
      <c r="AD121" s="15" t="str">
        <f t="shared" si="4"/>
        <v>Columbia – Radiology - FBO - ACM</v>
      </c>
      <c r="AE121" s="12" t="s">
        <v>154</v>
      </c>
      <c r="AF121" s="12" t="s">
        <v>163</v>
      </c>
      <c r="AG121" s="12" t="s">
        <v>164</v>
      </c>
      <c r="AH121" s="12" t="s">
        <v>1038</v>
      </c>
      <c r="AJ121" s="14">
        <v>10749</v>
      </c>
      <c r="AK121" s="14" t="s">
        <v>358</v>
      </c>
    </row>
    <row r="122" spans="6:37">
      <c r="F122" s="45">
        <v>12625</v>
      </c>
      <c r="G122" s="12" t="s">
        <v>117</v>
      </c>
      <c r="H122" s="14"/>
      <c r="R122" s="14">
        <v>10810</v>
      </c>
      <c r="S122" s="14" t="s">
        <v>391</v>
      </c>
      <c r="T122" s="12" t="s">
        <v>133</v>
      </c>
      <c r="U122" s="15" t="str">
        <f t="shared" si="3"/>
        <v>Amazon DLS - AMG</v>
      </c>
      <c r="V122" s="12" t="s">
        <v>126</v>
      </c>
      <c r="W122" s="12" t="s">
        <v>178</v>
      </c>
      <c r="X122" s="12" t="s">
        <v>128</v>
      </c>
      <c r="Y122" s="12" t="s">
        <v>1038</v>
      </c>
      <c r="AA122" s="14">
        <v>12054</v>
      </c>
      <c r="AB122" s="14" t="s">
        <v>378</v>
      </c>
      <c r="AC122" s="12" t="s">
        <v>177</v>
      </c>
      <c r="AD122" s="15" t="str">
        <f t="shared" si="4"/>
        <v>Columbia – Radiology - FBO - OPS</v>
      </c>
      <c r="AE122" s="12" t="s">
        <v>154</v>
      </c>
      <c r="AF122" s="12" t="s">
        <v>163</v>
      </c>
      <c r="AG122" s="12" t="s">
        <v>164</v>
      </c>
      <c r="AH122" s="12" t="s">
        <v>1038</v>
      </c>
      <c r="AJ122" s="14">
        <v>10756</v>
      </c>
      <c r="AK122" s="14" t="s">
        <v>359</v>
      </c>
    </row>
    <row r="123" spans="6:37">
      <c r="F123" s="45">
        <v>12636</v>
      </c>
      <c r="G123" s="12" t="s">
        <v>117</v>
      </c>
      <c r="H123" s="14"/>
      <c r="R123" s="14">
        <v>10810</v>
      </c>
      <c r="S123" s="14" t="s">
        <v>391</v>
      </c>
      <c r="T123" s="12" t="s">
        <v>150</v>
      </c>
      <c r="U123" s="15" t="str">
        <f t="shared" si="3"/>
        <v>Amazon DLS - CCS</v>
      </c>
      <c r="V123" s="12" t="s">
        <v>126</v>
      </c>
      <c r="W123" s="12" t="s">
        <v>178</v>
      </c>
      <c r="X123" s="12" t="s">
        <v>128</v>
      </c>
      <c r="Y123" s="12" t="s">
        <v>1038</v>
      </c>
      <c r="AA123" s="14">
        <v>12054</v>
      </c>
      <c r="AB123" s="14" t="s">
        <v>378</v>
      </c>
      <c r="AC123" s="12" t="s">
        <v>116</v>
      </c>
      <c r="AD123" s="15" t="str">
        <f t="shared" si="4"/>
        <v>Columbia – Radiology - FBO - PRD</v>
      </c>
      <c r="AE123" s="12" t="s">
        <v>154</v>
      </c>
      <c r="AF123" s="12" t="s">
        <v>163</v>
      </c>
      <c r="AG123" s="12" t="s">
        <v>164</v>
      </c>
      <c r="AH123" s="12" t="s">
        <v>1038</v>
      </c>
      <c r="AJ123" s="14">
        <v>10759</v>
      </c>
      <c r="AK123" s="14" t="s">
        <v>362</v>
      </c>
    </row>
    <row r="124" spans="6:37">
      <c r="F124" s="45">
        <v>12637</v>
      </c>
      <c r="G124" s="12" t="s">
        <v>117</v>
      </c>
      <c r="H124" s="14"/>
      <c r="R124" s="14">
        <v>10810</v>
      </c>
      <c r="S124" s="14" t="s">
        <v>391</v>
      </c>
      <c r="T124" s="12" t="s">
        <v>161</v>
      </c>
      <c r="U124" s="15" t="str">
        <f t="shared" si="3"/>
        <v>Amazon DLS - ECC</v>
      </c>
      <c r="V124" s="12" t="s">
        <v>126</v>
      </c>
      <c r="W124" s="12" t="s">
        <v>178</v>
      </c>
      <c r="X124" s="12" t="s">
        <v>128</v>
      </c>
      <c r="Y124" s="12" t="s">
        <v>1038</v>
      </c>
      <c r="AA124" s="14">
        <v>12054</v>
      </c>
      <c r="AB124" s="14" t="s">
        <v>378</v>
      </c>
      <c r="AC124" s="12" t="s">
        <v>111</v>
      </c>
      <c r="AD124" s="15" t="str">
        <f t="shared" si="4"/>
        <v>Columbia – Radiology - FBO - QLY</v>
      </c>
      <c r="AE124" s="12" t="s">
        <v>118</v>
      </c>
      <c r="AF124" s="12" t="s">
        <v>113</v>
      </c>
      <c r="AG124" s="12" t="s">
        <v>114</v>
      </c>
      <c r="AH124" s="12" t="s">
        <v>1038</v>
      </c>
      <c r="AJ124" s="14">
        <v>10760</v>
      </c>
      <c r="AK124" s="14" t="s">
        <v>364</v>
      </c>
    </row>
    <row r="125" spans="6:37">
      <c r="F125" s="45">
        <v>12638</v>
      </c>
      <c r="G125" s="12" t="s">
        <v>117</v>
      </c>
      <c r="H125" s="14"/>
      <c r="R125" s="14">
        <v>10810</v>
      </c>
      <c r="S125" s="14" t="s">
        <v>391</v>
      </c>
      <c r="T125" s="12" t="s">
        <v>129</v>
      </c>
      <c r="U125" s="15" t="str">
        <f t="shared" si="3"/>
        <v>Amazon DLS - MGT</v>
      </c>
      <c r="V125" s="12" t="s">
        <v>126</v>
      </c>
      <c r="W125" s="12" t="s">
        <v>178</v>
      </c>
      <c r="X125" s="12" t="s">
        <v>128</v>
      </c>
      <c r="Y125" s="12" t="s">
        <v>1038</v>
      </c>
      <c r="AA125" s="14">
        <v>12054</v>
      </c>
      <c r="AB125" s="14" t="s">
        <v>378</v>
      </c>
      <c r="AC125" s="12" t="s">
        <v>332</v>
      </c>
      <c r="AD125" s="15" t="str">
        <f t="shared" si="4"/>
        <v>Columbia – Radiology - FBO - RCF</v>
      </c>
      <c r="AE125" s="12" t="s">
        <v>154</v>
      </c>
      <c r="AF125" s="12" t="s">
        <v>163</v>
      </c>
      <c r="AG125" s="12" t="s">
        <v>164</v>
      </c>
      <c r="AH125" s="12" t="s">
        <v>1038</v>
      </c>
      <c r="AJ125" s="14">
        <v>10762</v>
      </c>
      <c r="AK125" s="14" t="s">
        <v>367</v>
      </c>
    </row>
    <row r="126" spans="6:37">
      <c r="F126" s="45">
        <v>12642</v>
      </c>
      <c r="G126" s="12" t="s">
        <v>117</v>
      </c>
      <c r="H126" s="14"/>
      <c r="R126" s="14">
        <v>10810</v>
      </c>
      <c r="S126" s="14" t="s">
        <v>391</v>
      </c>
      <c r="T126" s="12" t="s">
        <v>111</v>
      </c>
      <c r="U126" s="15" t="str">
        <f t="shared" si="3"/>
        <v>Amazon DLS - QLY</v>
      </c>
      <c r="V126" s="12" t="s">
        <v>112</v>
      </c>
      <c r="W126" s="12" t="s">
        <v>113</v>
      </c>
      <c r="X126" s="12" t="s">
        <v>114</v>
      </c>
      <c r="Y126" s="12" t="s">
        <v>1038</v>
      </c>
      <c r="AA126" s="14">
        <v>12054</v>
      </c>
      <c r="AB126" s="14" t="s">
        <v>378</v>
      </c>
      <c r="AC126" s="12" t="s">
        <v>185</v>
      </c>
      <c r="AD126" s="15" t="str">
        <f t="shared" si="4"/>
        <v>Columbia – Radiology - FBO - TPS</v>
      </c>
      <c r="AE126" s="12" t="s">
        <v>154</v>
      </c>
      <c r="AF126" s="12" t="s">
        <v>163</v>
      </c>
      <c r="AG126" s="12" t="s">
        <v>164</v>
      </c>
      <c r="AH126" s="12" t="s">
        <v>1038</v>
      </c>
      <c r="AJ126" s="14">
        <v>10767</v>
      </c>
      <c r="AK126" s="14" t="s">
        <v>368</v>
      </c>
    </row>
    <row r="127" spans="6:37">
      <c r="F127" s="45">
        <v>18066</v>
      </c>
      <c r="G127" s="12" t="s">
        <v>117</v>
      </c>
      <c r="H127" s="14"/>
      <c r="R127" s="14">
        <v>10810</v>
      </c>
      <c r="S127" s="14" t="s">
        <v>391</v>
      </c>
      <c r="T127" s="12" t="s">
        <v>172</v>
      </c>
      <c r="U127" s="15" t="str">
        <f t="shared" si="3"/>
        <v>Amazon DLS - SME</v>
      </c>
      <c r="V127" s="12" t="s">
        <v>126</v>
      </c>
      <c r="W127" s="12" t="s">
        <v>178</v>
      </c>
      <c r="X127" s="12" t="s">
        <v>128</v>
      </c>
      <c r="Y127" s="12" t="s">
        <v>1038</v>
      </c>
      <c r="AA127" s="14">
        <v>96201</v>
      </c>
      <c r="AB127" s="14" t="s">
        <v>384</v>
      </c>
      <c r="AC127" s="12" t="s">
        <v>145</v>
      </c>
      <c r="AD127" s="15" t="str">
        <f t="shared" si="4"/>
        <v>Compliance - Ethics - SUP</v>
      </c>
      <c r="AE127" s="12" t="s">
        <v>118</v>
      </c>
      <c r="AF127" s="12" t="s">
        <v>385</v>
      </c>
      <c r="AG127" s="12" t="s">
        <v>114</v>
      </c>
      <c r="AH127" s="12" t="s">
        <v>1038</v>
      </c>
      <c r="AJ127" s="14">
        <v>10768</v>
      </c>
      <c r="AK127" s="14" t="s">
        <v>371</v>
      </c>
    </row>
    <row r="128" spans="6:37">
      <c r="F128" s="45">
        <v>18068</v>
      </c>
      <c r="G128" s="12" t="s">
        <v>117</v>
      </c>
      <c r="H128" s="14"/>
      <c r="R128" s="14">
        <v>10810</v>
      </c>
      <c r="S128" s="14" t="s">
        <v>391</v>
      </c>
      <c r="T128" s="12" t="s">
        <v>180</v>
      </c>
      <c r="U128" s="15" t="str">
        <f t="shared" si="3"/>
        <v>Amazon DLS - TMG</v>
      </c>
      <c r="V128" s="12" t="s">
        <v>126</v>
      </c>
      <c r="W128" s="12" t="s">
        <v>178</v>
      </c>
      <c r="X128" s="12" t="s">
        <v>128</v>
      </c>
      <c r="Y128" s="12" t="s">
        <v>1038</v>
      </c>
      <c r="AA128" s="14">
        <v>90402</v>
      </c>
      <c r="AB128" s="14" t="s">
        <v>387</v>
      </c>
      <c r="AC128" s="12" t="s">
        <v>145</v>
      </c>
      <c r="AD128" s="15" t="str">
        <f t="shared" si="4"/>
        <v>Compliance - Risk Management - SUP</v>
      </c>
      <c r="AE128" s="12" t="s">
        <v>118</v>
      </c>
      <c r="AF128" s="12" t="s">
        <v>385</v>
      </c>
      <c r="AG128" s="12" t="s">
        <v>114</v>
      </c>
      <c r="AH128" s="12" t="s">
        <v>1038</v>
      </c>
      <c r="AJ128" s="14">
        <v>10772</v>
      </c>
      <c r="AK128" s="14" t="s">
        <v>372</v>
      </c>
    </row>
    <row r="129" spans="6:37">
      <c r="F129" s="45">
        <v>20412</v>
      </c>
      <c r="G129" s="12" t="s">
        <v>117</v>
      </c>
      <c r="H129" s="14"/>
      <c r="R129" s="14">
        <v>10810</v>
      </c>
      <c r="S129" s="14" t="s">
        <v>391</v>
      </c>
      <c r="T129" s="12" t="s">
        <v>185</v>
      </c>
      <c r="U129" s="15" t="str">
        <f t="shared" si="3"/>
        <v>Amazon DLS - TPS</v>
      </c>
      <c r="V129" s="12" t="s">
        <v>126</v>
      </c>
      <c r="W129" s="12" t="s">
        <v>178</v>
      </c>
      <c r="X129" s="12" t="s">
        <v>128</v>
      </c>
      <c r="Y129" s="12" t="s">
        <v>1038</v>
      </c>
      <c r="AA129" s="14">
        <v>12057</v>
      </c>
      <c r="AB129" s="14" t="s">
        <v>389</v>
      </c>
      <c r="AC129" s="12" t="s">
        <v>145</v>
      </c>
      <c r="AD129" s="15" t="str">
        <f t="shared" si="4"/>
        <v>Compu Bill Inc - SUP</v>
      </c>
      <c r="AE129" s="12" t="s">
        <v>154</v>
      </c>
      <c r="AF129" s="12" t="s">
        <v>163</v>
      </c>
      <c r="AG129" s="12" t="s">
        <v>164</v>
      </c>
      <c r="AH129" s="12" t="s">
        <v>1038</v>
      </c>
      <c r="AJ129" s="14">
        <v>10773</v>
      </c>
      <c r="AK129" s="14" t="s">
        <v>192</v>
      </c>
    </row>
    <row r="130" spans="6:37">
      <c r="F130" s="45">
        <v>20469</v>
      </c>
      <c r="G130" s="12" t="s">
        <v>117</v>
      </c>
      <c r="H130" s="14"/>
      <c r="R130" s="14">
        <v>10810</v>
      </c>
      <c r="S130" s="14" t="s">
        <v>391</v>
      </c>
      <c r="T130" s="12" t="s">
        <v>208</v>
      </c>
      <c r="U130" s="15" t="str">
        <f t="shared" si="3"/>
        <v>Amazon DLS - TTR</v>
      </c>
      <c r="V130" s="12" t="s">
        <v>112</v>
      </c>
      <c r="W130" s="12" t="s">
        <v>204</v>
      </c>
      <c r="X130" s="12" t="s">
        <v>205</v>
      </c>
      <c r="Y130" s="12" t="s">
        <v>1038</v>
      </c>
      <c r="AA130" s="14">
        <v>12057</v>
      </c>
      <c r="AB130" s="14" t="s">
        <v>389</v>
      </c>
      <c r="AC130" s="12" t="s">
        <v>185</v>
      </c>
      <c r="AD130" s="15" t="str">
        <f t="shared" si="4"/>
        <v>Compu Bill Inc - TPS</v>
      </c>
      <c r="AE130" s="12" t="s">
        <v>154</v>
      </c>
      <c r="AF130" s="12" t="s">
        <v>163</v>
      </c>
      <c r="AG130" s="12" t="s">
        <v>164</v>
      </c>
      <c r="AH130" s="12" t="s">
        <v>1038</v>
      </c>
      <c r="AJ130" s="14">
        <v>10775</v>
      </c>
      <c r="AK130" s="14" t="s">
        <v>375</v>
      </c>
    </row>
    <row r="131" spans="6:37">
      <c r="F131" s="45">
        <v>20496</v>
      </c>
      <c r="G131" s="12" t="s">
        <v>117</v>
      </c>
      <c r="H131" s="14"/>
      <c r="R131" s="14">
        <v>10872</v>
      </c>
      <c r="S131" s="14" t="s">
        <v>434</v>
      </c>
      <c r="T131" s="12" t="s">
        <v>177</v>
      </c>
      <c r="U131" s="15" t="str">
        <f t="shared" ref="U131:U194" si="5">S131&amp;" - "&amp;T131</f>
        <v>Amazon EERO WFM Support - OPS</v>
      </c>
      <c r="V131" s="12" t="s">
        <v>112</v>
      </c>
      <c r="W131" s="12" t="s">
        <v>1006</v>
      </c>
      <c r="X131" s="12" t="s">
        <v>114</v>
      </c>
      <c r="Y131" s="12" t="s">
        <v>1038</v>
      </c>
      <c r="AA131" s="14">
        <v>12617</v>
      </c>
      <c r="AB131" s="14" t="s">
        <v>392</v>
      </c>
      <c r="AC131" s="12" t="s">
        <v>185</v>
      </c>
      <c r="AD131" s="15" t="str">
        <f t="shared" ref="AD131:AD194" si="6">AB131&amp;" - "&amp;AC131</f>
        <v>Connexin - Credentialing - TPS</v>
      </c>
      <c r="AE131" s="12" t="s">
        <v>154</v>
      </c>
      <c r="AF131" s="12" t="s">
        <v>163</v>
      </c>
      <c r="AG131" s="12" t="s">
        <v>164</v>
      </c>
      <c r="AH131" s="12" t="s">
        <v>1038</v>
      </c>
      <c r="AJ131" s="14">
        <v>10777</v>
      </c>
      <c r="AK131" s="14" t="s">
        <v>376</v>
      </c>
    </row>
    <row r="132" spans="6:37">
      <c r="F132" s="45">
        <v>20504</v>
      </c>
      <c r="G132" s="12" t="s">
        <v>117</v>
      </c>
      <c r="H132" s="14"/>
      <c r="R132" s="14">
        <v>10872</v>
      </c>
      <c r="S132" s="14" t="s">
        <v>434</v>
      </c>
      <c r="T132" s="12" t="s">
        <v>145</v>
      </c>
      <c r="U132" s="15" t="str">
        <f t="shared" si="5"/>
        <v>Amazon EERO WFM Support - SUP</v>
      </c>
      <c r="V132" s="12" t="s">
        <v>126</v>
      </c>
      <c r="W132" s="12" t="s">
        <v>178</v>
      </c>
      <c r="X132" s="12" t="s">
        <v>128</v>
      </c>
      <c r="Y132" s="12" t="s">
        <v>1038</v>
      </c>
      <c r="AA132" s="14">
        <v>12463</v>
      </c>
      <c r="AB132" s="14" t="s">
        <v>394</v>
      </c>
      <c r="AC132" s="12" t="s">
        <v>177</v>
      </c>
      <c r="AD132" s="15" t="str">
        <f t="shared" si="6"/>
        <v>Connexin Software - FBO - OPS</v>
      </c>
      <c r="AE132" s="12" t="s">
        <v>154</v>
      </c>
      <c r="AF132" s="12" t="s">
        <v>163</v>
      </c>
      <c r="AG132" s="12" t="s">
        <v>164</v>
      </c>
      <c r="AH132" s="12" t="s">
        <v>1038</v>
      </c>
      <c r="AJ132" s="14">
        <v>10779</v>
      </c>
      <c r="AK132" s="14" t="s">
        <v>377</v>
      </c>
    </row>
    <row r="133" spans="6:37">
      <c r="F133" s="45">
        <v>20547</v>
      </c>
      <c r="G133" s="12" t="s">
        <v>117</v>
      </c>
      <c r="H133" s="14"/>
      <c r="R133" s="14">
        <v>10783</v>
      </c>
      <c r="S133" s="14" t="s">
        <v>381</v>
      </c>
      <c r="T133" s="12" t="s">
        <v>133</v>
      </c>
      <c r="U133" s="15" t="str">
        <f t="shared" si="5"/>
        <v>Amazon ELS CTK - AMG</v>
      </c>
      <c r="V133" s="12" t="s">
        <v>126</v>
      </c>
      <c r="W133" s="12" t="s">
        <v>127</v>
      </c>
      <c r="X133" s="12" t="s">
        <v>128</v>
      </c>
      <c r="Y133" s="12" t="s">
        <v>1038</v>
      </c>
      <c r="AA133" s="14">
        <v>12463</v>
      </c>
      <c r="AB133" s="14" t="s">
        <v>394</v>
      </c>
      <c r="AC133" s="12" t="s">
        <v>116</v>
      </c>
      <c r="AD133" s="15" t="str">
        <f t="shared" si="6"/>
        <v>Connexin Software - FBO - PRD</v>
      </c>
      <c r="AE133" s="12" t="s">
        <v>154</v>
      </c>
      <c r="AF133" s="12" t="s">
        <v>163</v>
      </c>
      <c r="AG133" s="12" t="s">
        <v>164</v>
      </c>
      <c r="AH133" s="12" t="s">
        <v>1038</v>
      </c>
      <c r="AJ133" s="14">
        <v>10780</v>
      </c>
      <c r="AK133" s="14" t="s">
        <v>379</v>
      </c>
    </row>
    <row r="134" spans="6:37">
      <c r="F134" s="45">
        <v>20589</v>
      </c>
      <c r="G134" s="12" t="s">
        <v>117</v>
      </c>
      <c r="H134" s="14"/>
      <c r="R134" s="14">
        <v>10783</v>
      </c>
      <c r="S134" s="14" t="s">
        <v>381</v>
      </c>
      <c r="T134" s="12" t="s">
        <v>161</v>
      </c>
      <c r="U134" s="15" t="str">
        <f t="shared" si="5"/>
        <v>Amazon ELS CTK - ECC</v>
      </c>
      <c r="V134" s="12" t="s">
        <v>126</v>
      </c>
      <c r="W134" s="12" t="s">
        <v>127</v>
      </c>
      <c r="X134" s="12" t="s">
        <v>128</v>
      </c>
      <c r="Y134" s="12" t="s">
        <v>1038</v>
      </c>
      <c r="AA134" s="14">
        <v>12463</v>
      </c>
      <c r="AB134" s="14" t="s">
        <v>394</v>
      </c>
      <c r="AC134" s="12" t="s">
        <v>332</v>
      </c>
      <c r="AD134" s="15" t="str">
        <f t="shared" si="6"/>
        <v>Connexin Software - FBO - RCF</v>
      </c>
      <c r="AE134" s="12" t="s">
        <v>154</v>
      </c>
      <c r="AF134" s="12" t="s">
        <v>163</v>
      </c>
      <c r="AG134" s="12" t="s">
        <v>164</v>
      </c>
      <c r="AH134" s="12" t="s">
        <v>1038</v>
      </c>
      <c r="AJ134" s="14">
        <v>10781</v>
      </c>
      <c r="AK134" s="14" t="s">
        <v>380</v>
      </c>
    </row>
    <row r="135" spans="6:37">
      <c r="F135" s="45">
        <v>20603</v>
      </c>
      <c r="G135" s="12" t="s">
        <v>117</v>
      </c>
      <c r="H135" s="14"/>
      <c r="R135" s="14">
        <v>10783</v>
      </c>
      <c r="S135" s="14" t="s">
        <v>381</v>
      </c>
      <c r="T135" s="12" t="s">
        <v>111</v>
      </c>
      <c r="U135" s="15" t="str">
        <f t="shared" si="5"/>
        <v>Amazon ELS CTK - QLY</v>
      </c>
      <c r="V135" s="12" t="s">
        <v>112</v>
      </c>
      <c r="W135" s="12" t="s">
        <v>113</v>
      </c>
      <c r="X135" s="12" t="s">
        <v>114</v>
      </c>
      <c r="Y135" s="12" t="s">
        <v>1038</v>
      </c>
      <c r="AA135" s="14">
        <v>12463</v>
      </c>
      <c r="AB135" s="14" t="s">
        <v>394</v>
      </c>
      <c r="AC135" s="12" t="s">
        <v>185</v>
      </c>
      <c r="AD135" s="15" t="str">
        <f t="shared" si="6"/>
        <v>Connexin Software - FBO - TPS</v>
      </c>
      <c r="AE135" s="12" t="s">
        <v>154</v>
      </c>
      <c r="AF135" s="12" t="s">
        <v>163</v>
      </c>
      <c r="AG135" s="12" t="s">
        <v>164</v>
      </c>
      <c r="AH135" s="12" t="s">
        <v>1038</v>
      </c>
      <c r="AJ135" s="14">
        <v>10783</v>
      </c>
      <c r="AK135" s="14" t="s">
        <v>381</v>
      </c>
    </row>
    <row r="136" spans="6:37">
      <c r="F136" s="45">
        <v>20615</v>
      </c>
      <c r="G136" s="12" t="s">
        <v>117</v>
      </c>
      <c r="H136" s="14"/>
      <c r="R136" s="14">
        <v>10783</v>
      </c>
      <c r="S136" s="14" t="s">
        <v>381</v>
      </c>
      <c r="T136" s="12" t="s">
        <v>172</v>
      </c>
      <c r="U136" s="15" t="str">
        <f t="shared" si="5"/>
        <v>Amazon ELS CTK - SME</v>
      </c>
      <c r="V136" s="12" t="s">
        <v>126</v>
      </c>
      <c r="W136" s="12" t="s">
        <v>127</v>
      </c>
      <c r="X136" s="12" t="s">
        <v>128</v>
      </c>
      <c r="Y136" s="12" t="s">
        <v>1038</v>
      </c>
      <c r="AA136" s="14">
        <v>90407</v>
      </c>
      <c r="AB136" s="14" t="s">
        <v>404</v>
      </c>
      <c r="AC136" s="12" t="s">
        <v>145</v>
      </c>
      <c r="AD136" s="15" t="str">
        <f t="shared" si="6"/>
        <v>Corporate - Deal Governance - SUP</v>
      </c>
      <c r="AE136" s="12" t="s">
        <v>118</v>
      </c>
      <c r="AF136" s="12" t="s">
        <v>405</v>
      </c>
      <c r="AG136" s="12" t="s">
        <v>114</v>
      </c>
      <c r="AH136" s="12" t="s">
        <v>1038</v>
      </c>
      <c r="AJ136" s="14">
        <v>10784</v>
      </c>
      <c r="AK136" s="14" t="s">
        <v>382</v>
      </c>
    </row>
    <row r="137" spans="6:37">
      <c r="F137" s="45">
        <v>20621</v>
      </c>
      <c r="G137" s="12" t="s">
        <v>117</v>
      </c>
      <c r="H137" s="14"/>
      <c r="R137" s="14">
        <v>10783</v>
      </c>
      <c r="S137" s="14" t="s">
        <v>381</v>
      </c>
      <c r="T137" s="12" t="s">
        <v>180</v>
      </c>
      <c r="U137" s="15" t="str">
        <f t="shared" si="5"/>
        <v>Amazon ELS CTK - TMG</v>
      </c>
      <c r="V137" s="12" t="s">
        <v>126</v>
      </c>
      <c r="W137" s="12" t="s">
        <v>127</v>
      </c>
      <c r="X137" s="12" t="s">
        <v>128</v>
      </c>
      <c r="Y137" s="12" t="s">
        <v>1038</v>
      </c>
      <c r="AA137" s="14">
        <v>96114</v>
      </c>
      <c r="AB137" s="14" t="s">
        <v>407</v>
      </c>
      <c r="AC137" s="12" t="s">
        <v>129</v>
      </c>
      <c r="AD137" s="15" t="str">
        <f t="shared" si="6"/>
        <v>Corporate Accounting - MGT</v>
      </c>
      <c r="AE137" s="12" t="s">
        <v>118</v>
      </c>
      <c r="AF137" s="12" t="s">
        <v>405</v>
      </c>
      <c r="AG137" s="12" t="s">
        <v>114</v>
      </c>
      <c r="AH137" s="12" t="s">
        <v>1038</v>
      </c>
      <c r="AJ137" s="14">
        <v>10786</v>
      </c>
      <c r="AK137" s="14" t="s">
        <v>383</v>
      </c>
    </row>
    <row r="138" spans="6:37">
      <c r="F138" s="45">
        <v>20622</v>
      </c>
      <c r="G138" s="12" t="s">
        <v>117</v>
      </c>
      <c r="H138" s="14"/>
      <c r="R138" s="14">
        <v>10515</v>
      </c>
      <c r="S138" s="14" t="s">
        <v>267</v>
      </c>
      <c r="T138" s="12" t="s">
        <v>585</v>
      </c>
      <c r="U138" s="15" t="str">
        <f t="shared" si="5"/>
        <v>Amazon IN Seller Support - 40EREG</v>
      </c>
      <c r="V138" s="12" t="s">
        <v>126</v>
      </c>
      <c r="W138" s="12" t="s">
        <v>127</v>
      </c>
      <c r="X138" s="12" t="s">
        <v>128</v>
      </c>
      <c r="Y138" s="12" t="s">
        <v>1038</v>
      </c>
      <c r="AA138" s="14">
        <v>97101</v>
      </c>
      <c r="AB138" s="14" t="s">
        <v>409</v>
      </c>
      <c r="AC138" s="12" t="s">
        <v>145</v>
      </c>
      <c r="AD138" s="15" t="str">
        <f t="shared" si="6"/>
        <v>CPO Office - SUP</v>
      </c>
      <c r="AE138" s="12" t="s">
        <v>118</v>
      </c>
      <c r="AF138" s="12" t="s">
        <v>410</v>
      </c>
      <c r="AG138" s="12" t="s">
        <v>114</v>
      </c>
      <c r="AH138" s="12" t="s">
        <v>1038</v>
      </c>
      <c r="AJ138" s="14">
        <v>10789</v>
      </c>
      <c r="AK138" s="14" t="s">
        <v>219</v>
      </c>
    </row>
    <row r="139" spans="6:37">
      <c r="F139" s="45">
        <v>20626</v>
      </c>
      <c r="G139" s="12" t="s">
        <v>117</v>
      </c>
      <c r="H139" s="14"/>
      <c r="R139" s="14">
        <v>10515</v>
      </c>
      <c r="S139" s="14" t="s">
        <v>267</v>
      </c>
      <c r="T139" s="12" t="s">
        <v>133</v>
      </c>
      <c r="U139" s="15" t="str">
        <f t="shared" si="5"/>
        <v>Amazon IN Seller Support - AMG</v>
      </c>
      <c r="V139" s="12" t="s">
        <v>126</v>
      </c>
      <c r="W139" s="12" t="s">
        <v>127</v>
      </c>
      <c r="X139" s="12" t="s">
        <v>128</v>
      </c>
      <c r="Y139" s="12" t="s">
        <v>1038</v>
      </c>
      <c r="AA139" s="14">
        <v>90205</v>
      </c>
      <c r="AB139" s="14" t="s">
        <v>412</v>
      </c>
      <c r="AC139" s="12" t="s">
        <v>352</v>
      </c>
      <c r="AD139" s="15" t="str">
        <f t="shared" si="6"/>
        <v>CTO Office - EAT</v>
      </c>
      <c r="AE139" s="12" t="s">
        <v>118</v>
      </c>
      <c r="AF139" s="12" t="s">
        <v>263</v>
      </c>
      <c r="AG139" s="12" t="s">
        <v>264</v>
      </c>
      <c r="AH139" s="12" t="s">
        <v>1038</v>
      </c>
      <c r="AJ139" s="14">
        <v>10793</v>
      </c>
      <c r="AK139" s="14" t="s">
        <v>386</v>
      </c>
    </row>
    <row r="140" spans="6:37">
      <c r="F140" s="45">
        <v>20637</v>
      </c>
      <c r="G140" s="12" t="s">
        <v>117</v>
      </c>
      <c r="H140" s="14"/>
      <c r="R140" s="14">
        <v>10515</v>
      </c>
      <c r="S140" s="14" t="s">
        <v>267</v>
      </c>
      <c r="T140" s="12" t="s">
        <v>161</v>
      </c>
      <c r="U140" s="15" t="str">
        <f t="shared" si="5"/>
        <v>Amazon IN Seller Support - ECC</v>
      </c>
      <c r="V140" s="12" t="s">
        <v>126</v>
      </c>
      <c r="W140" s="12" t="s">
        <v>127</v>
      </c>
      <c r="X140" s="12" t="s">
        <v>128</v>
      </c>
      <c r="Y140" s="12" t="s">
        <v>1038</v>
      </c>
      <c r="AA140" s="14">
        <v>90205</v>
      </c>
      <c r="AB140" s="14" t="s">
        <v>412</v>
      </c>
      <c r="AC140" s="12" t="s">
        <v>262</v>
      </c>
      <c r="AD140" s="15" t="str">
        <f t="shared" si="6"/>
        <v>CTO Office - GSI</v>
      </c>
      <c r="AE140" s="12" t="s">
        <v>118</v>
      </c>
      <c r="AF140" s="12" t="s">
        <v>263</v>
      </c>
      <c r="AG140" s="12" t="s">
        <v>264</v>
      </c>
      <c r="AH140" s="12" t="s">
        <v>1038</v>
      </c>
      <c r="AJ140" s="14">
        <v>10794</v>
      </c>
      <c r="AK140" s="14" t="s">
        <v>388</v>
      </c>
    </row>
    <row r="141" spans="6:37">
      <c r="F141" s="45">
        <v>20651</v>
      </c>
      <c r="G141" s="12" t="s">
        <v>117</v>
      </c>
      <c r="H141" s="14"/>
      <c r="R141" s="14">
        <v>10515</v>
      </c>
      <c r="S141" s="14" t="s">
        <v>267</v>
      </c>
      <c r="T141" s="12" t="s">
        <v>116</v>
      </c>
      <c r="U141" s="15" t="str">
        <f t="shared" si="5"/>
        <v>Amazon IN Seller Support - PRD</v>
      </c>
      <c r="V141" s="12" t="s">
        <v>126</v>
      </c>
      <c r="W141" s="12" t="s">
        <v>127</v>
      </c>
      <c r="X141" s="12" t="s">
        <v>128</v>
      </c>
      <c r="Y141" s="12" t="s">
        <v>1038</v>
      </c>
      <c r="AA141" s="14">
        <v>90205</v>
      </c>
      <c r="AB141" s="14" t="s">
        <v>412</v>
      </c>
      <c r="AC141" s="12" t="s">
        <v>415</v>
      </c>
      <c r="AD141" s="15" t="str">
        <f t="shared" si="6"/>
        <v>CTO Office - GTI</v>
      </c>
      <c r="AE141" s="12" t="s">
        <v>118</v>
      </c>
      <c r="AF141" s="12" t="s">
        <v>263</v>
      </c>
      <c r="AG141" s="12" t="s">
        <v>264</v>
      </c>
      <c r="AH141" s="12" t="s">
        <v>1038</v>
      </c>
      <c r="AJ141" s="14">
        <v>10795</v>
      </c>
      <c r="AK141" s="14" t="s">
        <v>390</v>
      </c>
    </row>
    <row r="142" spans="6:37">
      <c r="F142" s="45">
        <v>20665</v>
      </c>
      <c r="G142" s="12" t="s">
        <v>117</v>
      </c>
      <c r="H142" s="14"/>
      <c r="R142" s="14">
        <v>10515</v>
      </c>
      <c r="S142" s="14" t="s">
        <v>267</v>
      </c>
      <c r="T142" s="12" t="s">
        <v>111</v>
      </c>
      <c r="U142" s="15" t="str">
        <f t="shared" si="5"/>
        <v>Amazon IN Seller Support - QLY</v>
      </c>
      <c r="V142" s="12" t="s">
        <v>112</v>
      </c>
      <c r="W142" s="12" t="s">
        <v>113</v>
      </c>
      <c r="X142" s="12" t="s">
        <v>114</v>
      </c>
      <c r="Y142" s="12" t="s">
        <v>1038</v>
      </c>
      <c r="AA142" s="14">
        <v>90205</v>
      </c>
      <c r="AB142" s="14" t="s">
        <v>412</v>
      </c>
      <c r="AC142" s="12" t="s">
        <v>129</v>
      </c>
      <c r="AD142" s="15" t="str">
        <f t="shared" si="6"/>
        <v>CTO Office - MGT</v>
      </c>
      <c r="AE142" s="12" t="s">
        <v>118</v>
      </c>
      <c r="AF142" s="12" t="s">
        <v>263</v>
      </c>
      <c r="AG142" s="12" t="s">
        <v>264</v>
      </c>
      <c r="AH142" s="12" t="s">
        <v>1038</v>
      </c>
      <c r="AJ142" s="14">
        <v>10810</v>
      </c>
      <c r="AK142" s="14" t="s">
        <v>391</v>
      </c>
    </row>
    <row r="143" spans="6:37">
      <c r="F143" s="45">
        <v>20668</v>
      </c>
      <c r="G143" s="12" t="s">
        <v>117</v>
      </c>
      <c r="H143" s="14"/>
      <c r="R143" s="14">
        <v>10515</v>
      </c>
      <c r="S143" s="14" t="s">
        <v>267</v>
      </c>
      <c r="T143" s="12" t="s">
        <v>145</v>
      </c>
      <c r="U143" s="15" t="str">
        <f t="shared" si="5"/>
        <v>Amazon IN Seller Support - SUP</v>
      </c>
      <c r="V143" s="12" t="s">
        <v>126</v>
      </c>
      <c r="W143" s="12" t="s">
        <v>127</v>
      </c>
      <c r="X143" s="12" t="s">
        <v>128</v>
      </c>
      <c r="Y143" s="12" t="s">
        <v>1038</v>
      </c>
      <c r="AA143" s="14">
        <v>90205</v>
      </c>
      <c r="AB143" s="14" t="s">
        <v>412</v>
      </c>
      <c r="AC143" s="12" t="s">
        <v>145</v>
      </c>
      <c r="AD143" s="15" t="str">
        <f t="shared" si="6"/>
        <v>CTO Office - SUP</v>
      </c>
      <c r="AE143" s="12" t="s">
        <v>118</v>
      </c>
      <c r="AF143" s="12" t="s">
        <v>263</v>
      </c>
      <c r="AG143" s="12" t="s">
        <v>264</v>
      </c>
      <c r="AH143" s="12" t="s">
        <v>1038</v>
      </c>
      <c r="AJ143" s="14">
        <v>10811</v>
      </c>
      <c r="AK143" s="14" t="s">
        <v>393</v>
      </c>
    </row>
    <row r="144" spans="6:37">
      <c r="F144" s="45">
        <v>20672</v>
      </c>
      <c r="G144" s="12" t="s">
        <v>117</v>
      </c>
      <c r="H144" s="14"/>
      <c r="R144" s="14">
        <v>10515</v>
      </c>
      <c r="S144" s="14" t="s">
        <v>267</v>
      </c>
      <c r="T144" s="12" t="s">
        <v>180</v>
      </c>
      <c r="U144" s="15" t="str">
        <f t="shared" si="5"/>
        <v>Amazon IN Seller Support - TMG</v>
      </c>
      <c r="V144" s="12" t="s">
        <v>126</v>
      </c>
      <c r="W144" s="12" t="s">
        <v>127</v>
      </c>
      <c r="X144" s="12" t="s">
        <v>128</v>
      </c>
      <c r="Y144" s="12" t="s">
        <v>1038</v>
      </c>
      <c r="AA144" s="14">
        <v>86220</v>
      </c>
      <c r="AB144" s="14" t="s">
        <v>420</v>
      </c>
      <c r="AC144" s="12" t="s">
        <v>150</v>
      </c>
      <c r="AD144" s="15" t="str">
        <f t="shared" si="6"/>
        <v>Customer Experience - Quality - CCS</v>
      </c>
      <c r="AE144" s="12" t="s">
        <v>118</v>
      </c>
      <c r="AF144" s="12" t="s">
        <v>113</v>
      </c>
      <c r="AG144" s="12" t="s">
        <v>114</v>
      </c>
      <c r="AH144" s="12" t="s">
        <v>1038</v>
      </c>
      <c r="AJ144" s="14">
        <v>10813</v>
      </c>
      <c r="AK144" s="14" t="s">
        <v>395</v>
      </c>
    </row>
    <row r="145" spans="6:37">
      <c r="F145" s="45">
        <v>20703</v>
      </c>
      <c r="G145" s="12" t="s">
        <v>117</v>
      </c>
      <c r="H145" s="14"/>
      <c r="R145" s="14">
        <v>10515</v>
      </c>
      <c r="S145" s="14" t="s">
        <v>267</v>
      </c>
      <c r="T145" s="12" t="s">
        <v>208</v>
      </c>
      <c r="U145" s="15" t="str">
        <f t="shared" si="5"/>
        <v>Amazon IN Seller Support - TTR</v>
      </c>
      <c r="V145" s="12" t="s">
        <v>112</v>
      </c>
      <c r="W145" s="12" t="s">
        <v>204</v>
      </c>
      <c r="X145" s="12" t="s">
        <v>205</v>
      </c>
      <c r="Y145" s="12" t="s">
        <v>1038</v>
      </c>
      <c r="AA145" s="14">
        <v>86220</v>
      </c>
      <c r="AB145" s="14" t="s">
        <v>420</v>
      </c>
      <c r="AC145" s="12" t="s">
        <v>422</v>
      </c>
      <c r="AD145" s="15" t="str">
        <f t="shared" si="6"/>
        <v>Customer Experience - Quality - FMEA</v>
      </c>
      <c r="AE145" s="12" t="s">
        <v>118</v>
      </c>
      <c r="AF145" s="12" t="s">
        <v>113</v>
      </c>
      <c r="AG145" s="12" t="s">
        <v>114</v>
      </c>
      <c r="AH145" s="12" t="s">
        <v>1038</v>
      </c>
      <c r="AJ145" s="14">
        <v>10814</v>
      </c>
      <c r="AK145" s="14" t="s">
        <v>396</v>
      </c>
    </row>
    <row r="146" spans="6:37">
      <c r="F146" s="45">
        <v>20705</v>
      </c>
      <c r="G146" s="12" t="s">
        <v>117</v>
      </c>
      <c r="H146" s="14"/>
      <c r="R146" s="14">
        <v>10009</v>
      </c>
      <c r="S146" s="14" t="s">
        <v>135</v>
      </c>
      <c r="T146" s="12" t="s">
        <v>271</v>
      </c>
      <c r="U146" s="15" t="str">
        <f t="shared" si="5"/>
        <v>Amazon India - 799999</v>
      </c>
      <c r="V146" s="12" t="s">
        <v>126</v>
      </c>
      <c r="W146" s="12" t="s">
        <v>127</v>
      </c>
      <c r="X146" s="12" t="s">
        <v>128</v>
      </c>
      <c r="Y146" s="12" t="s">
        <v>1038</v>
      </c>
      <c r="AA146" s="14">
        <v>86220</v>
      </c>
      <c r="AB146" s="14" t="s">
        <v>420</v>
      </c>
      <c r="AC146" s="12" t="s">
        <v>129</v>
      </c>
      <c r="AD146" s="15" t="str">
        <f t="shared" si="6"/>
        <v>Customer Experience - Quality - MGT</v>
      </c>
      <c r="AE146" s="12" t="s">
        <v>118</v>
      </c>
      <c r="AF146" s="12" t="s">
        <v>113</v>
      </c>
      <c r="AG146" s="12" t="s">
        <v>114</v>
      </c>
      <c r="AH146" s="12" t="s">
        <v>1038</v>
      </c>
      <c r="AJ146" s="14">
        <v>10817</v>
      </c>
      <c r="AK146" s="14" t="s">
        <v>397</v>
      </c>
    </row>
    <row r="147" spans="6:37">
      <c r="F147" s="45">
        <v>20706</v>
      </c>
      <c r="G147" s="12" t="s">
        <v>117</v>
      </c>
      <c r="H147" s="14"/>
      <c r="R147" s="14">
        <v>10009</v>
      </c>
      <c r="S147" s="14" t="s">
        <v>135</v>
      </c>
      <c r="T147" s="12" t="s">
        <v>133</v>
      </c>
      <c r="U147" s="15" t="str">
        <f t="shared" si="5"/>
        <v>Amazon India - AMG</v>
      </c>
      <c r="V147" s="12" t="s">
        <v>126</v>
      </c>
      <c r="W147" s="12" t="s">
        <v>127</v>
      </c>
      <c r="X147" s="12" t="s">
        <v>128</v>
      </c>
      <c r="Y147" s="12" t="s">
        <v>1038</v>
      </c>
      <c r="AA147" s="14">
        <v>86220</v>
      </c>
      <c r="AB147" s="14" t="s">
        <v>420</v>
      </c>
      <c r="AC147" s="12" t="s">
        <v>177</v>
      </c>
      <c r="AD147" s="15" t="str">
        <f t="shared" si="6"/>
        <v>Customer Experience - Quality - OPS</v>
      </c>
      <c r="AE147" s="12" t="s">
        <v>118</v>
      </c>
      <c r="AF147" s="12" t="s">
        <v>113</v>
      </c>
      <c r="AG147" s="12" t="s">
        <v>114</v>
      </c>
      <c r="AH147" s="12" t="s">
        <v>1038</v>
      </c>
      <c r="AJ147" s="14">
        <v>10818</v>
      </c>
      <c r="AK147" s="14" t="s">
        <v>399</v>
      </c>
    </row>
    <row r="148" spans="6:37">
      <c r="F148" s="45">
        <v>20710</v>
      </c>
      <c r="G148" s="12" t="s">
        <v>117</v>
      </c>
      <c r="H148" s="14"/>
      <c r="R148" s="14">
        <v>10009</v>
      </c>
      <c r="S148" s="14" t="s">
        <v>135</v>
      </c>
      <c r="T148" s="12" t="s">
        <v>144</v>
      </c>
      <c r="U148" s="15" t="str">
        <f t="shared" si="5"/>
        <v>Amazon India - CCOD</v>
      </c>
      <c r="V148" s="12" t="s">
        <v>126</v>
      </c>
      <c r="W148" s="12" t="s">
        <v>127</v>
      </c>
      <c r="X148" s="12" t="s">
        <v>128</v>
      </c>
      <c r="Y148" s="12" t="s">
        <v>1038</v>
      </c>
      <c r="AA148" s="14">
        <v>86220</v>
      </c>
      <c r="AB148" s="14" t="s">
        <v>420</v>
      </c>
      <c r="AC148" s="12" t="s">
        <v>418</v>
      </c>
      <c r="AD148" s="15" t="str">
        <f t="shared" si="6"/>
        <v>Customer Experience - Quality - QLC</v>
      </c>
      <c r="AE148" s="12" t="s">
        <v>118</v>
      </c>
      <c r="AF148" s="12" t="s">
        <v>113</v>
      </c>
      <c r="AG148" s="12" t="s">
        <v>114</v>
      </c>
      <c r="AH148" s="12" t="s">
        <v>1038</v>
      </c>
      <c r="AJ148" s="14">
        <v>10820</v>
      </c>
      <c r="AK148" s="14" t="s">
        <v>402</v>
      </c>
    </row>
    <row r="149" spans="6:37">
      <c r="F149" s="45">
        <v>20712</v>
      </c>
      <c r="G149" s="12" t="s">
        <v>117</v>
      </c>
      <c r="H149" s="14"/>
      <c r="R149" s="14">
        <v>10009</v>
      </c>
      <c r="S149" s="14" t="s">
        <v>135</v>
      </c>
      <c r="T149" s="12" t="s">
        <v>150</v>
      </c>
      <c r="U149" s="15" t="str">
        <f t="shared" si="5"/>
        <v>Amazon India - CCS</v>
      </c>
      <c r="V149" s="12" t="s">
        <v>126</v>
      </c>
      <c r="W149" s="12" t="s">
        <v>127</v>
      </c>
      <c r="X149" s="12" t="s">
        <v>128</v>
      </c>
      <c r="Y149" s="12" t="s">
        <v>1038</v>
      </c>
      <c r="AA149" s="14">
        <v>86220</v>
      </c>
      <c r="AB149" s="14" t="s">
        <v>420</v>
      </c>
      <c r="AC149" s="12" t="s">
        <v>111</v>
      </c>
      <c r="AD149" s="15" t="str">
        <f t="shared" si="6"/>
        <v>Customer Experience - Quality - QLY</v>
      </c>
      <c r="AE149" s="12" t="s">
        <v>118</v>
      </c>
      <c r="AF149" s="12" t="s">
        <v>113</v>
      </c>
      <c r="AG149" s="12" t="s">
        <v>114</v>
      </c>
      <c r="AH149" s="12" t="s">
        <v>1038</v>
      </c>
      <c r="AJ149" s="14">
        <v>10821</v>
      </c>
      <c r="AK149" s="14" t="s">
        <v>403</v>
      </c>
    </row>
    <row r="150" spans="6:37">
      <c r="F150" s="45">
        <v>21028</v>
      </c>
      <c r="G150" s="12" t="s">
        <v>117</v>
      </c>
      <c r="H150" s="14"/>
      <c r="R150" s="14">
        <v>10009</v>
      </c>
      <c r="S150" s="14" t="s">
        <v>135</v>
      </c>
      <c r="T150" s="12" t="s">
        <v>161</v>
      </c>
      <c r="U150" s="15" t="str">
        <f t="shared" si="5"/>
        <v>Amazon India - ECC</v>
      </c>
      <c r="V150" s="12" t="s">
        <v>126</v>
      </c>
      <c r="W150" s="12" t="s">
        <v>127</v>
      </c>
      <c r="X150" s="12" t="s">
        <v>128</v>
      </c>
      <c r="Y150" s="12" t="s">
        <v>1038</v>
      </c>
      <c r="AA150" s="14">
        <v>86220</v>
      </c>
      <c r="AB150" s="14" t="s">
        <v>420</v>
      </c>
      <c r="AC150" s="12" t="s">
        <v>119</v>
      </c>
      <c r="AD150" s="15" t="str">
        <f t="shared" si="6"/>
        <v>Customer Experience - Quality - SQM</v>
      </c>
      <c r="AE150" s="12" t="s">
        <v>118</v>
      </c>
      <c r="AF150" s="12" t="s">
        <v>113</v>
      </c>
      <c r="AG150" s="12" t="s">
        <v>114</v>
      </c>
      <c r="AH150" s="12" t="s">
        <v>1038</v>
      </c>
      <c r="AJ150" s="14">
        <v>10822</v>
      </c>
      <c r="AK150" s="14" t="s">
        <v>406</v>
      </c>
    </row>
    <row r="151" spans="6:37">
      <c r="F151" s="45">
        <v>21068</v>
      </c>
      <c r="G151" s="12" t="s">
        <v>117</v>
      </c>
      <c r="H151" s="12"/>
      <c r="R151" s="14">
        <v>10009</v>
      </c>
      <c r="S151" s="14" t="s">
        <v>135</v>
      </c>
      <c r="T151" s="12" t="s">
        <v>168</v>
      </c>
      <c r="U151" s="15" t="str">
        <f t="shared" si="5"/>
        <v>Amazon India - ESC</v>
      </c>
      <c r="V151" s="12" t="s">
        <v>126</v>
      </c>
      <c r="W151" s="12" t="s">
        <v>127</v>
      </c>
      <c r="X151" s="12" t="s">
        <v>128</v>
      </c>
      <c r="Y151" s="12" t="s">
        <v>1038</v>
      </c>
      <c r="AA151" s="14">
        <v>86220</v>
      </c>
      <c r="AB151" s="14" t="s">
        <v>420</v>
      </c>
      <c r="AC151" s="12" t="s">
        <v>145</v>
      </c>
      <c r="AD151" s="15" t="str">
        <f t="shared" si="6"/>
        <v>Customer Experience - Quality - SUP</v>
      </c>
      <c r="AE151" s="12" t="s">
        <v>118</v>
      </c>
      <c r="AF151" s="12" t="s">
        <v>113</v>
      </c>
      <c r="AG151" s="12" t="s">
        <v>114</v>
      </c>
      <c r="AH151" s="12" t="s">
        <v>1038</v>
      </c>
      <c r="AJ151" s="14">
        <v>10823</v>
      </c>
      <c r="AK151" s="14" t="s">
        <v>408</v>
      </c>
    </row>
    <row r="152" spans="6:37">
      <c r="F152" s="45">
        <v>21091</v>
      </c>
      <c r="G152" s="12" t="s">
        <v>117</v>
      </c>
      <c r="H152" s="12"/>
      <c r="R152" s="14">
        <v>10009</v>
      </c>
      <c r="S152" s="14" t="s">
        <v>135</v>
      </c>
      <c r="T152" s="12" t="s">
        <v>129</v>
      </c>
      <c r="U152" s="15" t="str">
        <f t="shared" si="5"/>
        <v>Amazon India - MGT</v>
      </c>
      <c r="V152" s="12" t="s">
        <v>126</v>
      </c>
      <c r="W152" s="12" t="s">
        <v>127</v>
      </c>
      <c r="X152" s="12" t="s">
        <v>128</v>
      </c>
      <c r="Y152" s="12" t="s">
        <v>1038</v>
      </c>
      <c r="AA152" s="14">
        <v>86220</v>
      </c>
      <c r="AB152" s="14" t="s">
        <v>420</v>
      </c>
      <c r="AC152" s="12" t="s">
        <v>180</v>
      </c>
      <c r="AD152" s="15" t="str">
        <f t="shared" si="6"/>
        <v>Customer Experience - Quality - TMG</v>
      </c>
      <c r="AE152" s="12" t="s">
        <v>118</v>
      </c>
      <c r="AF152" s="12" t="s">
        <v>113</v>
      </c>
      <c r="AG152" s="12" t="s">
        <v>114</v>
      </c>
      <c r="AH152" s="12" t="s">
        <v>1038</v>
      </c>
      <c r="AJ152" s="14">
        <v>10824</v>
      </c>
      <c r="AK152" s="14" t="s">
        <v>411</v>
      </c>
    </row>
    <row r="153" spans="6:37">
      <c r="F153" s="45">
        <v>21124</v>
      </c>
      <c r="G153" s="12" t="s">
        <v>117</v>
      </c>
      <c r="H153" s="12"/>
      <c r="R153" s="14">
        <v>10009</v>
      </c>
      <c r="S153" s="14" t="s">
        <v>135</v>
      </c>
      <c r="T153" s="12" t="s">
        <v>177</v>
      </c>
      <c r="U153" s="15" t="str">
        <f t="shared" si="5"/>
        <v>Amazon India - OPS</v>
      </c>
      <c r="V153" s="12" t="s">
        <v>126</v>
      </c>
      <c r="W153" s="12" t="s">
        <v>127</v>
      </c>
      <c r="X153" s="12" t="s">
        <v>128</v>
      </c>
      <c r="Y153" s="12" t="s">
        <v>1038</v>
      </c>
      <c r="AA153" s="14">
        <v>86220</v>
      </c>
      <c r="AB153" s="14" t="s">
        <v>420</v>
      </c>
      <c r="AC153" s="12" t="s">
        <v>208</v>
      </c>
      <c r="AD153" s="15" t="str">
        <f t="shared" si="6"/>
        <v>Customer Experience - Quality - TTR</v>
      </c>
      <c r="AE153" s="12" t="s">
        <v>118</v>
      </c>
      <c r="AF153" s="12" t="s">
        <v>113</v>
      </c>
      <c r="AG153" s="12" t="s">
        <v>114</v>
      </c>
      <c r="AH153" s="12" t="s">
        <v>1038</v>
      </c>
      <c r="AJ153" s="14">
        <v>10828</v>
      </c>
      <c r="AK153" s="14" t="s">
        <v>413</v>
      </c>
    </row>
    <row r="154" spans="6:37">
      <c r="F154" s="45">
        <v>21275</v>
      </c>
      <c r="G154" s="12" t="s">
        <v>117</v>
      </c>
      <c r="H154" s="12"/>
      <c r="R154" s="14">
        <v>10009</v>
      </c>
      <c r="S154" s="14" t="s">
        <v>135</v>
      </c>
      <c r="T154" s="12" t="s">
        <v>116</v>
      </c>
      <c r="U154" s="15" t="str">
        <f t="shared" si="5"/>
        <v>Amazon India - PRD</v>
      </c>
      <c r="V154" s="12" t="s">
        <v>126</v>
      </c>
      <c r="W154" s="12" t="s">
        <v>127</v>
      </c>
      <c r="X154" s="12" t="s">
        <v>128</v>
      </c>
      <c r="Y154" s="12" t="s">
        <v>1038</v>
      </c>
      <c r="AA154" s="14">
        <v>86250</v>
      </c>
      <c r="AB154" s="14" t="s">
        <v>430</v>
      </c>
      <c r="AC154" s="12" t="s">
        <v>431</v>
      </c>
      <c r="AD154" s="15" t="str">
        <f t="shared" si="6"/>
        <v>Customer Experience - SD - AGA</v>
      </c>
      <c r="AE154" s="12" t="s">
        <v>118</v>
      </c>
      <c r="AF154" s="12" t="s">
        <v>113</v>
      </c>
      <c r="AG154" s="12" t="s">
        <v>114</v>
      </c>
      <c r="AH154" s="12" t="s">
        <v>1038</v>
      </c>
      <c r="AJ154" s="14">
        <v>10829</v>
      </c>
      <c r="AK154" s="14" t="s">
        <v>414</v>
      </c>
    </row>
    <row r="155" spans="6:37">
      <c r="F155" s="45">
        <v>21354</v>
      </c>
      <c r="G155" s="12" t="s">
        <v>117</v>
      </c>
      <c r="H155" s="12"/>
      <c r="R155" s="14">
        <v>10009</v>
      </c>
      <c r="S155" s="14" t="s">
        <v>135</v>
      </c>
      <c r="T155" s="12" t="s">
        <v>111</v>
      </c>
      <c r="U155" s="15" t="str">
        <f t="shared" si="5"/>
        <v>Amazon India - QLY</v>
      </c>
      <c r="V155" s="12" t="s">
        <v>112</v>
      </c>
      <c r="W155" s="12" t="s">
        <v>113</v>
      </c>
      <c r="X155" s="12" t="s">
        <v>114</v>
      </c>
      <c r="Y155" s="12" t="s">
        <v>1038</v>
      </c>
      <c r="AA155" s="14">
        <v>86250</v>
      </c>
      <c r="AB155" s="14" t="s">
        <v>430</v>
      </c>
      <c r="AC155" s="12" t="s">
        <v>433</v>
      </c>
      <c r="AD155" s="15" t="str">
        <f t="shared" si="6"/>
        <v>Customer Experience - SD - ANA</v>
      </c>
      <c r="AE155" s="12" t="s">
        <v>118</v>
      </c>
      <c r="AF155" s="12" t="s">
        <v>113</v>
      </c>
      <c r="AG155" s="12" t="s">
        <v>114</v>
      </c>
      <c r="AH155" s="12" t="s">
        <v>1038</v>
      </c>
      <c r="AJ155" s="14">
        <v>10830</v>
      </c>
      <c r="AK155" s="14" t="s">
        <v>416</v>
      </c>
    </row>
    <row r="156" spans="6:37">
      <c r="F156" s="45">
        <v>21362</v>
      </c>
      <c r="G156" s="12" t="s">
        <v>117</v>
      </c>
      <c r="H156" s="12"/>
      <c r="R156" s="14">
        <v>10009</v>
      </c>
      <c r="S156" s="14" t="s">
        <v>135</v>
      </c>
      <c r="T156" s="12" t="s">
        <v>172</v>
      </c>
      <c r="U156" s="15" t="str">
        <f t="shared" si="5"/>
        <v>Amazon India - SME</v>
      </c>
      <c r="V156" s="12" t="s">
        <v>126</v>
      </c>
      <c r="W156" s="12" t="s">
        <v>127</v>
      </c>
      <c r="X156" s="12" t="s">
        <v>128</v>
      </c>
      <c r="Y156" s="12" t="s">
        <v>1038</v>
      </c>
      <c r="AA156" s="14">
        <v>86250</v>
      </c>
      <c r="AB156" s="14" t="s">
        <v>430</v>
      </c>
      <c r="AC156" s="12" t="s">
        <v>129</v>
      </c>
      <c r="AD156" s="15" t="str">
        <f t="shared" si="6"/>
        <v>Customer Experience - SD - MGT</v>
      </c>
      <c r="AE156" s="12" t="s">
        <v>118</v>
      </c>
      <c r="AF156" s="12" t="s">
        <v>113</v>
      </c>
      <c r="AG156" s="12" t="s">
        <v>114</v>
      </c>
      <c r="AH156" s="12" t="s">
        <v>1038</v>
      </c>
      <c r="AJ156" s="14">
        <v>10831</v>
      </c>
      <c r="AK156" s="14" t="s">
        <v>417</v>
      </c>
    </row>
    <row r="157" spans="6:37">
      <c r="F157" s="45">
        <v>21369</v>
      </c>
      <c r="G157" s="12" t="s">
        <v>117</v>
      </c>
      <c r="H157" s="12"/>
      <c r="R157" s="14">
        <v>10009</v>
      </c>
      <c r="S157" s="14" t="s">
        <v>135</v>
      </c>
      <c r="T157" s="12" t="s">
        <v>145</v>
      </c>
      <c r="U157" s="15" t="str">
        <f t="shared" si="5"/>
        <v>Amazon India - SUP</v>
      </c>
      <c r="V157" s="12" t="s">
        <v>126</v>
      </c>
      <c r="W157" s="12" t="s">
        <v>127</v>
      </c>
      <c r="X157" s="12" t="s">
        <v>128</v>
      </c>
      <c r="Y157" s="12" t="s">
        <v>1038</v>
      </c>
      <c r="AA157" s="14">
        <v>86250</v>
      </c>
      <c r="AB157" s="14" t="s">
        <v>430</v>
      </c>
      <c r="AC157" s="12" t="s">
        <v>418</v>
      </c>
      <c r="AD157" s="15" t="str">
        <f t="shared" si="6"/>
        <v>Customer Experience - SD - QLC</v>
      </c>
      <c r="AE157" s="12" t="s">
        <v>118</v>
      </c>
      <c r="AF157" s="12" t="s">
        <v>113</v>
      </c>
      <c r="AG157" s="12" t="s">
        <v>114</v>
      </c>
      <c r="AH157" s="12" t="s">
        <v>1038</v>
      </c>
      <c r="AJ157" s="14">
        <v>10832</v>
      </c>
      <c r="AK157" s="14" t="s">
        <v>419</v>
      </c>
    </row>
    <row r="158" spans="6:37">
      <c r="F158" s="45">
        <v>21441</v>
      </c>
      <c r="G158" s="12" t="s">
        <v>117</v>
      </c>
      <c r="H158" s="12"/>
      <c r="R158" s="14">
        <v>10009</v>
      </c>
      <c r="S158" s="14" t="s">
        <v>135</v>
      </c>
      <c r="T158" s="12" t="s">
        <v>196</v>
      </c>
      <c r="U158" s="15" t="str">
        <f t="shared" si="5"/>
        <v>Amazon India - SUT</v>
      </c>
      <c r="V158" s="12" t="s">
        <v>126</v>
      </c>
      <c r="W158" s="12" t="s">
        <v>127</v>
      </c>
      <c r="X158" s="12" t="s">
        <v>128</v>
      </c>
      <c r="Y158" s="12" t="s">
        <v>1038</v>
      </c>
      <c r="AA158" s="14">
        <v>86250</v>
      </c>
      <c r="AB158" s="14" t="s">
        <v>430</v>
      </c>
      <c r="AC158" s="12" t="s">
        <v>111</v>
      </c>
      <c r="AD158" s="15" t="str">
        <f t="shared" si="6"/>
        <v>Customer Experience - SD - QLY</v>
      </c>
      <c r="AE158" s="12" t="s">
        <v>118</v>
      </c>
      <c r="AF158" s="12" t="s">
        <v>113</v>
      </c>
      <c r="AG158" s="12" t="s">
        <v>114</v>
      </c>
      <c r="AH158" s="12" t="s">
        <v>1038</v>
      </c>
      <c r="AJ158" s="14">
        <v>10838</v>
      </c>
      <c r="AK158" s="14" t="s">
        <v>421</v>
      </c>
    </row>
    <row r="159" spans="6:37">
      <c r="F159" s="45">
        <v>21477</v>
      </c>
      <c r="G159" s="12" t="s">
        <v>117</v>
      </c>
      <c r="H159" s="12"/>
      <c r="R159" s="14">
        <v>10009</v>
      </c>
      <c r="S159" s="14" t="s">
        <v>135</v>
      </c>
      <c r="T159" s="12" t="s">
        <v>198</v>
      </c>
      <c r="U159" s="15" t="str">
        <f t="shared" si="5"/>
        <v>Amazon India - TEC</v>
      </c>
      <c r="V159" s="12" t="s">
        <v>126</v>
      </c>
      <c r="W159" s="12" t="s">
        <v>127</v>
      </c>
      <c r="X159" s="12" t="s">
        <v>128</v>
      </c>
      <c r="Y159" s="12" t="s">
        <v>1038</v>
      </c>
      <c r="AA159" s="14">
        <v>86250</v>
      </c>
      <c r="AB159" s="14" t="s">
        <v>430</v>
      </c>
      <c r="AC159" s="12" t="s">
        <v>119</v>
      </c>
      <c r="AD159" s="15" t="str">
        <f t="shared" si="6"/>
        <v>Customer Experience - SD - SQM</v>
      </c>
      <c r="AE159" s="12" t="s">
        <v>118</v>
      </c>
      <c r="AF159" s="12" t="s">
        <v>113</v>
      </c>
      <c r="AG159" s="12" t="s">
        <v>114</v>
      </c>
      <c r="AH159" s="12" t="s">
        <v>1038</v>
      </c>
      <c r="AJ159" s="14">
        <v>10839</v>
      </c>
      <c r="AK159" s="14" t="s">
        <v>423</v>
      </c>
    </row>
    <row r="160" spans="6:37">
      <c r="F160" s="45">
        <v>21488</v>
      </c>
      <c r="G160" s="12" t="s">
        <v>117</v>
      </c>
      <c r="H160" s="12"/>
      <c r="R160" s="14">
        <v>10009</v>
      </c>
      <c r="S160" s="14" t="s">
        <v>135</v>
      </c>
      <c r="T160" s="12" t="s">
        <v>180</v>
      </c>
      <c r="U160" s="15" t="str">
        <f t="shared" si="5"/>
        <v>Amazon India - TMG</v>
      </c>
      <c r="V160" s="12" t="s">
        <v>126</v>
      </c>
      <c r="W160" s="12" t="s">
        <v>127</v>
      </c>
      <c r="X160" s="12" t="s">
        <v>128</v>
      </c>
      <c r="Y160" s="12" t="s">
        <v>1038</v>
      </c>
      <c r="AA160" s="14">
        <v>86250</v>
      </c>
      <c r="AB160" s="14" t="s">
        <v>430</v>
      </c>
      <c r="AC160" s="12" t="s">
        <v>145</v>
      </c>
      <c r="AD160" s="15" t="str">
        <f t="shared" si="6"/>
        <v>Customer Experience - SD - SUP</v>
      </c>
      <c r="AE160" s="12" t="s">
        <v>118</v>
      </c>
      <c r="AF160" s="12" t="s">
        <v>113</v>
      </c>
      <c r="AG160" s="12" t="s">
        <v>114</v>
      </c>
      <c r="AH160" s="12" t="s">
        <v>1038</v>
      </c>
      <c r="AJ160" s="14">
        <v>10840</v>
      </c>
      <c r="AK160" s="14" t="s">
        <v>424</v>
      </c>
    </row>
    <row r="161" spans="6:37">
      <c r="F161" s="45">
        <v>21494</v>
      </c>
      <c r="G161" s="12" t="s">
        <v>117</v>
      </c>
      <c r="H161" s="12"/>
      <c r="R161" s="14">
        <v>10009</v>
      </c>
      <c r="S161" s="14" t="s">
        <v>135</v>
      </c>
      <c r="T161" s="12" t="s">
        <v>203</v>
      </c>
      <c r="U161" s="15" t="str">
        <f t="shared" si="5"/>
        <v>Amazon India - TRG</v>
      </c>
      <c r="V161" s="12" t="s">
        <v>112</v>
      </c>
      <c r="W161" s="12" t="s">
        <v>204</v>
      </c>
      <c r="X161" s="12" t="s">
        <v>205</v>
      </c>
      <c r="Y161" s="12" t="s">
        <v>1038</v>
      </c>
      <c r="AA161" s="14">
        <v>86250</v>
      </c>
      <c r="AB161" s="14" t="s">
        <v>430</v>
      </c>
      <c r="AC161" s="12" t="s">
        <v>185</v>
      </c>
      <c r="AD161" s="15" t="str">
        <f t="shared" si="6"/>
        <v>Customer Experience - SD - TPS</v>
      </c>
      <c r="AE161" s="12" t="s">
        <v>118</v>
      </c>
      <c r="AF161" s="12" t="s">
        <v>113</v>
      </c>
      <c r="AG161" s="12" t="s">
        <v>114</v>
      </c>
      <c r="AH161" s="12" t="s">
        <v>1038</v>
      </c>
      <c r="AJ161" s="14">
        <v>10841</v>
      </c>
      <c r="AK161" s="14" t="s">
        <v>425</v>
      </c>
    </row>
    <row r="162" spans="6:37">
      <c r="F162" s="45">
        <v>21514</v>
      </c>
      <c r="G162" s="12" t="s">
        <v>117</v>
      </c>
      <c r="H162" s="12"/>
      <c r="R162" s="14">
        <v>10009</v>
      </c>
      <c r="S162" s="14" t="s">
        <v>135</v>
      </c>
      <c r="T162" s="12" t="s">
        <v>208</v>
      </c>
      <c r="U162" s="15" t="str">
        <f t="shared" si="5"/>
        <v>Amazon India - TTR</v>
      </c>
      <c r="V162" s="12" t="s">
        <v>112</v>
      </c>
      <c r="W162" s="12" t="s">
        <v>204</v>
      </c>
      <c r="X162" s="12" t="s">
        <v>205</v>
      </c>
      <c r="Y162" s="12" t="s">
        <v>1038</v>
      </c>
      <c r="AA162" s="14">
        <v>93101</v>
      </c>
      <c r="AB162" s="14" t="s">
        <v>441</v>
      </c>
      <c r="AC162" s="12" t="s">
        <v>145</v>
      </c>
      <c r="AD162" s="15" t="str">
        <f t="shared" si="6"/>
        <v>Customer Relations - SUP</v>
      </c>
      <c r="AE162" s="12" t="s">
        <v>118</v>
      </c>
      <c r="AF162" s="12" t="s">
        <v>257</v>
      </c>
      <c r="AG162" s="12" t="s">
        <v>114</v>
      </c>
      <c r="AH162" s="12" t="s">
        <v>1038</v>
      </c>
      <c r="AJ162" s="14">
        <v>10843</v>
      </c>
      <c r="AK162" s="14" t="s">
        <v>426</v>
      </c>
    </row>
    <row r="163" spans="6:37">
      <c r="F163" s="45">
        <v>21525</v>
      </c>
      <c r="G163" s="12" t="s">
        <v>117</v>
      </c>
      <c r="H163" s="12"/>
      <c r="R163" s="14">
        <v>10010</v>
      </c>
      <c r="S163" s="14" t="s">
        <v>140</v>
      </c>
      <c r="T163" s="12" t="s">
        <v>133</v>
      </c>
      <c r="U163" s="15" t="str">
        <f t="shared" si="5"/>
        <v>Amazon Kindle - AMG</v>
      </c>
      <c r="V163" s="12" t="s">
        <v>126</v>
      </c>
      <c r="W163" s="12" t="s">
        <v>178</v>
      </c>
      <c r="X163" s="12" t="s">
        <v>128</v>
      </c>
      <c r="Y163" s="12" t="s">
        <v>1038</v>
      </c>
      <c r="AA163" s="14">
        <v>12632</v>
      </c>
      <c r="AB163" s="14" t="s">
        <v>443</v>
      </c>
      <c r="AC163" s="12" t="s">
        <v>185</v>
      </c>
      <c r="AD163" s="15" t="str">
        <f t="shared" si="6"/>
        <v>CVS EPDB-Cred Backlog Offshore - TPS</v>
      </c>
      <c r="AE163" s="12" t="s">
        <v>141</v>
      </c>
      <c r="AF163" s="12" t="s">
        <v>163</v>
      </c>
      <c r="AG163" s="12" t="s">
        <v>164</v>
      </c>
      <c r="AH163" s="12" t="s">
        <v>1038</v>
      </c>
      <c r="AJ163" s="14">
        <v>10845</v>
      </c>
      <c r="AK163" s="14" t="s">
        <v>427</v>
      </c>
    </row>
    <row r="164" spans="6:37">
      <c r="F164" s="45">
        <v>21547</v>
      </c>
      <c r="G164" s="12" t="s">
        <v>117</v>
      </c>
      <c r="H164" s="12"/>
      <c r="R164" s="14">
        <v>10010</v>
      </c>
      <c r="S164" s="14" t="s">
        <v>140</v>
      </c>
      <c r="T164" s="12" t="s">
        <v>144</v>
      </c>
      <c r="U164" s="15" t="str">
        <f t="shared" si="5"/>
        <v>Amazon Kindle - CCOD</v>
      </c>
      <c r="V164" s="12" t="s">
        <v>126</v>
      </c>
      <c r="W164" s="12" t="s">
        <v>178</v>
      </c>
      <c r="X164" s="12" t="s">
        <v>128</v>
      </c>
      <c r="Y164" s="12" t="s">
        <v>1038</v>
      </c>
      <c r="AA164" s="14">
        <v>12633</v>
      </c>
      <c r="AB164" s="14" t="s">
        <v>445</v>
      </c>
      <c r="AC164" s="12" t="s">
        <v>185</v>
      </c>
      <c r="AD164" s="15" t="str">
        <f t="shared" si="6"/>
        <v>CVS EPDB-PDM Backlog Offshore - TPS</v>
      </c>
      <c r="AE164" s="12" t="s">
        <v>141</v>
      </c>
      <c r="AF164" s="12" t="s">
        <v>163</v>
      </c>
      <c r="AG164" s="12" t="s">
        <v>164</v>
      </c>
      <c r="AH164" s="12" t="s">
        <v>1038</v>
      </c>
      <c r="AJ164" s="14">
        <v>10852</v>
      </c>
      <c r="AK164" s="14" t="s">
        <v>305</v>
      </c>
    </row>
    <row r="165" spans="6:37">
      <c r="F165" s="45">
        <v>21582</v>
      </c>
      <c r="G165" s="12" t="s">
        <v>117</v>
      </c>
      <c r="H165" s="14"/>
      <c r="R165" s="14">
        <v>10010</v>
      </c>
      <c r="S165" s="14" t="s">
        <v>140</v>
      </c>
      <c r="T165" s="12" t="s">
        <v>150</v>
      </c>
      <c r="U165" s="15" t="str">
        <f t="shared" si="5"/>
        <v>Amazon Kindle - CCS</v>
      </c>
      <c r="V165" s="12" t="s">
        <v>126</v>
      </c>
      <c r="W165" s="12" t="s">
        <v>178</v>
      </c>
      <c r="X165" s="12" t="s">
        <v>128</v>
      </c>
      <c r="Y165" s="12" t="s">
        <v>1038</v>
      </c>
      <c r="AA165" s="14">
        <v>12587</v>
      </c>
      <c r="AB165" s="14" t="s">
        <v>447</v>
      </c>
      <c r="AC165" s="12" t="s">
        <v>230</v>
      </c>
      <c r="AD165" s="15" t="str">
        <f t="shared" si="6"/>
        <v>CVS Health (Aetna) EPDB - PDM - PRSP</v>
      </c>
      <c r="AE165" s="12" t="s">
        <v>141</v>
      </c>
      <c r="AF165" s="12" t="s">
        <v>163</v>
      </c>
      <c r="AG165" s="12" t="s">
        <v>164</v>
      </c>
      <c r="AH165" s="12" t="s">
        <v>1038</v>
      </c>
      <c r="AJ165" s="14">
        <v>10865</v>
      </c>
      <c r="AK165" s="14" t="s">
        <v>363</v>
      </c>
    </row>
    <row r="166" spans="6:37">
      <c r="F166" s="45">
        <v>21584</v>
      </c>
      <c r="G166" s="12" t="s">
        <v>117</v>
      </c>
      <c r="H166" s="14"/>
      <c r="R166" s="14">
        <v>10010</v>
      </c>
      <c r="S166" s="14" t="s">
        <v>140</v>
      </c>
      <c r="T166" s="12" t="s">
        <v>161</v>
      </c>
      <c r="U166" s="15" t="str">
        <f t="shared" si="5"/>
        <v>Amazon Kindle - ECC</v>
      </c>
      <c r="V166" s="12" t="s">
        <v>126</v>
      </c>
      <c r="W166" s="12" t="s">
        <v>178</v>
      </c>
      <c r="X166" s="12" t="s">
        <v>128</v>
      </c>
      <c r="Y166" s="12" t="s">
        <v>1038</v>
      </c>
      <c r="AA166" s="14">
        <v>12587</v>
      </c>
      <c r="AB166" s="14" t="s">
        <v>447</v>
      </c>
      <c r="AC166" s="12" t="s">
        <v>185</v>
      </c>
      <c r="AD166" s="15" t="str">
        <f t="shared" si="6"/>
        <v>CVS Health (Aetna) EPDB - PDM - TPS</v>
      </c>
      <c r="AE166" s="12" t="s">
        <v>141</v>
      </c>
      <c r="AF166" s="12" t="s">
        <v>163</v>
      </c>
      <c r="AG166" s="12" t="s">
        <v>164</v>
      </c>
      <c r="AH166" s="12" t="s">
        <v>1038</v>
      </c>
      <c r="AJ166" s="14">
        <v>10867</v>
      </c>
      <c r="AK166" s="14" t="s">
        <v>428</v>
      </c>
    </row>
    <row r="167" spans="6:37">
      <c r="F167" s="45">
        <v>21590</v>
      </c>
      <c r="G167" s="12" t="s">
        <v>117</v>
      </c>
      <c r="H167" s="14"/>
      <c r="R167" s="14">
        <v>10010</v>
      </c>
      <c r="S167" s="14" t="s">
        <v>140</v>
      </c>
      <c r="T167" s="12" t="s">
        <v>168</v>
      </c>
      <c r="U167" s="15" t="str">
        <f t="shared" si="5"/>
        <v>Amazon Kindle - ESC</v>
      </c>
      <c r="V167" s="12" t="s">
        <v>126</v>
      </c>
      <c r="W167" s="12" t="s">
        <v>178</v>
      </c>
      <c r="X167" s="12" t="s">
        <v>128</v>
      </c>
      <c r="Y167" s="12" t="s">
        <v>1038</v>
      </c>
      <c r="AA167" s="14">
        <v>92116</v>
      </c>
      <c r="AB167" s="14" t="s">
        <v>452</v>
      </c>
      <c r="AC167" s="12" t="s">
        <v>145</v>
      </c>
      <c r="AD167" s="15" t="str">
        <f t="shared" si="6"/>
        <v>DES-1_ Facilities - SUP</v>
      </c>
      <c r="AE167" s="12" t="s">
        <v>118</v>
      </c>
      <c r="AF167" s="12" t="s">
        <v>349</v>
      </c>
      <c r="AG167" s="12" t="s">
        <v>350</v>
      </c>
      <c r="AH167" s="12" t="s">
        <v>1038</v>
      </c>
      <c r="AJ167" s="14">
        <v>10869</v>
      </c>
      <c r="AK167" s="14" t="s">
        <v>429</v>
      </c>
    </row>
    <row r="168" spans="6:37">
      <c r="F168" s="45">
        <v>21600</v>
      </c>
      <c r="G168" s="12" t="s">
        <v>117</v>
      </c>
      <c r="H168" s="14"/>
      <c r="R168" s="14">
        <v>10010</v>
      </c>
      <c r="S168" s="14" t="s">
        <v>140</v>
      </c>
      <c r="T168" s="12" t="s">
        <v>129</v>
      </c>
      <c r="U168" s="15" t="str">
        <f t="shared" si="5"/>
        <v>Amazon Kindle - MGT</v>
      </c>
      <c r="V168" s="12" t="s">
        <v>126</v>
      </c>
      <c r="W168" s="12" t="s">
        <v>178</v>
      </c>
      <c r="X168" s="12" t="s">
        <v>128</v>
      </c>
      <c r="Y168" s="12" t="s">
        <v>1038</v>
      </c>
      <c r="AA168" s="14">
        <v>95103</v>
      </c>
      <c r="AB168" s="14" t="s">
        <v>454</v>
      </c>
      <c r="AC168" s="12" t="s">
        <v>415</v>
      </c>
      <c r="AD168" s="15" t="str">
        <f t="shared" si="6"/>
        <v>Deskside Support - GTI</v>
      </c>
      <c r="AE168" s="12" t="s">
        <v>118</v>
      </c>
      <c r="AF168" s="12" t="s">
        <v>263</v>
      </c>
      <c r="AG168" s="12" t="s">
        <v>264</v>
      </c>
      <c r="AH168" s="12" t="s">
        <v>1038</v>
      </c>
      <c r="AJ168" s="14">
        <v>10871</v>
      </c>
      <c r="AK168" s="14" t="s">
        <v>432</v>
      </c>
    </row>
    <row r="169" spans="6:37">
      <c r="F169" s="45">
        <v>21606</v>
      </c>
      <c r="G169" s="12" t="s">
        <v>117</v>
      </c>
      <c r="H169" s="14"/>
      <c r="R169" s="14">
        <v>10010</v>
      </c>
      <c r="S169" s="14" t="s">
        <v>140</v>
      </c>
      <c r="T169" s="12" t="s">
        <v>116</v>
      </c>
      <c r="U169" s="15" t="str">
        <f t="shared" si="5"/>
        <v>Amazon Kindle - PRD</v>
      </c>
      <c r="V169" s="12" t="s">
        <v>126</v>
      </c>
      <c r="W169" s="12" t="s">
        <v>178</v>
      </c>
      <c r="X169" s="12" t="s">
        <v>128</v>
      </c>
      <c r="Y169" s="12" t="s">
        <v>1038</v>
      </c>
      <c r="AA169" s="14">
        <v>95103</v>
      </c>
      <c r="AB169" s="14" t="s">
        <v>454</v>
      </c>
      <c r="AC169" s="12" t="s">
        <v>129</v>
      </c>
      <c r="AD169" s="15" t="str">
        <f t="shared" si="6"/>
        <v>Deskside Support - MGT</v>
      </c>
      <c r="AE169" s="12" t="s">
        <v>118</v>
      </c>
      <c r="AF169" s="12" t="s">
        <v>263</v>
      </c>
      <c r="AG169" s="12" t="s">
        <v>264</v>
      </c>
      <c r="AH169" s="12" t="s">
        <v>1038</v>
      </c>
      <c r="AJ169" s="14">
        <v>10872</v>
      </c>
      <c r="AK169" s="14" t="s">
        <v>434</v>
      </c>
    </row>
    <row r="170" spans="6:37">
      <c r="F170" s="45">
        <v>21607</v>
      </c>
      <c r="G170" s="12" t="s">
        <v>117</v>
      </c>
      <c r="H170" s="14"/>
      <c r="R170" s="14">
        <v>10010</v>
      </c>
      <c r="S170" s="14" t="s">
        <v>140</v>
      </c>
      <c r="T170" s="12" t="s">
        <v>111</v>
      </c>
      <c r="U170" s="15" t="str">
        <f t="shared" si="5"/>
        <v>Amazon Kindle - QLY</v>
      </c>
      <c r="V170" s="12" t="s">
        <v>112</v>
      </c>
      <c r="W170" s="12" t="s">
        <v>113</v>
      </c>
      <c r="X170" s="12" t="s">
        <v>114</v>
      </c>
      <c r="Y170" s="12" t="s">
        <v>1038</v>
      </c>
      <c r="AA170" s="14">
        <v>95103</v>
      </c>
      <c r="AB170" s="14" t="s">
        <v>454</v>
      </c>
      <c r="AC170" s="12" t="s">
        <v>145</v>
      </c>
      <c r="AD170" s="15" t="str">
        <f t="shared" si="6"/>
        <v>Deskside Support - SUP</v>
      </c>
      <c r="AE170" s="12" t="s">
        <v>118</v>
      </c>
      <c r="AF170" s="12" t="s">
        <v>263</v>
      </c>
      <c r="AG170" s="12" t="s">
        <v>264</v>
      </c>
      <c r="AH170" s="12" t="s">
        <v>1038</v>
      </c>
      <c r="AJ170" s="14">
        <v>10876</v>
      </c>
      <c r="AK170" s="14" t="s">
        <v>435</v>
      </c>
    </row>
    <row r="171" spans="6:37">
      <c r="F171" s="45">
        <v>21611</v>
      </c>
      <c r="G171" s="12" t="s">
        <v>117</v>
      </c>
      <c r="H171" s="14"/>
      <c r="R171" s="14">
        <v>10010</v>
      </c>
      <c r="S171" s="14" t="s">
        <v>140</v>
      </c>
      <c r="T171" s="12" t="s">
        <v>172</v>
      </c>
      <c r="U171" s="15" t="str">
        <f t="shared" si="5"/>
        <v>Amazon Kindle - SME</v>
      </c>
      <c r="V171" s="12" t="s">
        <v>126</v>
      </c>
      <c r="W171" s="12" t="s">
        <v>178</v>
      </c>
      <c r="X171" s="12" t="s">
        <v>128</v>
      </c>
      <c r="Y171" s="12" t="s">
        <v>1038</v>
      </c>
      <c r="AA171" s="14">
        <v>89009</v>
      </c>
      <c r="AB171" s="14" t="s">
        <v>458</v>
      </c>
      <c r="AC171" s="12" t="s">
        <v>116</v>
      </c>
      <c r="AD171" s="15" t="str">
        <f t="shared" si="6"/>
        <v>Digital assurance cloudtestr - PRD</v>
      </c>
      <c r="AE171" s="12" t="s">
        <v>117</v>
      </c>
      <c r="AF171" s="12" t="s">
        <v>117</v>
      </c>
      <c r="AG171" s="12" t="s">
        <v>117</v>
      </c>
      <c r="AH171" s="12" t="s">
        <v>1038</v>
      </c>
      <c r="AJ171" s="14">
        <v>10877</v>
      </c>
      <c r="AK171" s="14" t="s">
        <v>436</v>
      </c>
    </row>
    <row r="172" spans="6:37">
      <c r="F172" s="45">
        <v>21615</v>
      </c>
      <c r="G172" s="12" t="s">
        <v>117</v>
      </c>
      <c r="H172" s="14"/>
      <c r="R172" s="14">
        <v>10010</v>
      </c>
      <c r="S172" s="14" t="s">
        <v>140</v>
      </c>
      <c r="T172" s="12" t="s">
        <v>119</v>
      </c>
      <c r="U172" s="15" t="str">
        <f t="shared" si="5"/>
        <v>Amazon Kindle - SQM</v>
      </c>
      <c r="V172" s="12" t="s">
        <v>112</v>
      </c>
      <c r="W172" s="12" t="s">
        <v>113</v>
      </c>
      <c r="X172" s="12" t="s">
        <v>114</v>
      </c>
      <c r="Y172" s="12" t="s">
        <v>1038</v>
      </c>
      <c r="AA172" s="14">
        <v>89010</v>
      </c>
      <c r="AB172" s="14" t="s">
        <v>460</v>
      </c>
      <c r="AC172" s="12" t="s">
        <v>116</v>
      </c>
      <c r="AD172" s="15" t="str">
        <f t="shared" si="6"/>
        <v>Digital assurance others - PRD</v>
      </c>
      <c r="AE172" s="12" t="s">
        <v>117</v>
      </c>
      <c r="AF172" s="12" t="s">
        <v>117</v>
      </c>
      <c r="AG172" s="12" t="s">
        <v>117</v>
      </c>
      <c r="AH172" s="12" t="s">
        <v>1038</v>
      </c>
      <c r="AJ172" s="14">
        <v>10881</v>
      </c>
      <c r="AK172" s="14" t="s">
        <v>437</v>
      </c>
    </row>
    <row r="173" spans="6:37">
      <c r="F173" s="45">
        <v>21621</v>
      </c>
      <c r="G173" s="12" t="s">
        <v>117</v>
      </c>
      <c r="H173" s="14"/>
      <c r="R173" s="14">
        <v>10010</v>
      </c>
      <c r="S173" s="14" t="s">
        <v>140</v>
      </c>
      <c r="T173" s="12" t="s">
        <v>145</v>
      </c>
      <c r="U173" s="15" t="str">
        <f t="shared" si="5"/>
        <v>Amazon Kindle - SUP</v>
      </c>
      <c r="V173" s="12" t="s">
        <v>126</v>
      </c>
      <c r="W173" s="12" t="s">
        <v>178</v>
      </c>
      <c r="X173" s="12" t="s">
        <v>128</v>
      </c>
      <c r="Y173" s="12" t="s">
        <v>1038</v>
      </c>
      <c r="AA173" s="14">
        <v>91059</v>
      </c>
      <c r="AB173" s="14" t="s">
        <v>462</v>
      </c>
      <c r="AC173" s="12" t="s">
        <v>129</v>
      </c>
      <c r="AD173" s="15" t="str">
        <f t="shared" si="6"/>
        <v>Digital Reengineering Services - MGT</v>
      </c>
      <c r="AE173" s="12" t="s">
        <v>118</v>
      </c>
      <c r="AF173" s="12" t="s">
        <v>401</v>
      </c>
      <c r="AG173" s="12" t="s">
        <v>114</v>
      </c>
      <c r="AH173" s="12" t="s">
        <v>1038</v>
      </c>
      <c r="AJ173" s="14">
        <v>10888</v>
      </c>
      <c r="AK173" s="14" t="s">
        <v>438</v>
      </c>
    </row>
    <row r="174" spans="6:37">
      <c r="F174" s="45">
        <v>21623</v>
      </c>
      <c r="G174" s="12" t="s">
        <v>117</v>
      </c>
      <c r="H174" s="14"/>
      <c r="R174" s="14">
        <v>10010</v>
      </c>
      <c r="S174" s="14" t="s">
        <v>140</v>
      </c>
      <c r="T174" s="12" t="s">
        <v>196</v>
      </c>
      <c r="U174" s="15" t="str">
        <f t="shared" si="5"/>
        <v>Amazon Kindle - SUT</v>
      </c>
      <c r="V174" s="12" t="s">
        <v>126</v>
      </c>
      <c r="W174" s="12" t="s">
        <v>178</v>
      </c>
      <c r="X174" s="12" t="s">
        <v>128</v>
      </c>
      <c r="Y174" s="12" t="s">
        <v>1038</v>
      </c>
      <c r="AA174" s="14">
        <v>91059</v>
      </c>
      <c r="AB174" s="14" t="s">
        <v>462</v>
      </c>
      <c r="AC174" s="12" t="s">
        <v>177</v>
      </c>
      <c r="AD174" s="15" t="str">
        <f t="shared" si="6"/>
        <v>Digital Reengineering Services - OPS</v>
      </c>
      <c r="AE174" s="12" t="s">
        <v>118</v>
      </c>
      <c r="AF174" s="12" t="s">
        <v>401</v>
      </c>
      <c r="AG174" s="12" t="s">
        <v>114</v>
      </c>
      <c r="AH174" s="12" t="s">
        <v>1038</v>
      </c>
      <c r="AJ174" s="14">
        <v>10891</v>
      </c>
      <c r="AK174" s="14" t="s">
        <v>439</v>
      </c>
    </row>
    <row r="175" spans="6:37">
      <c r="F175" s="45">
        <v>21624</v>
      </c>
      <c r="G175" s="12" t="s">
        <v>117</v>
      </c>
      <c r="H175" s="14"/>
      <c r="R175" s="14">
        <v>10010</v>
      </c>
      <c r="S175" s="14" t="s">
        <v>140</v>
      </c>
      <c r="T175" s="12" t="s">
        <v>180</v>
      </c>
      <c r="U175" s="15" t="str">
        <f t="shared" si="5"/>
        <v>Amazon Kindle - TMG</v>
      </c>
      <c r="V175" s="12" t="s">
        <v>126</v>
      </c>
      <c r="W175" s="12" t="s">
        <v>178</v>
      </c>
      <c r="X175" s="12" t="s">
        <v>128</v>
      </c>
      <c r="Y175" s="12" t="s">
        <v>1038</v>
      </c>
      <c r="AA175" s="14">
        <v>91059</v>
      </c>
      <c r="AB175" s="14" t="s">
        <v>462</v>
      </c>
      <c r="AC175" s="12" t="s">
        <v>111</v>
      </c>
      <c r="AD175" s="15" t="str">
        <f t="shared" si="6"/>
        <v>Digital Reengineering Services - QLY</v>
      </c>
      <c r="AE175" s="12" t="s">
        <v>118</v>
      </c>
      <c r="AF175" s="12" t="s">
        <v>401</v>
      </c>
      <c r="AG175" s="12" t="s">
        <v>114</v>
      </c>
      <c r="AH175" s="12" t="s">
        <v>1038</v>
      </c>
      <c r="AJ175" s="14">
        <v>10899</v>
      </c>
      <c r="AK175" s="14" t="s">
        <v>440</v>
      </c>
    </row>
    <row r="176" spans="6:37">
      <c r="F176" s="45">
        <v>21628</v>
      </c>
      <c r="G176" s="12" t="s">
        <v>117</v>
      </c>
      <c r="H176" s="14"/>
      <c r="R176" s="14">
        <v>10010</v>
      </c>
      <c r="S176" s="14" t="s">
        <v>140</v>
      </c>
      <c r="T176" s="12" t="s">
        <v>203</v>
      </c>
      <c r="U176" s="15" t="str">
        <f t="shared" si="5"/>
        <v>Amazon Kindle - TRG</v>
      </c>
      <c r="V176" s="12" t="s">
        <v>112</v>
      </c>
      <c r="W176" s="12" t="s">
        <v>204</v>
      </c>
      <c r="X176" s="12" t="s">
        <v>205</v>
      </c>
      <c r="Y176" s="12" t="s">
        <v>1038</v>
      </c>
      <c r="AA176" s="14">
        <v>91059</v>
      </c>
      <c r="AB176" s="14" t="s">
        <v>462</v>
      </c>
      <c r="AC176" s="12" t="s">
        <v>139</v>
      </c>
      <c r="AD176" s="15" t="str">
        <f t="shared" si="6"/>
        <v>Digital Reengineering Services - SMGT</v>
      </c>
      <c r="AE176" s="12" t="s">
        <v>118</v>
      </c>
      <c r="AF176" s="12" t="s">
        <v>401</v>
      </c>
      <c r="AG176" s="12" t="s">
        <v>114</v>
      </c>
      <c r="AH176" s="12" t="s">
        <v>1038</v>
      </c>
      <c r="AJ176" s="14">
        <v>10900</v>
      </c>
      <c r="AK176" s="14" t="s">
        <v>442</v>
      </c>
    </row>
    <row r="177" spans="6:37">
      <c r="F177" s="45">
        <v>21646</v>
      </c>
      <c r="G177" s="12" t="s">
        <v>117</v>
      </c>
      <c r="H177" s="14"/>
      <c r="R177" s="14">
        <v>10010</v>
      </c>
      <c r="S177" s="14" t="s">
        <v>140</v>
      </c>
      <c r="T177" s="12" t="s">
        <v>208</v>
      </c>
      <c r="U177" s="15" t="str">
        <f t="shared" si="5"/>
        <v>Amazon Kindle - TTR</v>
      </c>
      <c r="V177" s="12" t="s">
        <v>112</v>
      </c>
      <c r="W177" s="12" t="s">
        <v>204</v>
      </c>
      <c r="X177" s="12" t="s">
        <v>205</v>
      </c>
      <c r="Y177" s="12" t="s">
        <v>1038</v>
      </c>
      <c r="AA177" s="14">
        <v>91059</v>
      </c>
      <c r="AB177" s="14" t="s">
        <v>462</v>
      </c>
      <c r="AC177" s="12" t="s">
        <v>145</v>
      </c>
      <c r="AD177" s="15" t="str">
        <f t="shared" si="6"/>
        <v>Digital Reengineering Services - SUP</v>
      </c>
      <c r="AE177" s="12" t="s">
        <v>118</v>
      </c>
      <c r="AF177" s="12" t="s">
        <v>401</v>
      </c>
      <c r="AG177" s="12" t="s">
        <v>114</v>
      </c>
      <c r="AH177" s="12" t="s">
        <v>1038</v>
      </c>
      <c r="AJ177" s="14">
        <v>10901</v>
      </c>
      <c r="AK177" s="14" t="s">
        <v>444</v>
      </c>
    </row>
    <row r="178" spans="6:37">
      <c r="F178" s="45">
        <v>21648</v>
      </c>
      <c r="G178" s="12" t="s">
        <v>117</v>
      </c>
      <c r="H178" s="14"/>
      <c r="R178" s="14">
        <v>10730</v>
      </c>
      <c r="S178" s="14" t="s">
        <v>341</v>
      </c>
      <c r="T178" s="12" t="s">
        <v>150</v>
      </c>
      <c r="U178" s="15" t="str">
        <f t="shared" si="5"/>
        <v>Amazon Knowledge Management - CCS</v>
      </c>
      <c r="V178" s="12" t="s">
        <v>126</v>
      </c>
      <c r="W178" s="12" t="s">
        <v>184</v>
      </c>
      <c r="X178" s="12" t="s">
        <v>184</v>
      </c>
      <c r="Y178" s="12" t="s">
        <v>1038</v>
      </c>
      <c r="AA178" s="14">
        <v>89001</v>
      </c>
      <c r="AB178" s="14" t="s">
        <v>468</v>
      </c>
      <c r="AC178" s="12" t="s">
        <v>116</v>
      </c>
      <c r="AD178" s="15" t="str">
        <f t="shared" si="6"/>
        <v>Digital transformation Automat - PRD</v>
      </c>
      <c r="AE178" s="12" t="s">
        <v>117</v>
      </c>
      <c r="AF178" s="12" t="s">
        <v>117</v>
      </c>
      <c r="AG178" s="12" t="s">
        <v>117</v>
      </c>
      <c r="AH178" s="12" t="s">
        <v>1038</v>
      </c>
      <c r="AJ178" s="14">
        <v>10902</v>
      </c>
      <c r="AK178" s="14" t="s">
        <v>446</v>
      </c>
    </row>
    <row r="179" spans="6:37">
      <c r="F179" s="45">
        <v>21655</v>
      </c>
      <c r="G179" s="12" t="s">
        <v>117</v>
      </c>
      <c r="H179" s="14"/>
      <c r="R179" s="14">
        <v>10730</v>
      </c>
      <c r="S179" s="14" t="s">
        <v>341</v>
      </c>
      <c r="T179" s="12" t="s">
        <v>161</v>
      </c>
      <c r="U179" s="15" t="str">
        <f t="shared" si="5"/>
        <v>Amazon Knowledge Management - ECC</v>
      </c>
      <c r="V179" s="12" t="s">
        <v>126</v>
      </c>
      <c r="W179" s="12" t="s">
        <v>184</v>
      </c>
      <c r="X179" s="12" t="s">
        <v>184</v>
      </c>
      <c r="Y179" s="12" t="s">
        <v>1038</v>
      </c>
      <c r="AA179" s="14">
        <v>89002</v>
      </c>
      <c r="AB179" s="14" t="s">
        <v>471</v>
      </c>
      <c r="AC179" s="12" t="s">
        <v>116</v>
      </c>
      <c r="AD179" s="15" t="str">
        <f t="shared" si="6"/>
        <v>Digital transformation Digital - PRD</v>
      </c>
      <c r="AE179" s="12" t="s">
        <v>117</v>
      </c>
      <c r="AF179" s="12" t="s">
        <v>117</v>
      </c>
      <c r="AG179" s="12" t="s">
        <v>117</v>
      </c>
      <c r="AH179" s="12" t="s">
        <v>1038</v>
      </c>
      <c r="AJ179" s="14">
        <v>10904</v>
      </c>
      <c r="AK179" s="14" t="s">
        <v>448</v>
      </c>
    </row>
    <row r="180" spans="6:37">
      <c r="F180" s="45">
        <v>21660</v>
      </c>
      <c r="G180" s="12" t="s">
        <v>117</v>
      </c>
      <c r="H180" s="14"/>
      <c r="R180" s="14">
        <v>10730</v>
      </c>
      <c r="S180" s="14" t="s">
        <v>341</v>
      </c>
      <c r="T180" s="12" t="s">
        <v>171</v>
      </c>
      <c r="U180" s="15" t="str">
        <f t="shared" si="5"/>
        <v>Amazon Knowledge Management - ETE</v>
      </c>
      <c r="V180" s="12" t="s">
        <v>126</v>
      </c>
      <c r="W180" s="12" t="s">
        <v>184</v>
      </c>
      <c r="X180" s="12" t="s">
        <v>184</v>
      </c>
      <c r="Y180" s="12" t="s">
        <v>1038</v>
      </c>
      <c r="AA180" s="14">
        <v>88145</v>
      </c>
      <c r="AB180" s="14" t="s">
        <v>474</v>
      </c>
      <c r="AC180" s="12" t="s">
        <v>185</v>
      </c>
      <c r="AD180" s="15" t="str">
        <f t="shared" si="6"/>
        <v>Direct JC - F and A bench - TPS</v>
      </c>
      <c r="AE180" s="12" t="s">
        <v>154</v>
      </c>
      <c r="AF180" s="12" t="s">
        <v>163</v>
      </c>
      <c r="AG180" s="12" t="s">
        <v>164</v>
      </c>
      <c r="AH180" s="12" t="s">
        <v>1038</v>
      </c>
      <c r="AJ180" s="14">
        <v>10905</v>
      </c>
      <c r="AK180" s="14" t="s">
        <v>450</v>
      </c>
    </row>
    <row r="181" spans="6:37">
      <c r="F181" s="45">
        <v>21664</v>
      </c>
      <c r="G181" s="12" t="s">
        <v>117</v>
      </c>
      <c r="H181" s="14"/>
      <c r="R181" s="14">
        <v>10730</v>
      </c>
      <c r="S181" s="14" t="s">
        <v>341</v>
      </c>
      <c r="T181" s="12" t="s">
        <v>116</v>
      </c>
      <c r="U181" s="15" t="str">
        <f t="shared" si="5"/>
        <v>Amazon Knowledge Management - PRD</v>
      </c>
      <c r="V181" s="12" t="s">
        <v>126</v>
      </c>
      <c r="W181" s="12" t="s">
        <v>184</v>
      </c>
      <c r="X181" s="12" t="s">
        <v>184</v>
      </c>
      <c r="Y181" s="12" t="s">
        <v>1038</v>
      </c>
      <c r="AA181" s="14">
        <v>12427</v>
      </c>
      <c r="AB181" s="14" t="s">
        <v>477</v>
      </c>
      <c r="AC181" s="12" t="s">
        <v>116</v>
      </c>
      <c r="AD181" s="15" t="str">
        <f t="shared" si="6"/>
        <v>Elevance - Cred Offshore - PRD</v>
      </c>
      <c r="AE181" s="12" t="s">
        <v>141</v>
      </c>
      <c r="AF181" s="12" t="s">
        <v>163</v>
      </c>
      <c r="AG181" s="12" t="s">
        <v>164</v>
      </c>
      <c r="AH181" s="12" t="s">
        <v>1038</v>
      </c>
      <c r="AJ181" s="14">
        <v>10910</v>
      </c>
      <c r="AK181" s="14" t="s">
        <v>453</v>
      </c>
    </row>
    <row r="182" spans="6:37">
      <c r="F182" s="45">
        <v>21686</v>
      </c>
      <c r="G182" s="12" t="s">
        <v>117</v>
      </c>
      <c r="H182" s="14"/>
      <c r="R182" s="14">
        <v>10730</v>
      </c>
      <c r="S182" s="14" t="s">
        <v>341</v>
      </c>
      <c r="T182" s="12" t="s">
        <v>829</v>
      </c>
      <c r="U182" s="15" t="str">
        <f t="shared" si="5"/>
        <v>Amazon Knowledge Management - RSS</v>
      </c>
      <c r="V182" s="12" t="s">
        <v>126</v>
      </c>
      <c r="W182" s="12" t="s">
        <v>184</v>
      </c>
      <c r="X182" s="12" t="s">
        <v>184</v>
      </c>
      <c r="Y182" s="12" t="s">
        <v>1038</v>
      </c>
      <c r="AA182" s="14">
        <v>12427</v>
      </c>
      <c r="AB182" s="14" t="s">
        <v>477</v>
      </c>
      <c r="AC182" s="12" t="s">
        <v>145</v>
      </c>
      <c r="AD182" s="15" t="str">
        <f t="shared" si="6"/>
        <v>Elevance - Cred Offshore - SUP</v>
      </c>
      <c r="AE182" s="12" t="s">
        <v>141</v>
      </c>
      <c r="AF182" s="12" t="s">
        <v>163</v>
      </c>
      <c r="AG182" s="12" t="s">
        <v>164</v>
      </c>
      <c r="AH182" s="12" t="s">
        <v>1038</v>
      </c>
      <c r="AJ182" s="14">
        <v>10912</v>
      </c>
      <c r="AK182" s="14" t="s">
        <v>455</v>
      </c>
    </row>
    <row r="183" spans="6:37">
      <c r="F183" s="45">
        <v>21687</v>
      </c>
      <c r="G183" s="12" t="s">
        <v>117</v>
      </c>
      <c r="H183" s="14"/>
      <c r="R183" s="14">
        <v>10730</v>
      </c>
      <c r="S183" s="14" t="s">
        <v>341</v>
      </c>
      <c r="T183" s="12" t="s">
        <v>510</v>
      </c>
      <c r="U183" s="15" t="str">
        <f t="shared" si="5"/>
        <v>Amazon Knowledge Management - RST</v>
      </c>
      <c r="V183" s="12" t="s">
        <v>126</v>
      </c>
      <c r="W183" s="12" t="s">
        <v>184</v>
      </c>
      <c r="X183" s="12" t="s">
        <v>184</v>
      </c>
      <c r="Y183" s="12" t="s">
        <v>1038</v>
      </c>
      <c r="AA183" s="14">
        <v>12427</v>
      </c>
      <c r="AB183" s="14" t="s">
        <v>477</v>
      </c>
      <c r="AC183" s="12" t="s">
        <v>198</v>
      </c>
      <c r="AD183" s="15" t="str">
        <f t="shared" si="6"/>
        <v>Elevance - Cred Offshore - TEC</v>
      </c>
      <c r="AE183" s="12" t="s">
        <v>141</v>
      </c>
      <c r="AF183" s="12" t="s">
        <v>163</v>
      </c>
      <c r="AG183" s="12" t="s">
        <v>164</v>
      </c>
      <c r="AH183" s="12" t="s">
        <v>1038</v>
      </c>
      <c r="AJ183" s="14">
        <v>10913</v>
      </c>
      <c r="AK183" s="14" t="s">
        <v>456</v>
      </c>
    </row>
    <row r="184" spans="6:37">
      <c r="F184" s="45">
        <v>21694</v>
      </c>
      <c r="G184" s="12" t="s">
        <v>117</v>
      </c>
      <c r="H184" s="14"/>
      <c r="R184" s="14">
        <v>10730</v>
      </c>
      <c r="S184" s="14" t="s">
        <v>341</v>
      </c>
      <c r="T184" s="12" t="s">
        <v>172</v>
      </c>
      <c r="U184" s="15" t="str">
        <f t="shared" si="5"/>
        <v>Amazon Knowledge Management - SME</v>
      </c>
      <c r="V184" s="12" t="s">
        <v>126</v>
      </c>
      <c r="W184" s="12" t="s">
        <v>184</v>
      </c>
      <c r="X184" s="12" t="s">
        <v>184</v>
      </c>
      <c r="Y184" s="12" t="s">
        <v>1038</v>
      </c>
      <c r="AA184" s="14">
        <v>12427</v>
      </c>
      <c r="AB184" s="14" t="s">
        <v>477</v>
      </c>
      <c r="AC184" s="12" t="s">
        <v>180</v>
      </c>
      <c r="AD184" s="15" t="str">
        <f t="shared" si="6"/>
        <v>Elevance - Cred Offshore - TMG</v>
      </c>
      <c r="AE184" s="12" t="s">
        <v>141</v>
      </c>
      <c r="AF184" s="12" t="s">
        <v>163</v>
      </c>
      <c r="AG184" s="12" t="s">
        <v>164</v>
      </c>
      <c r="AH184" s="12" t="s">
        <v>1038</v>
      </c>
      <c r="AJ184" s="14">
        <v>10914</v>
      </c>
      <c r="AK184" s="14" t="s">
        <v>457</v>
      </c>
    </row>
    <row r="185" spans="6:37">
      <c r="F185" s="45">
        <v>21707</v>
      </c>
      <c r="G185" s="12" t="s">
        <v>117</v>
      </c>
      <c r="H185" s="14"/>
      <c r="R185" s="14">
        <v>10730</v>
      </c>
      <c r="S185" s="14" t="s">
        <v>341</v>
      </c>
      <c r="T185" s="12" t="s">
        <v>145</v>
      </c>
      <c r="U185" s="15" t="str">
        <f t="shared" si="5"/>
        <v>Amazon Knowledge Management - SUP</v>
      </c>
      <c r="V185" s="12" t="s">
        <v>126</v>
      </c>
      <c r="W185" s="12" t="s">
        <v>184</v>
      </c>
      <c r="X185" s="12" t="s">
        <v>184</v>
      </c>
      <c r="Y185" s="12" t="s">
        <v>1038</v>
      </c>
      <c r="AA185" s="14">
        <v>12427</v>
      </c>
      <c r="AB185" s="14" t="s">
        <v>477</v>
      </c>
      <c r="AC185" s="12" t="s">
        <v>185</v>
      </c>
      <c r="AD185" s="15" t="str">
        <f t="shared" si="6"/>
        <v>Elevance - Cred Offshore - TPS</v>
      </c>
      <c r="AE185" s="12" t="s">
        <v>141</v>
      </c>
      <c r="AF185" s="12" t="s">
        <v>163</v>
      </c>
      <c r="AG185" s="12" t="s">
        <v>164</v>
      </c>
      <c r="AH185" s="12" t="s">
        <v>1038</v>
      </c>
      <c r="AJ185" s="14">
        <v>10915</v>
      </c>
      <c r="AK185" s="14" t="s">
        <v>459</v>
      </c>
    </row>
    <row r="186" spans="6:37">
      <c r="F186" s="45">
        <v>21721</v>
      </c>
      <c r="G186" s="12" t="s">
        <v>117</v>
      </c>
      <c r="H186" s="14"/>
      <c r="R186" s="14">
        <v>10730</v>
      </c>
      <c r="S186" s="14" t="s">
        <v>341</v>
      </c>
      <c r="T186" s="12" t="s">
        <v>198</v>
      </c>
      <c r="U186" s="15" t="str">
        <f t="shared" si="5"/>
        <v>Amazon Knowledge Management - TEC</v>
      </c>
      <c r="V186" s="12" t="s">
        <v>126</v>
      </c>
      <c r="W186" s="12" t="s">
        <v>184</v>
      </c>
      <c r="X186" s="12" t="s">
        <v>184</v>
      </c>
      <c r="Y186" s="12" t="s">
        <v>1038</v>
      </c>
      <c r="AA186" s="14">
        <v>12590</v>
      </c>
      <c r="AB186" s="14" t="s">
        <v>486</v>
      </c>
      <c r="AC186" s="12" t="s">
        <v>145</v>
      </c>
      <c r="AD186" s="15" t="str">
        <f t="shared" si="6"/>
        <v>Elevance - DOO Platform - SUP</v>
      </c>
      <c r="AE186" s="12" t="s">
        <v>117</v>
      </c>
      <c r="AF186" s="12" t="s">
        <v>117</v>
      </c>
      <c r="AG186" s="12" t="s">
        <v>117</v>
      </c>
      <c r="AH186" s="12" t="s">
        <v>1038</v>
      </c>
      <c r="AJ186" s="14">
        <v>10916</v>
      </c>
      <c r="AK186" s="14" t="s">
        <v>461</v>
      </c>
    </row>
    <row r="187" spans="6:37">
      <c r="F187" s="45">
        <v>21723</v>
      </c>
      <c r="G187" s="12" t="s">
        <v>117</v>
      </c>
      <c r="H187" s="14"/>
      <c r="R187" s="14">
        <v>10730</v>
      </c>
      <c r="S187" s="14" t="s">
        <v>341</v>
      </c>
      <c r="T187" s="12" t="s">
        <v>180</v>
      </c>
      <c r="U187" s="15" t="str">
        <f t="shared" si="5"/>
        <v>Amazon Knowledge Management - TMG</v>
      </c>
      <c r="V187" s="12" t="s">
        <v>126</v>
      </c>
      <c r="W187" s="12" t="s">
        <v>184</v>
      </c>
      <c r="X187" s="12" t="s">
        <v>184</v>
      </c>
      <c r="Y187" s="12" t="s">
        <v>1038</v>
      </c>
      <c r="AA187" s="14">
        <v>12505</v>
      </c>
      <c r="AB187" s="14" t="s">
        <v>488</v>
      </c>
      <c r="AC187" s="12" t="s">
        <v>193</v>
      </c>
      <c r="AD187" s="15" t="str">
        <f t="shared" si="6"/>
        <v>Elevance - Phase 2 Discovery - DEV</v>
      </c>
      <c r="AE187" s="12" t="s">
        <v>117</v>
      </c>
      <c r="AF187" s="12" t="s">
        <v>117</v>
      </c>
      <c r="AG187" s="12" t="s">
        <v>117</v>
      </c>
      <c r="AH187" s="12" t="s">
        <v>1038</v>
      </c>
      <c r="AJ187" s="14">
        <v>10917</v>
      </c>
      <c r="AK187" s="14" t="s">
        <v>463</v>
      </c>
    </row>
    <row r="188" spans="6:37">
      <c r="F188" s="45">
        <v>21731</v>
      </c>
      <c r="G188" s="12" t="s">
        <v>117</v>
      </c>
      <c r="H188" s="14"/>
      <c r="R188" s="14">
        <v>10695</v>
      </c>
      <c r="S188" s="14" t="s">
        <v>315</v>
      </c>
      <c r="T188" s="12" t="s">
        <v>133</v>
      </c>
      <c r="U188" s="15" t="str">
        <f t="shared" si="5"/>
        <v>Amazon LifeCycle IND - AMG</v>
      </c>
      <c r="V188" s="12" t="s">
        <v>126</v>
      </c>
      <c r="W188" s="12" t="s">
        <v>127</v>
      </c>
      <c r="X188" s="12" t="s">
        <v>128</v>
      </c>
      <c r="Y188" s="12" t="s">
        <v>1038</v>
      </c>
      <c r="AA188" s="14">
        <v>12505</v>
      </c>
      <c r="AB188" s="14" t="s">
        <v>488</v>
      </c>
      <c r="AC188" s="12" t="s">
        <v>145</v>
      </c>
      <c r="AD188" s="15" t="str">
        <f t="shared" si="6"/>
        <v>Elevance - Phase 2 Discovery - SUP</v>
      </c>
      <c r="AE188" s="12" t="s">
        <v>117</v>
      </c>
      <c r="AF188" s="12" t="s">
        <v>117</v>
      </c>
      <c r="AG188" s="12" t="s">
        <v>117</v>
      </c>
      <c r="AH188" s="12" t="s">
        <v>1038</v>
      </c>
      <c r="AJ188" s="14">
        <v>10918</v>
      </c>
      <c r="AK188" s="14" t="s">
        <v>464</v>
      </c>
    </row>
    <row r="189" spans="6:37">
      <c r="F189" s="45">
        <v>22544</v>
      </c>
      <c r="G189" s="12" t="s">
        <v>117</v>
      </c>
      <c r="H189" s="14"/>
      <c r="R189" s="14">
        <v>10695</v>
      </c>
      <c r="S189" s="14" t="s">
        <v>315</v>
      </c>
      <c r="T189" s="12" t="s">
        <v>161</v>
      </c>
      <c r="U189" s="15" t="str">
        <f t="shared" si="5"/>
        <v>Amazon LifeCycle IND - ECC</v>
      </c>
      <c r="V189" s="12" t="s">
        <v>126</v>
      </c>
      <c r="W189" s="12" t="s">
        <v>127</v>
      </c>
      <c r="X189" s="12" t="s">
        <v>128</v>
      </c>
      <c r="Y189" s="12" t="s">
        <v>1038</v>
      </c>
      <c r="AA189" s="14">
        <v>12607</v>
      </c>
      <c r="AB189" s="14" t="s">
        <v>490</v>
      </c>
      <c r="AC189" s="12" t="s">
        <v>116</v>
      </c>
      <c r="AD189" s="15" t="str">
        <f t="shared" si="6"/>
        <v>Elevance RPA_BOT Dev and Maint - PRD</v>
      </c>
      <c r="AE189" s="12" t="s">
        <v>117</v>
      </c>
      <c r="AF189" s="12" t="s">
        <v>117</v>
      </c>
      <c r="AG189" s="12" t="s">
        <v>117</v>
      </c>
      <c r="AH189" s="12" t="s">
        <v>1038</v>
      </c>
      <c r="AJ189" s="14">
        <v>10919</v>
      </c>
      <c r="AK189" s="14" t="s">
        <v>465</v>
      </c>
    </row>
    <row r="190" spans="6:37">
      <c r="F190" s="45">
        <v>22563</v>
      </c>
      <c r="G190" s="12" t="s">
        <v>117</v>
      </c>
      <c r="R190" s="14">
        <v>10695</v>
      </c>
      <c r="S190" s="14" t="s">
        <v>315</v>
      </c>
      <c r="T190" s="12" t="s">
        <v>111</v>
      </c>
      <c r="U190" s="15" t="str">
        <f t="shared" si="5"/>
        <v>Amazon LifeCycle IND - QLY</v>
      </c>
      <c r="V190" s="12" t="s">
        <v>112</v>
      </c>
      <c r="W190" s="12" t="s">
        <v>113</v>
      </c>
      <c r="X190" s="12" t="s">
        <v>114</v>
      </c>
      <c r="Y190" s="12" t="s">
        <v>1038</v>
      </c>
      <c r="AA190" s="14">
        <v>93022</v>
      </c>
      <c r="AB190" s="14" t="s">
        <v>493</v>
      </c>
      <c r="AC190" s="12" t="s">
        <v>145</v>
      </c>
      <c r="AD190" s="15" t="str">
        <f t="shared" si="6"/>
        <v>Employee Communications - SUP</v>
      </c>
      <c r="AE190" s="12" t="s">
        <v>118</v>
      </c>
      <c r="AF190" s="12" t="s">
        <v>494</v>
      </c>
      <c r="AG190" s="12" t="s">
        <v>114</v>
      </c>
      <c r="AH190" s="12" t="s">
        <v>1038</v>
      </c>
      <c r="AJ190" s="14">
        <v>10920</v>
      </c>
      <c r="AK190" s="14" t="s">
        <v>466</v>
      </c>
    </row>
    <row r="191" spans="6:37">
      <c r="F191" s="45">
        <v>25402</v>
      </c>
      <c r="G191" s="12" t="s">
        <v>117</v>
      </c>
      <c r="R191" s="14">
        <v>10695</v>
      </c>
      <c r="S191" s="14" t="s">
        <v>315</v>
      </c>
      <c r="T191" s="12" t="s">
        <v>172</v>
      </c>
      <c r="U191" s="15" t="str">
        <f t="shared" si="5"/>
        <v>Amazon LifeCycle IND - SME</v>
      </c>
      <c r="V191" s="12" t="s">
        <v>126</v>
      </c>
      <c r="W191" s="12" t="s">
        <v>127</v>
      </c>
      <c r="X191" s="12" t="s">
        <v>128</v>
      </c>
      <c r="Y191" s="12" t="s">
        <v>1038</v>
      </c>
      <c r="AA191" s="14">
        <v>89004</v>
      </c>
      <c r="AB191" s="14" t="s">
        <v>496</v>
      </c>
      <c r="AC191" s="12" t="s">
        <v>116</v>
      </c>
      <c r="AD191" s="15" t="str">
        <f t="shared" si="6"/>
        <v>Enterprise application mainten - PRD</v>
      </c>
      <c r="AE191" s="12" t="s">
        <v>117</v>
      </c>
      <c r="AF191" s="12" t="s">
        <v>117</v>
      </c>
      <c r="AG191" s="12" t="s">
        <v>117</v>
      </c>
      <c r="AH191" s="12" t="s">
        <v>1038</v>
      </c>
      <c r="AJ191" s="14">
        <v>10922</v>
      </c>
      <c r="AK191" s="14" t="s">
        <v>467</v>
      </c>
    </row>
    <row r="192" spans="6:37">
      <c r="F192" s="45">
        <v>27087</v>
      </c>
      <c r="G192" s="12" t="s">
        <v>117</v>
      </c>
      <c r="R192" s="14">
        <v>10695</v>
      </c>
      <c r="S192" s="14" t="s">
        <v>315</v>
      </c>
      <c r="T192" s="12" t="s">
        <v>145</v>
      </c>
      <c r="U192" s="15" t="str">
        <f t="shared" si="5"/>
        <v>Amazon LifeCycle IND - SUP</v>
      </c>
      <c r="V192" s="12" t="s">
        <v>126</v>
      </c>
      <c r="W192" s="12" t="s">
        <v>127</v>
      </c>
      <c r="X192" s="12" t="s">
        <v>128</v>
      </c>
      <c r="Y192" s="12" t="s">
        <v>1038</v>
      </c>
      <c r="AA192" s="14">
        <v>95305</v>
      </c>
      <c r="AB192" s="14" t="s">
        <v>498</v>
      </c>
      <c r="AC192" s="12" t="s">
        <v>129</v>
      </c>
      <c r="AD192" s="15" t="str">
        <f t="shared" si="6"/>
        <v>ESG Ariba - MGT</v>
      </c>
      <c r="AE192" s="12" t="s">
        <v>118</v>
      </c>
      <c r="AF192" s="12" t="s">
        <v>261</v>
      </c>
      <c r="AG192" s="12" t="s">
        <v>264</v>
      </c>
      <c r="AH192" s="12" t="s">
        <v>1038</v>
      </c>
      <c r="AJ192" s="14">
        <v>10923</v>
      </c>
      <c r="AK192" s="14" t="s">
        <v>469</v>
      </c>
    </row>
    <row r="193" spans="6:37">
      <c r="F193" s="45">
        <v>27096</v>
      </c>
      <c r="G193" s="12" t="s">
        <v>117</v>
      </c>
      <c r="R193" s="14">
        <v>10695</v>
      </c>
      <c r="S193" s="14" t="s">
        <v>315</v>
      </c>
      <c r="T193" s="12" t="s">
        <v>180</v>
      </c>
      <c r="U193" s="15" t="str">
        <f t="shared" si="5"/>
        <v>Amazon LifeCycle IND - TMG</v>
      </c>
      <c r="V193" s="12" t="s">
        <v>126</v>
      </c>
      <c r="W193" s="12" t="s">
        <v>127</v>
      </c>
      <c r="X193" s="12" t="s">
        <v>128</v>
      </c>
      <c r="Y193" s="12" t="s">
        <v>1038</v>
      </c>
      <c r="AA193" s="14">
        <v>95250</v>
      </c>
      <c r="AB193" s="14" t="s">
        <v>500</v>
      </c>
      <c r="AC193" s="12" t="s">
        <v>262</v>
      </c>
      <c r="AD193" s="15" t="str">
        <f t="shared" si="6"/>
        <v>ESG CORP APPS - GSI</v>
      </c>
      <c r="AE193" s="12" t="s">
        <v>118</v>
      </c>
      <c r="AF193" s="12" t="s">
        <v>263</v>
      </c>
      <c r="AG193" s="12" t="s">
        <v>264</v>
      </c>
      <c r="AH193" s="12" t="s">
        <v>1038</v>
      </c>
      <c r="AJ193" s="14">
        <v>10929</v>
      </c>
      <c r="AK193" s="14" t="s">
        <v>472</v>
      </c>
    </row>
    <row r="194" spans="6:37">
      <c r="F194" s="45">
        <v>33002</v>
      </c>
      <c r="G194" s="12" t="s">
        <v>117</v>
      </c>
      <c r="R194" s="14">
        <v>10695</v>
      </c>
      <c r="S194" s="14" t="s">
        <v>315</v>
      </c>
      <c r="T194" s="12" t="s">
        <v>208</v>
      </c>
      <c r="U194" s="15" t="str">
        <f t="shared" si="5"/>
        <v>Amazon LifeCycle IND - TTR</v>
      </c>
      <c r="V194" s="12" t="s">
        <v>112</v>
      </c>
      <c r="W194" s="12" t="s">
        <v>204</v>
      </c>
      <c r="X194" s="12" t="s">
        <v>205</v>
      </c>
      <c r="Y194" s="12" t="s">
        <v>1038</v>
      </c>
      <c r="AA194" s="14">
        <v>95250</v>
      </c>
      <c r="AB194" s="14" t="s">
        <v>500</v>
      </c>
      <c r="AC194" s="12" t="s">
        <v>415</v>
      </c>
      <c r="AD194" s="15" t="str">
        <f t="shared" si="6"/>
        <v>ESG CORP APPS - GTI</v>
      </c>
      <c r="AE194" s="12" t="s">
        <v>118</v>
      </c>
      <c r="AF194" s="12" t="s">
        <v>263</v>
      </c>
      <c r="AG194" s="12" t="s">
        <v>264</v>
      </c>
      <c r="AH194" s="12" t="s">
        <v>1038</v>
      </c>
      <c r="AJ194" s="14">
        <v>10931</v>
      </c>
      <c r="AK194" s="14" t="s">
        <v>475</v>
      </c>
    </row>
    <row r="195" spans="6:37">
      <c r="F195" s="45">
        <v>33011</v>
      </c>
      <c r="G195" s="12" t="s">
        <v>117</v>
      </c>
      <c r="R195" s="14">
        <v>10122</v>
      </c>
      <c r="S195" s="14" t="s">
        <v>231</v>
      </c>
      <c r="T195" s="12" t="s">
        <v>161</v>
      </c>
      <c r="U195" s="15" t="str">
        <f t="shared" ref="U195:U258" si="7">S195&amp;" - "&amp;T195</f>
        <v>Amazon MHLS - ECC</v>
      </c>
      <c r="V195" s="12" t="s">
        <v>126</v>
      </c>
      <c r="W195" s="12" t="s">
        <v>178</v>
      </c>
      <c r="X195" s="12" t="s">
        <v>128</v>
      </c>
      <c r="Y195" s="12" t="s">
        <v>1038</v>
      </c>
      <c r="AA195" s="14">
        <v>95250</v>
      </c>
      <c r="AB195" s="14" t="s">
        <v>500</v>
      </c>
      <c r="AC195" s="12" t="s">
        <v>129</v>
      </c>
      <c r="AD195" s="15" t="str">
        <f t="shared" ref="AD195:AD258" si="8">AB195&amp;" - "&amp;AC195</f>
        <v>ESG CORP APPS - MGT</v>
      </c>
      <c r="AE195" s="12" t="s">
        <v>118</v>
      </c>
      <c r="AF195" s="12" t="s">
        <v>263</v>
      </c>
      <c r="AG195" s="12" t="s">
        <v>264</v>
      </c>
      <c r="AH195" s="12" t="s">
        <v>1038</v>
      </c>
      <c r="AJ195" s="14">
        <v>10933</v>
      </c>
      <c r="AK195" s="14" t="s">
        <v>478</v>
      </c>
    </row>
    <row r="196" spans="6:37">
      <c r="F196" s="14">
        <v>33015</v>
      </c>
      <c r="G196" s="12" t="s">
        <v>117</v>
      </c>
      <c r="R196" s="14">
        <v>10000</v>
      </c>
      <c r="S196" s="14" t="s">
        <v>110</v>
      </c>
      <c r="T196" s="12">
        <v>799999</v>
      </c>
      <c r="U196" s="15" t="str">
        <f t="shared" si="7"/>
        <v>Amazon NA - 799999</v>
      </c>
      <c r="V196" s="12" t="s">
        <v>126</v>
      </c>
      <c r="W196" s="12" t="s">
        <v>127</v>
      </c>
      <c r="X196" s="12" t="s">
        <v>128</v>
      </c>
      <c r="Y196" s="12" t="s">
        <v>1038</v>
      </c>
      <c r="AA196" s="14">
        <v>95250</v>
      </c>
      <c r="AB196" s="14" t="s">
        <v>500</v>
      </c>
      <c r="AC196" s="12" t="s">
        <v>139</v>
      </c>
      <c r="AD196" s="15" t="str">
        <f t="shared" si="8"/>
        <v>ESG CORP APPS - SMGT</v>
      </c>
      <c r="AE196" s="12" t="s">
        <v>118</v>
      </c>
      <c r="AF196" s="12" t="s">
        <v>263</v>
      </c>
      <c r="AG196" s="12" t="s">
        <v>264</v>
      </c>
      <c r="AH196" s="12" t="s">
        <v>1038</v>
      </c>
      <c r="AJ196" s="14">
        <v>10937</v>
      </c>
      <c r="AK196" s="14" t="s">
        <v>480</v>
      </c>
    </row>
    <row r="197" spans="6:37">
      <c r="F197" s="45">
        <v>35064</v>
      </c>
      <c r="G197" s="12" t="s">
        <v>117</v>
      </c>
      <c r="R197" s="14">
        <v>10000</v>
      </c>
      <c r="S197" s="14" t="s">
        <v>110</v>
      </c>
      <c r="T197" s="12" t="s">
        <v>133</v>
      </c>
      <c r="U197" s="15" t="str">
        <f t="shared" si="7"/>
        <v>Amazon NA - AMG</v>
      </c>
      <c r="V197" s="12" t="s">
        <v>126</v>
      </c>
      <c r="W197" s="12" t="s">
        <v>127</v>
      </c>
      <c r="X197" s="12" t="s">
        <v>128</v>
      </c>
      <c r="Y197" s="12" t="s">
        <v>1038</v>
      </c>
      <c r="AA197" s="14">
        <v>95250</v>
      </c>
      <c r="AB197" s="14" t="s">
        <v>500</v>
      </c>
      <c r="AC197" s="12" t="s">
        <v>145</v>
      </c>
      <c r="AD197" s="15" t="str">
        <f t="shared" si="8"/>
        <v>ESG CORP APPS - SUP</v>
      </c>
      <c r="AE197" s="12" t="s">
        <v>118</v>
      </c>
      <c r="AF197" s="12" t="s">
        <v>263</v>
      </c>
      <c r="AG197" s="12" t="s">
        <v>264</v>
      </c>
      <c r="AH197" s="12" t="s">
        <v>1038</v>
      </c>
      <c r="AJ197" s="14">
        <v>10940</v>
      </c>
      <c r="AK197" s="14" t="s">
        <v>1053</v>
      </c>
    </row>
    <row r="198" spans="6:37">
      <c r="F198" s="45">
        <v>35083</v>
      </c>
      <c r="G198" s="12" t="s">
        <v>117</v>
      </c>
      <c r="R198" s="14">
        <v>10000</v>
      </c>
      <c r="S198" s="14" t="s">
        <v>110</v>
      </c>
      <c r="T198" s="12" t="s">
        <v>138</v>
      </c>
      <c r="U198" s="15" t="str">
        <f t="shared" si="7"/>
        <v>Amazon NA - BOS</v>
      </c>
      <c r="V198" s="12" t="s">
        <v>126</v>
      </c>
      <c r="W198" s="12" t="s">
        <v>127</v>
      </c>
      <c r="X198" s="12" t="s">
        <v>128</v>
      </c>
      <c r="Y198" s="12" t="s">
        <v>1038</v>
      </c>
      <c r="AA198" s="14">
        <v>95300</v>
      </c>
      <c r="AB198" s="14" t="s">
        <v>505</v>
      </c>
      <c r="AC198" s="12" t="s">
        <v>133</v>
      </c>
      <c r="AD198" s="15" t="str">
        <f t="shared" si="8"/>
        <v>ESG Finance - AMG</v>
      </c>
      <c r="AE198" s="12" t="s">
        <v>118</v>
      </c>
      <c r="AF198" s="12" t="s">
        <v>506</v>
      </c>
      <c r="AG198" s="12" t="s">
        <v>264</v>
      </c>
      <c r="AH198" s="12" t="s">
        <v>1038</v>
      </c>
      <c r="AJ198" s="14">
        <v>10941</v>
      </c>
      <c r="AK198" s="14" t="s">
        <v>482</v>
      </c>
    </row>
    <row r="199" spans="6:37">
      <c r="F199" s="45">
        <v>40245</v>
      </c>
      <c r="G199" s="12" t="s">
        <v>117</v>
      </c>
      <c r="R199" s="14">
        <v>10000</v>
      </c>
      <c r="S199" s="14" t="s">
        <v>110</v>
      </c>
      <c r="T199" s="12" t="s">
        <v>144</v>
      </c>
      <c r="U199" s="15" t="str">
        <f t="shared" si="7"/>
        <v>Amazon NA - CCOD</v>
      </c>
      <c r="V199" s="12" t="s">
        <v>126</v>
      </c>
      <c r="W199" s="12" t="s">
        <v>127</v>
      </c>
      <c r="X199" s="12" t="s">
        <v>128</v>
      </c>
      <c r="Y199" s="12" t="s">
        <v>1038</v>
      </c>
      <c r="AA199" s="14">
        <v>95300</v>
      </c>
      <c r="AB199" s="14" t="s">
        <v>505</v>
      </c>
      <c r="AC199" s="12" t="s">
        <v>262</v>
      </c>
      <c r="AD199" s="15" t="str">
        <f t="shared" si="8"/>
        <v>ESG Finance - GSI</v>
      </c>
      <c r="AE199" s="12" t="s">
        <v>118</v>
      </c>
      <c r="AF199" s="12" t="s">
        <v>506</v>
      </c>
      <c r="AG199" s="12" t="s">
        <v>264</v>
      </c>
      <c r="AH199" s="12" t="s">
        <v>1038</v>
      </c>
      <c r="AJ199" s="14">
        <v>10944</v>
      </c>
      <c r="AK199" s="14" t="s">
        <v>1054</v>
      </c>
    </row>
    <row r="200" spans="6:37">
      <c r="F200" s="45">
        <v>40251</v>
      </c>
      <c r="G200" s="12" t="s">
        <v>117</v>
      </c>
      <c r="R200" s="14">
        <v>10000</v>
      </c>
      <c r="S200" s="14" t="s">
        <v>110</v>
      </c>
      <c r="T200" s="12" t="s">
        <v>150</v>
      </c>
      <c r="U200" s="15" t="str">
        <f t="shared" si="7"/>
        <v>Amazon NA - CCS</v>
      </c>
      <c r="V200" s="12" t="s">
        <v>126</v>
      </c>
      <c r="W200" s="12" t="s">
        <v>127</v>
      </c>
      <c r="X200" s="12" t="s">
        <v>128</v>
      </c>
      <c r="Y200" s="12" t="s">
        <v>1038</v>
      </c>
      <c r="AA200" s="14">
        <v>95300</v>
      </c>
      <c r="AB200" s="14" t="s">
        <v>505</v>
      </c>
      <c r="AC200" s="12" t="s">
        <v>129</v>
      </c>
      <c r="AD200" s="15" t="str">
        <f t="shared" si="8"/>
        <v>ESG Finance - MGT</v>
      </c>
      <c r="AE200" s="12" t="s">
        <v>118</v>
      </c>
      <c r="AF200" s="12" t="s">
        <v>506</v>
      </c>
      <c r="AG200" s="12" t="s">
        <v>264</v>
      </c>
      <c r="AH200" s="12" t="s">
        <v>1038</v>
      </c>
      <c r="AJ200" s="14">
        <v>10945</v>
      </c>
      <c r="AK200" s="14" t="s">
        <v>484</v>
      </c>
    </row>
    <row r="201" spans="6:37">
      <c r="F201" s="45">
        <v>40253</v>
      </c>
      <c r="G201" s="12" t="s">
        <v>117</v>
      </c>
      <c r="H201" s="3"/>
      <c r="R201" s="14">
        <v>10000</v>
      </c>
      <c r="S201" s="14" t="s">
        <v>110</v>
      </c>
      <c r="T201" s="12" t="s">
        <v>156</v>
      </c>
      <c r="U201" s="15" t="str">
        <f t="shared" si="7"/>
        <v>Amazon NA - CLR</v>
      </c>
      <c r="V201" s="12" t="s">
        <v>126</v>
      </c>
      <c r="W201" s="12" t="s">
        <v>127</v>
      </c>
      <c r="X201" s="12" t="s">
        <v>128</v>
      </c>
      <c r="Y201" s="12" t="s">
        <v>1038</v>
      </c>
      <c r="AA201" s="14">
        <v>95300</v>
      </c>
      <c r="AB201" s="14" t="s">
        <v>505</v>
      </c>
      <c r="AC201" s="12" t="s">
        <v>139</v>
      </c>
      <c r="AD201" s="15" t="str">
        <f t="shared" si="8"/>
        <v>ESG Finance - SMGT</v>
      </c>
      <c r="AE201" s="12" t="s">
        <v>118</v>
      </c>
      <c r="AF201" s="12" t="s">
        <v>506</v>
      </c>
      <c r="AG201" s="12" t="s">
        <v>264</v>
      </c>
      <c r="AH201" s="12" t="s">
        <v>1038</v>
      </c>
      <c r="AJ201" s="14">
        <v>10947</v>
      </c>
      <c r="AK201" s="14" t="s">
        <v>485</v>
      </c>
    </row>
    <row r="202" spans="6:37">
      <c r="F202" s="45">
        <v>40255</v>
      </c>
      <c r="G202" s="12" t="s">
        <v>117</v>
      </c>
      <c r="R202" s="14">
        <v>10000</v>
      </c>
      <c r="S202" s="14" t="s">
        <v>110</v>
      </c>
      <c r="T202" s="12" t="s">
        <v>161</v>
      </c>
      <c r="U202" s="15" t="str">
        <f t="shared" si="7"/>
        <v>Amazon NA - ECC</v>
      </c>
      <c r="V202" s="12" t="s">
        <v>126</v>
      </c>
      <c r="W202" s="12" t="s">
        <v>127</v>
      </c>
      <c r="X202" s="12" t="s">
        <v>128</v>
      </c>
      <c r="Y202" s="12" t="s">
        <v>1038</v>
      </c>
      <c r="AA202" s="14">
        <v>95300</v>
      </c>
      <c r="AB202" s="14" t="s">
        <v>505</v>
      </c>
      <c r="AC202" s="12" t="s">
        <v>145</v>
      </c>
      <c r="AD202" s="15" t="str">
        <f t="shared" si="8"/>
        <v>ESG Finance - SUP</v>
      </c>
      <c r="AE202" s="12" t="s">
        <v>118</v>
      </c>
      <c r="AF202" s="12" t="s">
        <v>506</v>
      </c>
      <c r="AG202" s="12" t="s">
        <v>264</v>
      </c>
      <c r="AH202" s="12" t="s">
        <v>1038</v>
      </c>
      <c r="AJ202" s="14">
        <v>10948</v>
      </c>
      <c r="AK202" s="14" t="s">
        <v>487</v>
      </c>
    </row>
    <row r="203" spans="6:37">
      <c r="F203" s="45">
        <v>40256</v>
      </c>
      <c r="G203" s="12" t="s">
        <v>117</v>
      </c>
      <c r="R203" s="14">
        <v>10000</v>
      </c>
      <c r="S203" s="14" t="s">
        <v>110</v>
      </c>
      <c r="T203" s="12" t="s">
        <v>168</v>
      </c>
      <c r="U203" s="15" t="str">
        <f t="shared" si="7"/>
        <v>Amazon NA - ESC</v>
      </c>
      <c r="V203" s="12" t="s">
        <v>126</v>
      </c>
      <c r="W203" s="12" t="s">
        <v>127</v>
      </c>
      <c r="X203" s="12" t="s">
        <v>128</v>
      </c>
      <c r="Y203" s="12" t="s">
        <v>1038</v>
      </c>
      <c r="AA203" s="14">
        <v>95300</v>
      </c>
      <c r="AB203" s="14" t="s">
        <v>505</v>
      </c>
      <c r="AC203" s="12" t="s">
        <v>180</v>
      </c>
      <c r="AD203" s="15" t="str">
        <f t="shared" si="8"/>
        <v>ESG Finance - TMG</v>
      </c>
      <c r="AE203" s="12" t="s">
        <v>118</v>
      </c>
      <c r="AF203" s="12" t="s">
        <v>506</v>
      </c>
      <c r="AG203" s="12" t="s">
        <v>264</v>
      </c>
      <c r="AH203" s="12" t="s">
        <v>1038</v>
      </c>
      <c r="AJ203" s="14">
        <v>10949</v>
      </c>
      <c r="AK203" s="14" t="s">
        <v>274</v>
      </c>
    </row>
    <row r="204" spans="6:37">
      <c r="F204" s="45">
        <v>40257</v>
      </c>
      <c r="G204" s="12" t="s">
        <v>117</v>
      </c>
      <c r="R204" s="14">
        <v>10000</v>
      </c>
      <c r="S204" s="14" t="s">
        <v>110</v>
      </c>
      <c r="T204" s="12" t="s">
        <v>171</v>
      </c>
      <c r="U204" s="15" t="str">
        <f t="shared" si="7"/>
        <v>Amazon NA - ETE</v>
      </c>
      <c r="V204" s="12" t="s">
        <v>126</v>
      </c>
      <c r="W204" s="12" t="s">
        <v>127</v>
      </c>
      <c r="X204" s="12" t="s">
        <v>128</v>
      </c>
      <c r="Y204" s="12" t="s">
        <v>1038</v>
      </c>
      <c r="AA204" s="14">
        <v>97202</v>
      </c>
      <c r="AB204" s="14" t="s">
        <v>511</v>
      </c>
      <c r="AC204" s="12" t="s">
        <v>129</v>
      </c>
      <c r="AD204" s="15" t="str">
        <f t="shared" si="8"/>
        <v>Executive Recruitment - MGT</v>
      </c>
      <c r="AE204" s="12" t="s">
        <v>118</v>
      </c>
      <c r="AF204" s="12" t="s">
        <v>512</v>
      </c>
      <c r="AG204" s="12" t="s">
        <v>114</v>
      </c>
      <c r="AH204" s="12" t="s">
        <v>1038</v>
      </c>
      <c r="AJ204" s="14">
        <v>10956</v>
      </c>
      <c r="AK204" s="14" t="s">
        <v>489</v>
      </c>
    </row>
    <row r="205" spans="6:37">
      <c r="F205" s="45">
        <v>51001</v>
      </c>
      <c r="G205" s="12" t="s">
        <v>117</v>
      </c>
      <c r="R205" s="14">
        <v>10000</v>
      </c>
      <c r="S205" s="14" t="s">
        <v>110</v>
      </c>
      <c r="T205" s="12" t="s">
        <v>129</v>
      </c>
      <c r="U205" s="15" t="str">
        <f t="shared" si="7"/>
        <v>Amazon NA - MGT</v>
      </c>
      <c r="V205" s="12" t="s">
        <v>126</v>
      </c>
      <c r="W205" s="12" t="s">
        <v>127</v>
      </c>
      <c r="X205" s="12" t="s">
        <v>128</v>
      </c>
      <c r="Y205" s="12" t="s">
        <v>1038</v>
      </c>
      <c r="AA205" s="14">
        <v>97202</v>
      </c>
      <c r="AB205" s="14" t="s">
        <v>511</v>
      </c>
      <c r="AC205" s="12" t="s">
        <v>514</v>
      </c>
      <c r="AD205" s="15" t="str">
        <f t="shared" si="8"/>
        <v>Executive Recruitment - REC</v>
      </c>
      <c r="AE205" s="12" t="s">
        <v>118</v>
      </c>
      <c r="AF205" s="12" t="s">
        <v>512</v>
      </c>
      <c r="AG205" s="12" t="s">
        <v>114</v>
      </c>
      <c r="AH205" s="12" t="s">
        <v>1038</v>
      </c>
      <c r="AJ205" s="14">
        <v>10957</v>
      </c>
      <c r="AK205" s="14" t="s">
        <v>491</v>
      </c>
    </row>
    <row r="206" spans="6:37">
      <c r="F206" s="45">
        <v>51002</v>
      </c>
      <c r="G206" s="12" t="s">
        <v>117</v>
      </c>
      <c r="R206" s="14">
        <v>10000</v>
      </c>
      <c r="S206" s="14" t="s">
        <v>110</v>
      </c>
      <c r="T206" s="12" t="s">
        <v>177</v>
      </c>
      <c r="U206" s="15" t="str">
        <f t="shared" si="7"/>
        <v>Amazon NA - OPS</v>
      </c>
      <c r="V206" s="12" t="s">
        <v>126</v>
      </c>
      <c r="W206" s="12" t="s">
        <v>178</v>
      </c>
      <c r="X206" s="12" t="s">
        <v>128</v>
      </c>
      <c r="Y206" s="12" t="s">
        <v>1038</v>
      </c>
      <c r="AA206" s="14">
        <v>97202</v>
      </c>
      <c r="AB206" s="14" t="s">
        <v>511</v>
      </c>
      <c r="AC206" s="12" t="s">
        <v>145</v>
      </c>
      <c r="AD206" s="15" t="str">
        <f t="shared" si="8"/>
        <v>Executive Recruitment - SUP</v>
      </c>
      <c r="AE206" s="12" t="s">
        <v>118</v>
      </c>
      <c r="AF206" s="12" t="s">
        <v>512</v>
      </c>
      <c r="AG206" s="12" t="s">
        <v>114</v>
      </c>
      <c r="AH206" s="12" t="s">
        <v>1038</v>
      </c>
      <c r="AJ206" s="14">
        <v>10970</v>
      </c>
      <c r="AK206" s="14" t="s">
        <v>495</v>
      </c>
    </row>
    <row r="207" spans="6:37">
      <c r="F207" s="45">
        <v>51003</v>
      </c>
      <c r="G207" s="12" t="s">
        <v>117</v>
      </c>
      <c r="R207" s="14">
        <v>10000</v>
      </c>
      <c r="S207" s="14" t="s">
        <v>110</v>
      </c>
      <c r="T207" s="12" t="s">
        <v>116</v>
      </c>
      <c r="U207" s="15" t="str">
        <f t="shared" si="7"/>
        <v>Amazon NA - PRD</v>
      </c>
      <c r="V207" s="12" t="s">
        <v>126</v>
      </c>
      <c r="W207" s="12" t="s">
        <v>127</v>
      </c>
      <c r="X207" s="12" t="s">
        <v>128</v>
      </c>
      <c r="Y207" s="12" t="s">
        <v>1038</v>
      </c>
      <c r="AA207" s="14">
        <v>92101</v>
      </c>
      <c r="AB207" s="14" t="s">
        <v>517</v>
      </c>
      <c r="AC207" s="12" t="s">
        <v>348</v>
      </c>
      <c r="AD207" s="15" t="str">
        <f t="shared" si="8"/>
        <v>Facility &amp; Property Mgmnt - GM - ADM</v>
      </c>
      <c r="AE207" s="12" t="s">
        <v>118</v>
      </c>
      <c r="AF207" s="12" t="s">
        <v>518</v>
      </c>
      <c r="AG207" s="12" t="s">
        <v>350</v>
      </c>
      <c r="AH207" s="12" t="s">
        <v>1038</v>
      </c>
      <c r="AJ207" s="14">
        <v>10979</v>
      </c>
      <c r="AK207" s="14" t="s">
        <v>497</v>
      </c>
    </row>
    <row r="208" spans="6:37">
      <c r="F208" s="45">
        <v>51004</v>
      </c>
      <c r="G208" s="12" t="s">
        <v>117</v>
      </c>
      <c r="R208" s="14">
        <v>10000</v>
      </c>
      <c r="S208" s="14" t="s">
        <v>110</v>
      </c>
      <c r="T208" s="12" t="s">
        <v>111</v>
      </c>
      <c r="U208" s="15" t="str">
        <f t="shared" si="7"/>
        <v>Amazon NA - QLY</v>
      </c>
      <c r="V208" s="12" t="s">
        <v>112</v>
      </c>
      <c r="W208" s="12" t="s">
        <v>113</v>
      </c>
      <c r="X208" s="12" t="s">
        <v>114</v>
      </c>
      <c r="Y208" s="12" t="s">
        <v>1038</v>
      </c>
      <c r="AA208" s="14">
        <v>92101</v>
      </c>
      <c r="AB208" s="14" t="s">
        <v>517</v>
      </c>
      <c r="AC208" s="12" t="s">
        <v>145</v>
      </c>
      <c r="AD208" s="15" t="str">
        <f t="shared" si="8"/>
        <v>Facility &amp; Property Mgmnt - GM - SUP</v>
      </c>
      <c r="AE208" s="12" t="s">
        <v>118</v>
      </c>
      <c r="AF208" s="12" t="s">
        <v>518</v>
      </c>
      <c r="AG208" s="12" t="s">
        <v>350</v>
      </c>
      <c r="AH208" s="12" t="s">
        <v>1038</v>
      </c>
      <c r="AJ208" s="14">
        <v>10990</v>
      </c>
      <c r="AK208" s="14" t="s">
        <v>499</v>
      </c>
    </row>
    <row r="209" spans="6:37">
      <c r="F209" s="45">
        <v>51005</v>
      </c>
      <c r="G209" s="12" t="s">
        <v>117</v>
      </c>
      <c r="R209" s="14">
        <v>10000</v>
      </c>
      <c r="S209" s="14" t="s">
        <v>110</v>
      </c>
      <c r="T209" s="12" t="s">
        <v>172</v>
      </c>
      <c r="U209" s="15" t="str">
        <f t="shared" si="7"/>
        <v>Amazon NA - SME</v>
      </c>
      <c r="V209" s="12" t="s">
        <v>126</v>
      </c>
      <c r="W209" s="12" t="s">
        <v>127</v>
      </c>
      <c r="X209" s="12" t="s">
        <v>128</v>
      </c>
      <c r="Y209" s="12" t="s">
        <v>1038</v>
      </c>
      <c r="AA209" s="14">
        <v>92201</v>
      </c>
      <c r="AB209" s="14" t="s">
        <v>521</v>
      </c>
      <c r="AC209" s="12" t="s">
        <v>348</v>
      </c>
      <c r="AD209" s="15" t="str">
        <f t="shared" si="8"/>
        <v>FACILITY &amp; PROPERTY MGMT - SGA - ADM</v>
      </c>
      <c r="AE209" s="12" t="s">
        <v>118</v>
      </c>
      <c r="AF209" s="12" t="s">
        <v>518</v>
      </c>
      <c r="AG209" s="12" t="s">
        <v>350</v>
      </c>
      <c r="AH209" s="12" t="s">
        <v>1038</v>
      </c>
      <c r="AJ209" s="14">
        <v>10992</v>
      </c>
      <c r="AK209" s="14" t="s">
        <v>501</v>
      </c>
    </row>
    <row r="210" spans="6:37">
      <c r="F210" s="45">
        <v>51008</v>
      </c>
      <c r="G210" s="12" t="s">
        <v>117</v>
      </c>
      <c r="H210" s="3"/>
      <c r="R210" s="14">
        <v>10000</v>
      </c>
      <c r="S210" s="14" t="s">
        <v>110</v>
      </c>
      <c r="T210" s="12" t="s">
        <v>139</v>
      </c>
      <c r="U210" s="15" t="str">
        <f t="shared" si="7"/>
        <v>Amazon NA - SMGT</v>
      </c>
      <c r="V210" s="12" t="s">
        <v>126</v>
      </c>
      <c r="W210" s="12" t="s">
        <v>127</v>
      </c>
      <c r="X210" s="12" t="s">
        <v>128</v>
      </c>
      <c r="Y210" s="12" t="s">
        <v>1038</v>
      </c>
      <c r="AA210" s="14">
        <v>92201</v>
      </c>
      <c r="AB210" s="14" t="s">
        <v>521</v>
      </c>
      <c r="AC210" s="12" t="s">
        <v>129</v>
      </c>
      <c r="AD210" s="15" t="str">
        <f t="shared" si="8"/>
        <v>FACILITY &amp; PROPERTY MGMT - SGA - MGT</v>
      </c>
      <c r="AE210" s="12" t="s">
        <v>118</v>
      </c>
      <c r="AF210" s="12" t="s">
        <v>518</v>
      </c>
      <c r="AG210" s="12" t="s">
        <v>350</v>
      </c>
      <c r="AH210" s="12" t="s">
        <v>1038</v>
      </c>
      <c r="AJ210" s="14">
        <v>10993</v>
      </c>
      <c r="AK210" s="14" t="s">
        <v>502</v>
      </c>
    </row>
    <row r="211" spans="6:37">
      <c r="F211" s="45">
        <v>51009</v>
      </c>
      <c r="G211" s="12" t="s">
        <v>117</v>
      </c>
      <c r="H211" s="3"/>
      <c r="R211" s="14">
        <v>10000</v>
      </c>
      <c r="S211" s="14" t="s">
        <v>110</v>
      </c>
      <c r="T211" s="12" t="s">
        <v>119</v>
      </c>
      <c r="U211" s="15" t="str">
        <f t="shared" si="7"/>
        <v>Amazon NA - SQM</v>
      </c>
      <c r="V211" s="12" t="s">
        <v>112</v>
      </c>
      <c r="W211" s="12" t="s">
        <v>113</v>
      </c>
      <c r="X211" s="12" t="s">
        <v>114</v>
      </c>
      <c r="Y211" s="12" t="s">
        <v>1038</v>
      </c>
      <c r="AA211" s="14">
        <v>92201</v>
      </c>
      <c r="AB211" s="14" t="s">
        <v>521</v>
      </c>
      <c r="AC211" s="12" t="s">
        <v>139</v>
      </c>
      <c r="AD211" s="15" t="str">
        <f t="shared" si="8"/>
        <v>FACILITY &amp; PROPERTY MGMT - SGA - SMGT</v>
      </c>
      <c r="AE211" s="12" t="s">
        <v>118</v>
      </c>
      <c r="AF211" s="12" t="s">
        <v>518</v>
      </c>
      <c r="AG211" s="12" t="s">
        <v>350</v>
      </c>
      <c r="AH211" s="12" t="s">
        <v>1038</v>
      </c>
      <c r="AJ211" s="14">
        <v>10999</v>
      </c>
      <c r="AK211" s="14" t="s">
        <v>503</v>
      </c>
    </row>
    <row r="212" spans="6:37">
      <c r="F212" s="45">
        <v>51013</v>
      </c>
      <c r="G212" s="12" t="s">
        <v>117</v>
      </c>
      <c r="H212" s="3"/>
      <c r="R212" s="14">
        <v>10000</v>
      </c>
      <c r="S212" s="14" t="s">
        <v>110</v>
      </c>
      <c r="T212" s="12" t="s">
        <v>145</v>
      </c>
      <c r="U212" s="15" t="str">
        <f t="shared" si="7"/>
        <v>Amazon NA - SUP</v>
      </c>
      <c r="V212" s="12" t="s">
        <v>126</v>
      </c>
      <c r="W212" s="12" t="s">
        <v>178</v>
      </c>
      <c r="X212" s="12" t="s">
        <v>128</v>
      </c>
      <c r="Y212" s="12" t="s">
        <v>1038</v>
      </c>
      <c r="AA212" s="14">
        <v>92201</v>
      </c>
      <c r="AB212" s="14" t="s">
        <v>521</v>
      </c>
      <c r="AC212" s="12" t="s">
        <v>145</v>
      </c>
      <c r="AD212" s="15" t="str">
        <f t="shared" si="8"/>
        <v>FACILITY &amp; PROPERTY MGMT - SGA - SUP</v>
      </c>
      <c r="AE212" s="12" t="s">
        <v>118</v>
      </c>
      <c r="AF212" s="12" t="s">
        <v>518</v>
      </c>
      <c r="AG212" s="12" t="s">
        <v>350</v>
      </c>
      <c r="AH212" s="12" t="s">
        <v>1038</v>
      </c>
      <c r="AJ212" s="14">
        <v>12020</v>
      </c>
      <c r="AK212" s="14" t="s">
        <v>223</v>
      </c>
    </row>
    <row r="213" spans="6:37">
      <c r="F213" s="45">
        <v>51015</v>
      </c>
      <c r="G213" s="12" t="s">
        <v>117</v>
      </c>
      <c r="H213" s="3"/>
      <c r="R213" s="14">
        <v>10000</v>
      </c>
      <c r="S213" s="14" t="s">
        <v>110</v>
      </c>
      <c r="T213" s="12" t="s">
        <v>196</v>
      </c>
      <c r="U213" s="15" t="str">
        <f t="shared" si="7"/>
        <v>Amazon NA - SUT</v>
      </c>
      <c r="V213" s="12" t="s">
        <v>126</v>
      </c>
      <c r="W213" s="12" t="s">
        <v>127</v>
      </c>
      <c r="X213" s="12" t="s">
        <v>128</v>
      </c>
      <c r="Y213" s="12" t="s">
        <v>1038</v>
      </c>
      <c r="AA213" s="14">
        <v>96124</v>
      </c>
      <c r="AB213" s="14" t="s">
        <v>525</v>
      </c>
      <c r="AC213" s="12" t="s">
        <v>121</v>
      </c>
      <c r="AD213" s="15" t="str">
        <f t="shared" si="8"/>
        <v>Finance Controls - MDM - F&amp;A</v>
      </c>
      <c r="AE213" s="12" t="s">
        <v>118</v>
      </c>
      <c r="AF213" s="12" t="s">
        <v>122</v>
      </c>
      <c r="AG213" s="12" t="s">
        <v>114</v>
      </c>
      <c r="AH213" s="12" t="s">
        <v>1038</v>
      </c>
      <c r="AJ213" s="14">
        <v>12029</v>
      </c>
      <c r="AK213" s="14" t="s">
        <v>300</v>
      </c>
    </row>
    <row r="214" spans="6:37">
      <c r="F214" s="45">
        <v>51016</v>
      </c>
      <c r="G214" s="12" t="s">
        <v>117</v>
      </c>
      <c r="R214" s="14">
        <v>10000</v>
      </c>
      <c r="S214" s="14" t="s">
        <v>110</v>
      </c>
      <c r="T214" s="12" t="s">
        <v>198</v>
      </c>
      <c r="U214" s="15" t="str">
        <f t="shared" si="7"/>
        <v>Amazon NA - TEC</v>
      </c>
      <c r="V214" s="12" t="s">
        <v>126</v>
      </c>
      <c r="W214" s="12" t="s">
        <v>127</v>
      </c>
      <c r="X214" s="12" t="s">
        <v>128</v>
      </c>
      <c r="Y214" s="12" t="s">
        <v>1038</v>
      </c>
      <c r="AA214" s="14">
        <v>96124</v>
      </c>
      <c r="AB214" s="14" t="s">
        <v>525</v>
      </c>
      <c r="AC214" s="12" t="s">
        <v>129</v>
      </c>
      <c r="AD214" s="15" t="str">
        <f t="shared" si="8"/>
        <v>Finance Controls - MDM - MGT</v>
      </c>
      <c r="AE214" s="12" t="s">
        <v>118</v>
      </c>
      <c r="AF214" s="12" t="s">
        <v>122</v>
      </c>
      <c r="AG214" s="12" t="s">
        <v>114</v>
      </c>
      <c r="AH214" s="12" t="s">
        <v>1038</v>
      </c>
      <c r="AJ214" s="14">
        <v>12048</v>
      </c>
      <c r="AK214" s="14" t="s">
        <v>374</v>
      </c>
    </row>
    <row r="215" spans="6:37">
      <c r="F215" s="45">
        <v>51018</v>
      </c>
      <c r="G215" s="12" t="s">
        <v>117</v>
      </c>
      <c r="R215" s="14">
        <v>10000</v>
      </c>
      <c r="S215" s="14" t="s">
        <v>110</v>
      </c>
      <c r="T215" s="12" t="s">
        <v>180</v>
      </c>
      <c r="U215" s="15" t="str">
        <f t="shared" si="7"/>
        <v>Amazon NA - TMG</v>
      </c>
      <c r="V215" s="12" t="s">
        <v>126</v>
      </c>
      <c r="W215" s="12" t="s">
        <v>127</v>
      </c>
      <c r="X215" s="12" t="s">
        <v>128</v>
      </c>
      <c r="Y215" s="12" t="s">
        <v>1038</v>
      </c>
      <c r="AA215" s="14">
        <v>96124</v>
      </c>
      <c r="AB215" s="14" t="s">
        <v>525</v>
      </c>
      <c r="AC215" s="12" t="s">
        <v>145</v>
      </c>
      <c r="AD215" s="15" t="str">
        <f t="shared" si="8"/>
        <v>Finance Controls - MDM - SUP</v>
      </c>
      <c r="AE215" s="12" t="s">
        <v>118</v>
      </c>
      <c r="AF215" s="12" t="s">
        <v>122</v>
      </c>
      <c r="AG215" s="12" t="s">
        <v>114</v>
      </c>
      <c r="AH215" s="12" t="s">
        <v>1038</v>
      </c>
      <c r="AJ215" s="14">
        <v>12054</v>
      </c>
      <c r="AK215" s="14" t="s">
        <v>378</v>
      </c>
    </row>
    <row r="216" spans="6:37">
      <c r="F216" s="45">
        <v>51019</v>
      </c>
      <c r="G216" s="12" t="s">
        <v>117</v>
      </c>
      <c r="R216" s="14">
        <v>10000</v>
      </c>
      <c r="S216" s="14" t="s">
        <v>110</v>
      </c>
      <c r="T216" s="12" t="s">
        <v>185</v>
      </c>
      <c r="U216" s="15" t="str">
        <f t="shared" si="7"/>
        <v>Amazon NA - TPS</v>
      </c>
      <c r="V216" s="12" t="s">
        <v>126</v>
      </c>
      <c r="W216" s="12" t="s">
        <v>127</v>
      </c>
      <c r="X216" s="12" t="s">
        <v>128</v>
      </c>
      <c r="Y216" s="12" t="s">
        <v>1038</v>
      </c>
      <c r="AA216" s="14">
        <v>96103</v>
      </c>
      <c r="AB216" s="14" t="s">
        <v>529</v>
      </c>
      <c r="AC216" s="12" t="s">
        <v>133</v>
      </c>
      <c r="AD216" s="15" t="str">
        <f t="shared" si="8"/>
        <v>FP &amp; A - AMG</v>
      </c>
      <c r="AE216" s="12" t="s">
        <v>118</v>
      </c>
      <c r="AF216" s="12" t="s">
        <v>122</v>
      </c>
      <c r="AG216" s="12" t="s">
        <v>114</v>
      </c>
      <c r="AH216" s="12" t="s">
        <v>1038</v>
      </c>
      <c r="AJ216" s="14">
        <v>12057</v>
      </c>
      <c r="AK216" s="14" t="s">
        <v>389</v>
      </c>
    </row>
    <row r="217" spans="6:37">
      <c r="F217" s="45">
        <v>51021</v>
      </c>
      <c r="G217" s="12" t="s">
        <v>117</v>
      </c>
      <c r="R217" s="14">
        <v>10000</v>
      </c>
      <c r="S217" s="14" t="s">
        <v>110</v>
      </c>
      <c r="T217" s="12" t="s">
        <v>203</v>
      </c>
      <c r="U217" s="15" t="str">
        <f t="shared" si="7"/>
        <v>Amazon NA - TRG</v>
      </c>
      <c r="V217" s="12" t="s">
        <v>112</v>
      </c>
      <c r="W217" s="12" t="s">
        <v>204</v>
      </c>
      <c r="X217" s="12" t="s">
        <v>205</v>
      </c>
      <c r="Y217" s="12" t="s">
        <v>1038</v>
      </c>
      <c r="AA217" s="14">
        <v>96103</v>
      </c>
      <c r="AB217" s="14" t="s">
        <v>529</v>
      </c>
      <c r="AC217" s="12" t="s">
        <v>121</v>
      </c>
      <c r="AD217" s="15" t="str">
        <f t="shared" si="8"/>
        <v>FP &amp; A - F&amp;A</v>
      </c>
      <c r="AE217" s="12" t="s">
        <v>118</v>
      </c>
      <c r="AF217" s="12" t="s">
        <v>122</v>
      </c>
      <c r="AG217" s="12" t="s">
        <v>114</v>
      </c>
      <c r="AH217" s="12" t="s">
        <v>1038</v>
      </c>
      <c r="AJ217" s="14">
        <v>12079</v>
      </c>
      <c r="AK217" s="14" t="s">
        <v>507</v>
      </c>
    </row>
    <row r="218" spans="6:37">
      <c r="F218" s="45">
        <v>51023</v>
      </c>
      <c r="G218" s="12" t="s">
        <v>117</v>
      </c>
      <c r="R218" s="14">
        <v>10000</v>
      </c>
      <c r="S218" s="14" t="s">
        <v>110</v>
      </c>
      <c r="T218" s="12" t="s">
        <v>208</v>
      </c>
      <c r="U218" s="15" t="str">
        <f t="shared" si="7"/>
        <v>Amazon NA - TTR</v>
      </c>
      <c r="V218" s="12" t="s">
        <v>112</v>
      </c>
      <c r="W218" s="12" t="s">
        <v>204</v>
      </c>
      <c r="X218" s="12" t="s">
        <v>205</v>
      </c>
      <c r="Y218" s="12" t="s">
        <v>1038</v>
      </c>
      <c r="AA218" s="14">
        <v>96103</v>
      </c>
      <c r="AB218" s="14" t="s">
        <v>529</v>
      </c>
      <c r="AC218" s="12" t="s">
        <v>129</v>
      </c>
      <c r="AD218" s="15" t="str">
        <f t="shared" si="8"/>
        <v>FP &amp; A - MGT</v>
      </c>
      <c r="AE218" s="12" t="s">
        <v>118</v>
      </c>
      <c r="AF218" s="12" t="s">
        <v>122</v>
      </c>
      <c r="AG218" s="12" t="s">
        <v>114</v>
      </c>
      <c r="AH218" s="12" t="s">
        <v>1038</v>
      </c>
      <c r="AJ218" s="14">
        <v>12083</v>
      </c>
      <c r="AK218" s="14" t="s">
        <v>508</v>
      </c>
    </row>
    <row r="219" spans="6:37">
      <c r="F219" s="45">
        <v>51026</v>
      </c>
      <c r="G219" s="12" t="s">
        <v>117</v>
      </c>
      <c r="R219" s="14">
        <v>10743</v>
      </c>
      <c r="S219" s="14" t="s">
        <v>356</v>
      </c>
      <c r="T219" s="12" t="s">
        <v>133</v>
      </c>
      <c r="U219" s="15" t="str">
        <f t="shared" si="7"/>
        <v>Amazon NA Voice and MU - AMG</v>
      </c>
      <c r="V219" s="12" t="s">
        <v>126</v>
      </c>
      <c r="W219" s="12" t="s">
        <v>178</v>
      </c>
      <c r="X219" s="12" t="s">
        <v>128</v>
      </c>
      <c r="Y219" s="12" t="s">
        <v>1038</v>
      </c>
      <c r="AA219" s="14">
        <v>96103</v>
      </c>
      <c r="AB219" s="14" t="s">
        <v>529</v>
      </c>
      <c r="AC219" s="12" t="s">
        <v>145</v>
      </c>
      <c r="AD219" s="15" t="str">
        <f t="shared" si="8"/>
        <v>FP &amp; A - SUP</v>
      </c>
      <c r="AE219" s="12" t="s">
        <v>118</v>
      </c>
      <c r="AF219" s="12" t="s">
        <v>122</v>
      </c>
      <c r="AG219" s="12" t="s">
        <v>114</v>
      </c>
      <c r="AH219" s="12" t="s">
        <v>1038</v>
      </c>
      <c r="AJ219" s="14">
        <v>12094</v>
      </c>
      <c r="AK219" s="14" t="s">
        <v>509</v>
      </c>
    </row>
    <row r="220" spans="6:37">
      <c r="F220" s="45">
        <v>51031</v>
      </c>
      <c r="G220" s="12" t="s">
        <v>117</v>
      </c>
      <c r="R220" s="14">
        <v>10743</v>
      </c>
      <c r="S220" s="14" t="s">
        <v>356</v>
      </c>
      <c r="T220" s="12" t="s">
        <v>150</v>
      </c>
      <c r="U220" s="15" t="str">
        <f t="shared" si="7"/>
        <v>Amazon NA Voice and MU - CCS</v>
      </c>
      <c r="V220" s="12" t="s">
        <v>126</v>
      </c>
      <c r="W220" s="12" t="s">
        <v>127</v>
      </c>
      <c r="X220" s="12" t="s">
        <v>128</v>
      </c>
      <c r="Y220" s="12" t="s">
        <v>1038</v>
      </c>
      <c r="AA220" s="14">
        <v>91404</v>
      </c>
      <c r="AB220" s="14" t="s">
        <v>533</v>
      </c>
      <c r="AC220" s="12" t="s">
        <v>145</v>
      </c>
      <c r="AD220" s="15" t="str">
        <f t="shared" si="8"/>
        <v>GDU2-Delivery-Leadership - SUP</v>
      </c>
      <c r="AE220" s="12" t="s">
        <v>117</v>
      </c>
      <c r="AF220" s="12" t="s">
        <v>117</v>
      </c>
      <c r="AG220" s="12" t="s">
        <v>117</v>
      </c>
      <c r="AH220" s="12" t="s">
        <v>1038</v>
      </c>
      <c r="AJ220" s="14">
        <v>12095</v>
      </c>
      <c r="AK220" s="14" t="s">
        <v>513</v>
      </c>
    </row>
    <row r="221" spans="6:37">
      <c r="F221" s="45">
        <v>51034</v>
      </c>
      <c r="G221" s="12" t="s">
        <v>117</v>
      </c>
      <c r="R221" s="14">
        <v>10743</v>
      </c>
      <c r="S221" s="14" t="s">
        <v>356</v>
      </c>
      <c r="T221" s="12" t="s">
        <v>161</v>
      </c>
      <c r="U221" s="15" t="str">
        <f t="shared" si="7"/>
        <v>Amazon NA Voice and MU - ECC</v>
      </c>
      <c r="V221" s="12" t="s">
        <v>126</v>
      </c>
      <c r="W221" s="12" t="s">
        <v>127</v>
      </c>
      <c r="X221" s="12" t="s">
        <v>128</v>
      </c>
      <c r="Y221" s="12" t="s">
        <v>1038</v>
      </c>
      <c r="AA221" s="14">
        <v>12500</v>
      </c>
      <c r="AB221" s="14" t="s">
        <v>534</v>
      </c>
      <c r="AC221" s="12" t="s">
        <v>116</v>
      </c>
      <c r="AD221" s="15" t="str">
        <f t="shared" si="8"/>
        <v>GE HC - FY22 Opportunities - PRD</v>
      </c>
      <c r="AE221" s="12" t="s">
        <v>117</v>
      </c>
      <c r="AF221" s="12" t="s">
        <v>117</v>
      </c>
      <c r="AG221" s="12" t="s">
        <v>117</v>
      </c>
      <c r="AH221" s="12" t="s">
        <v>1038</v>
      </c>
      <c r="AJ221" s="14">
        <v>12097</v>
      </c>
      <c r="AK221" s="14" t="s">
        <v>515</v>
      </c>
    </row>
    <row r="222" spans="6:37">
      <c r="F222" s="45">
        <v>51036</v>
      </c>
      <c r="G222" s="12" t="s">
        <v>117</v>
      </c>
      <c r="R222" s="14">
        <v>10743</v>
      </c>
      <c r="S222" s="14" t="s">
        <v>356</v>
      </c>
      <c r="T222" s="12" t="s">
        <v>172</v>
      </c>
      <c r="U222" s="15" t="str">
        <f t="shared" si="7"/>
        <v>Amazon NA Voice and MU - SME</v>
      </c>
      <c r="V222" s="12" t="s">
        <v>126</v>
      </c>
      <c r="W222" s="12" t="s">
        <v>127</v>
      </c>
      <c r="X222" s="12" t="s">
        <v>128</v>
      </c>
      <c r="Y222" s="12" t="s">
        <v>1038</v>
      </c>
      <c r="AA222" s="14">
        <v>12489</v>
      </c>
      <c r="AB222" s="14" t="s">
        <v>536</v>
      </c>
      <c r="AC222" s="12" t="s">
        <v>116</v>
      </c>
      <c r="AD222" s="15" t="str">
        <f t="shared" si="8"/>
        <v>GE HC - IND Delivery - PRD</v>
      </c>
      <c r="AE222" s="12" t="s">
        <v>117</v>
      </c>
      <c r="AF222" s="12" t="s">
        <v>117</v>
      </c>
      <c r="AG222" s="12" t="s">
        <v>117</v>
      </c>
      <c r="AH222" s="12" t="s">
        <v>1038</v>
      </c>
      <c r="AJ222" s="14">
        <v>12108</v>
      </c>
      <c r="AK222" s="14" t="s">
        <v>516</v>
      </c>
    </row>
    <row r="223" spans="6:37">
      <c r="F223" s="45">
        <v>51039</v>
      </c>
      <c r="G223" s="12" t="s">
        <v>117</v>
      </c>
      <c r="R223" s="14">
        <v>10743</v>
      </c>
      <c r="S223" s="14" t="s">
        <v>356</v>
      </c>
      <c r="T223" s="12" t="s">
        <v>145</v>
      </c>
      <c r="U223" s="15" t="str">
        <f t="shared" si="7"/>
        <v>Amazon NA Voice and MU - SUP</v>
      </c>
      <c r="V223" s="12" t="s">
        <v>126</v>
      </c>
      <c r="W223" s="12" t="s">
        <v>127</v>
      </c>
      <c r="X223" s="12" t="s">
        <v>128</v>
      </c>
      <c r="Y223" s="12" t="s">
        <v>1038</v>
      </c>
      <c r="AA223" s="14">
        <v>12489</v>
      </c>
      <c r="AB223" s="14" t="s">
        <v>536</v>
      </c>
      <c r="AC223" s="12" t="s">
        <v>139</v>
      </c>
      <c r="AD223" s="15" t="str">
        <f t="shared" si="8"/>
        <v>GE HC - IND Delivery - SMGT</v>
      </c>
      <c r="AE223" s="12" t="s">
        <v>117</v>
      </c>
      <c r="AF223" s="12" t="s">
        <v>117</v>
      </c>
      <c r="AG223" s="12" t="s">
        <v>117</v>
      </c>
      <c r="AH223" s="12" t="s">
        <v>1038</v>
      </c>
      <c r="AJ223" s="14">
        <v>12116</v>
      </c>
      <c r="AK223" s="14" t="s">
        <v>519</v>
      </c>
    </row>
    <row r="224" spans="6:37">
      <c r="F224" s="45">
        <v>51041</v>
      </c>
      <c r="G224" s="12" t="s">
        <v>117</v>
      </c>
      <c r="R224" s="14">
        <v>10743</v>
      </c>
      <c r="S224" s="14" t="s">
        <v>356</v>
      </c>
      <c r="T224" s="12" t="s">
        <v>180</v>
      </c>
      <c r="U224" s="15" t="str">
        <f t="shared" si="7"/>
        <v>Amazon NA Voice and MU - TMG</v>
      </c>
      <c r="V224" s="12" t="s">
        <v>126</v>
      </c>
      <c r="W224" s="12" t="s">
        <v>127</v>
      </c>
      <c r="X224" s="12" t="s">
        <v>128</v>
      </c>
      <c r="Y224" s="12" t="s">
        <v>1038</v>
      </c>
      <c r="AA224" s="14">
        <v>12328</v>
      </c>
      <c r="AB224" s="14" t="s">
        <v>532</v>
      </c>
      <c r="AC224" s="12" t="s">
        <v>116</v>
      </c>
      <c r="AD224" s="15" t="str">
        <f t="shared" si="8"/>
        <v>GE HC APS Development - PRD</v>
      </c>
      <c r="AE224" s="12" t="s">
        <v>117</v>
      </c>
      <c r="AF224" s="12" t="s">
        <v>117</v>
      </c>
      <c r="AG224" s="12" t="s">
        <v>117</v>
      </c>
      <c r="AH224" s="12" t="s">
        <v>1038</v>
      </c>
      <c r="AJ224" s="14">
        <v>12124</v>
      </c>
      <c r="AK224" s="14" t="s">
        <v>520</v>
      </c>
    </row>
    <row r="225" spans="6:37">
      <c r="F225" s="45">
        <v>51046</v>
      </c>
      <c r="G225" s="12" t="s">
        <v>117</v>
      </c>
      <c r="R225" s="14">
        <v>10743</v>
      </c>
      <c r="S225" s="14" t="s">
        <v>356</v>
      </c>
      <c r="T225" s="12" t="s">
        <v>203</v>
      </c>
      <c r="U225" s="15" t="str">
        <f t="shared" si="7"/>
        <v>Amazon NA Voice and MU - TRG</v>
      </c>
      <c r="V225" s="12" t="s">
        <v>112</v>
      </c>
      <c r="W225" s="12" t="s">
        <v>204</v>
      </c>
      <c r="X225" s="12" t="s">
        <v>205</v>
      </c>
      <c r="Y225" s="12" t="s">
        <v>1038</v>
      </c>
      <c r="AA225" s="14">
        <v>12328</v>
      </c>
      <c r="AB225" s="14" t="s">
        <v>532</v>
      </c>
      <c r="AC225" s="12" t="s">
        <v>145</v>
      </c>
      <c r="AD225" s="15" t="str">
        <f t="shared" si="8"/>
        <v>GE HC APS Development - SUP</v>
      </c>
      <c r="AE225" s="12" t="s">
        <v>117</v>
      </c>
      <c r="AF225" s="12" t="s">
        <v>117</v>
      </c>
      <c r="AG225" s="12" t="s">
        <v>117</v>
      </c>
      <c r="AH225" s="12" t="s">
        <v>1038</v>
      </c>
      <c r="AJ225" s="14">
        <v>12125</v>
      </c>
      <c r="AK225" s="14" t="s">
        <v>522</v>
      </c>
    </row>
    <row r="226" spans="6:37">
      <c r="F226" s="45">
        <v>51047</v>
      </c>
      <c r="G226" s="12" t="s">
        <v>117</v>
      </c>
      <c r="R226" s="14">
        <v>10743</v>
      </c>
      <c r="S226" s="14" t="s">
        <v>356</v>
      </c>
      <c r="T226" s="12" t="s">
        <v>208</v>
      </c>
      <c r="U226" s="15" t="str">
        <f t="shared" si="7"/>
        <v>Amazon NA Voice and MU - TTR</v>
      </c>
      <c r="V226" s="12" t="s">
        <v>112</v>
      </c>
      <c r="W226" s="12" t="s">
        <v>204</v>
      </c>
      <c r="X226" s="12" t="s">
        <v>205</v>
      </c>
      <c r="Y226" s="12" t="s">
        <v>1038</v>
      </c>
      <c r="AA226" s="14">
        <v>12079</v>
      </c>
      <c r="AB226" s="14" t="s">
        <v>507</v>
      </c>
      <c r="AC226" s="12" t="s">
        <v>542</v>
      </c>
      <c r="AD226" s="15" t="str">
        <f t="shared" si="8"/>
        <v>GEHC-IT Product Support - ADV</v>
      </c>
      <c r="AE226" s="12" t="s">
        <v>117</v>
      </c>
      <c r="AF226" s="12" t="s">
        <v>117</v>
      </c>
      <c r="AG226" s="12" t="s">
        <v>117</v>
      </c>
      <c r="AH226" s="12" t="s">
        <v>1038</v>
      </c>
      <c r="AJ226" s="14">
        <v>12126</v>
      </c>
      <c r="AK226" s="14" t="s">
        <v>523</v>
      </c>
    </row>
    <row r="227" spans="6:37">
      <c r="F227" s="45">
        <v>51048</v>
      </c>
      <c r="G227" s="12" t="s">
        <v>117</v>
      </c>
      <c r="R227" s="14">
        <v>10723</v>
      </c>
      <c r="S227" s="14" t="s">
        <v>335</v>
      </c>
      <c r="T227" s="12" t="s">
        <v>150</v>
      </c>
      <c r="U227" s="15" t="str">
        <f t="shared" si="7"/>
        <v>Amazon PLS - CCS</v>
      </c>
      <c r="V227" s="12" t="s">
        <v>126</v>
      </c>
      <c r="W227" s="12" t="s">
        <v>127</v>
      </c>
      <c r="X227" s="12" t="s">
        <v>128</v>
      </c>
      <c r="Y227" s="12" t="s">
        <v>1038</v>
      </c>
      <c r="AA227" s="14">
        <v>12079</v>
      </c>
      <c r="AB227" s="14" t="s">
        <v>507</v>
      </c>
      <c r="AC227" s="12" t="s">
        <v>250</v>
      </c>
      <c r="AD227" s="15" t="str">
        <f t="shared" si="8"/>
        <v>GEHC-IT Product Support - LED</v>
      </c>
      <c r="AE227" s="12" t="s">
        <v>117</v>
      </c>
      <c r="AF227" s="12" t="s">
        <v>117</v>
      </c>
      <c r="AG227" s="12" t="s">
        <v>117</v>
      </c>
      <c r="AH227" s="12" t="s">
        <v>1038</v>
      </c>
      <c r="AJ227" s="14">
        <v>12164</v>
      </c>
      <c r="AK227" s="14" t="s">
        <v>524</v>
      </c>
    </row>
    <row r="228" spans="6:37">
      <c r="F228" s="45">
        <v>51049</v>
      </c>
      <c r="G228" s="12" t="s">
        <v>117</v>
      </c>
      <c r="R228" s="14">
        <v>10723</v>
      </c>
      <c r="S228" s="14" t="s">
        <v>335</v>
      </c>
      <c r="T228" s="12" t="s">
        <v>161</v>
      </c>
      <c r="U228" s="15" t="str">
        <f t="shared" si="7"/>
        <v>Amazon PLS - ECC</v>
      </c>
      <c r="V228" s="12" t="s">
        <v>126</v>
      </c>
      <c r="W228" s="12" t="s">
        <v>127</v>
      </c>
      <c r="X228" s="12" t="s">
        <v>128</v>
      </c>
      <c r="Y228" s="12" t="s">
        <v>1038</v>
      </c>
      <c r="AA228" s="14">
        <v>12079</v>
      </c>
      <c r="AB228" s="14" t="s">
        <v>507</v>
      </c>
      <c r="AC228" s="12" t="s">
        <v>129</v>
      </c>
      <c r="AD228" s="15" t="str">
        <f t="shared" si="8"/>
        <v>GEHC-IT Product Support - MGT</v>
      </c>
      <c r="AE228" s="12" t="s">
        <v>117</v>
      </c>
      <c r="AF228" s="12" t="s">
        <v>117</v>
      </c>
      <c r="AG228" s="12" t="s">
        <v>117</v>
      </c>
      <c r="AH228" s="12" t="s">
        <v>1038</v>
      </c>
      <c r="AJ228" s="14">
        <v>12243</v>
      </c>
      <c r="AK228" s="14" t="s">
        <v>355</v>
      </c>
    </row>
    <row r="229" spans="6:37">
      <c r="F229" s="45">
        <v>51052</v>
      </c>
      <c r="G229" s="12" t="s">
        <v>117</v>
      </c>
      <c r="R229" s="14">
        <v>10723</v>
      </c>
      <c r="S229" s="14" t="s">
        <v>335</v>
      </c>
      <c r="T229" s="12" t="s">
        <v>168</v>
      </c>
      <c r="U229" s="15" t="str">
        <f t="shared" si="7"/>
        <v>Amazon PLS - ESC</v>
      </c>
      <c r="V229" s="12" t="s">
        <v>126</v>
      </c>
      <c r="W229" s="12" t="s">
        <v>127</v>
      </c>
      <c r="X229" s="12" t="s">
        <v>128</v>
      </c>
      <c r="Y229" s="12" t="s">
        <v>1038</v>
      </c>
      <c r="AA229" s="14">
        <v>12079</v>
      </c>
      <c r="AB229" s="14" t="s">
        <v>507</v>
      </c>
      <c r="AC229" s="12" t="s">
        <v>547</v>
      </c>
      <c r="AD229" s="15" t="str">
        <f t="shared" si="8"/>
        <v>GEHC-IT Product Support - PHR</v>
      </c>
      <c r="AE229" s="12" t="s">
        <v>117</v>
      </c>
      <c r="AF229" s="12" t="s">
        <v>117</v>
      </c>
      <c r="AG229" s="12" t="s">
        <v>117</v>
      </c>
      <c r="AH229" s="12" t="s">
        <v>1038</v>
      </c>
      <c r="AJ229" s="14">
        <v>12305</v>
      </c>
      <c r="AK229" s="14" t="s">
        <v>526</v>
      </c>
    </row>
    <row r="230" spans="6:37">
      <c r="F230" s="45">
        <v>51054</v>
      </c>
      <c r="G230" s="12" t="s">
        <v>117</v>
      </c>
      <c r="R230" s="14">
        <v>10723</v>
      </c>
      <c r="S230" s="14" t="s">
        <v>335</v>
      </c>
      <c r="T230" s="12" t="s">
        <v>129</v>
      </c>
      <c r="U230" s="15" t="str">
        <f t="shared" si="7"/>
        <v>Amazon PLS - MGT</v>
      </c>
      <c r="V230" s="12" t="s">
        <v>126</v>
      </c>
      <c r="W230" s="12" t="s">
        <v>127</v>
      </c>
      <c r="X230" s="12" t="s">
        <v>128</v>
      </c>
      <c r="Y230" s="12" t="s">
        <v>1038</v>
      </c>
      <c r="AA230" s="14">
        <v>12079</v>
      </c>
      <c r="AB230" s="14" t="s">
        <v>507</v>
      </c>
      <c r="AC230" s="12" t="s">
        <v>116</v>
      </c>
      <c r="AD230" s="15" t="str">
        <f t="shared" si="8"/>
        <v>GEHC-IT Product Support - PRD</v>
      </c>
      <c r="AE230" s="12" t="s">
        <v>117</v>
      </c>
      <c r="AF230" s="12" t="s">
        <v>117</v>
      </c>
      <c r="AG230" s="12" t="s">
        <v>117</v>
      </c>
      <c r="AH230" s="12" t="s">
        <v>1038</v>
      </c>
      <c r="AJ230" s="14">
        <v>12306</v>
      </c>
      <c r="AK230" s="14" t="s">
        <v>527</v>
      </c>
    </row>
    <row r="231" spans="6:37">
      <c r="F231" s="45">
        <v>51055</v>
      </c>
      <c r="G231" s="12" t="s">
        <v>117</v>
      </c>
      <c r="R231" s="14">
        <v>10723</v>
      </c>
      <c r="S231" s="14" t="s">
        <v>335</v>
      </c>
      <c r="T231" s="12" t="s">
        <v>116</v>
      </c>
      <c r="U231" s="15" t="str">
        <f t="shared" si="7"/>
        <v>Amazon PLS - PRD</v>
      </c>
      <c r="V231" s="12" t="s">
        <v>126</v>
      </c>
      <c r="W231" s="12" t="s">
        <v>127</v>
      </c>
      <c r="X231" s="12" t="s">
        <v>128</v>
      </c>
      <c r="Y231" s="12" t="s">
        <v>1038</v>
      </c>
      <c r="AA231" s="14">
        <v>12079</v>
      </c>
      <c r="AB231" s="14" t="s">
        <v>507</v>
      </c>
      <c r="AC231" s="12" t="s">
        <v>172</v>
      </c>
      <c r="AD231" s="15" t="str">
        <f t="shared" si="8"/>
        <v>GEHC-IT Product Support - SME</v>
      </c>
      <c r="AE231" s="12" t="s">
        <v>117</v>
      </c>
      <c r="AF231" s="12" t="s">
        <v>117</v>
      </c>
      <c r="AG231" s="12" t="s">
        <v>117</v>
      </c>
      <c r="AH231" s="12" t="s">
        <v>1038</v>
      </c>
      <c r="AJ231" s="14">
        <v>12307</v>
      </c>
      <c r="AK231" s="14" t="s">
        <v>528</v>
      </c>
    </row>
    <row r="232" spans="6:37">
      <c r="F232" s="45">
        <v>51056</v>
      </c>
      <c r="G232" s="12" t="s">
        <v>117</v>
      </c>
      <c r="R232" s="14">
        <v>10723</v>
      </c>
      <c r="S232" s="14" t="s">
        <v>335</v>
      </c>
      <c r="T232" s="12" t="s">
        <v>111</v>
      </c>
      <c r="U232" s="15" t="str">
        <f t="shared" si="7"/>
        <v>Amazon PLS - QLY</v>
      </c>
      <c r="V232" s="12" t="s">
        <v>112</v>
      </c>
      <c r="W232" s="12" t="s">
        <v>113</v>
      </c>
      <c r="X232" s="12" t="s">
        <v>114</v>
      </c>
      <c r="Y232" s="12" t="s">
        <v>1038</v>
      </c>
      <c r="AA232" s="14">
        <v>12079</v>
      </c>
      <c r="AB232" s="14" t="s">
        <v>507</v>
      </c>
      <c r="AC232" s="12" t="s">
        <v>145</v>
      </c>
      <c r="AD232" s="15" t="str">
        <f t="shared" si="8"/>
        <v>GEHC-IT Product Support - SUP</v>
      </c>
      <c r="AE232" s="12" t="s">
        <v>117</v>
      </c>
      <c r="AF232" s="12" t="s">
        <v>117</v>
      </c>
      <c r="AG232" s="12" t="s">
        <v>117</v>
      </c>
      <c r="AH232" s="12" t="s">
        <v>1038</v>
      </c>
      <c r="AJ232" s="14">
        <v>12313</v>
      </c>
      <c r="AK232" s="14" t="s">
        <v>530</v>
      </c>
    </row>
    <row r="233" spans="6:37">
      <c r="F233" s="45">
        <v>51057</v>
      </c>
      <c r="G233" s="12" t="s">
        <v>117</v>
      </c>
      <c r="R233" s="14">
        <v>10723</v>
      </c>
      <c r="S233" s="14" t="s">
        <v>335</v>
      </c>
      <c r="T233" s="12" t="s">
        <v>172</v>
      </c>
      <c r="U233" s="15" t="str">
        <f t="shared" si="7"/>
        <v>Amazon PLS - SME</v>
      </c>
      <c r="V233" s="12" t="s">
        <v>126</v>
      </c>
      <c r="W233" s="12" t="s">
        <v>127</v>
      </c>
      <c r="X233" s="12" t="s">
        <v>128</v>
      </c>
      <c r="Y233" s="12" t="s">
        <v>1038</v>
      </c>
      <c r="AA233" s="14">
        <v>96742</v>
      </c>
      <c r="AB233" s="14" t="s">
        <v>549</v>
      </c>
      <c r="AC233" s="12" t="s">
        <v>129</v>
      </c>
      <c r="AD233" s="15" t="str">
        <f t="shared" si="8"/>
        <v>Geo Business Finance - MGT</v>
      </c>
      <c r="AE233" s="12" t="s">
        <v>118</v>
      </c>
      <c r="AF233" s="12" t="s">
        <v>122</v>
      </c>
      <c r="AG233" s="12" t="s">
        <v>114</v>
      </c>
      <c r="AH233" s="12" t="s">
        <v>1038</v>
      </c>
      <c r="AJ233" s="14">
        <v>12320</v>
      </c>
      <c r="AK233" s="14" t="s">
        <v>531</v>
      </c>
    </row>
    <row r="234" spans="6:37">
      <c r="F234" s="45">
        <v>51058</v>
      </c>
      <c r="G234" s="12" t="s">
        <v>117</v>
      </c>
      <c r="R234" s="14">
        <v>10723</v>
      </c>
      <c r="S234" s="14" t="s">
        <v>335</v>
      </c>
      <c r="T234" s="12" t="s">
        <v>119</v>
      </c>
      <c r="U234" s="15" t="str">
        <f t="shared" si="7"/>
        <v>Amazon PLS - SQM</v>
      </c>
      <c r="V234" s="12" t="s">
        <v>112</v>
      </c>
      <c r="W234" s="12" t="s">
        <v>113</v>
      </c>
      <c r="X234" s="12" t="s">
        <v>114</v>
      </c>
      <c r="Y234" s="12" t="s">
        <v>1038</v>
      </c>
      <c r="AA234" s="14">
        <v>96742</v>
      </c>
      <c r="AB234" s="14" t="s">
        <v>549</v>
      </c>
      <c r="AC234" s="12" t="s">
        <v>139</v>
      </c>
      <c r="AD234" s="15" t="str">
        <f t="shared" si="8"/>
        <v>Geo Business Finance - SMGT</v>
      </c>
      <c r="AE234" s="12" t="s">
        <v>118</v>
      </c>
      <c r="AF234" s="12" t="s">
        <v>122</v>
      </c>
      <c r="AG234" s="12" t="s">
        <v>114</v>
      </c>
      <c r="AH234" s="12" t="s">
        <v>1038</v>
      </c>
      <c r="AJ234" s="14">
        <v>12328</v>
      </c>
      <c r="AK234" s="14" t="s">
        <v>532</v>
      </c>
    </row>
    <row r="235" spans="6:37">
      <c r="F235" s="45">
        <v>51059</v>
      </c>
      <c r="G235" s="12" t="s">
        <v>117</v>
      </c>
      <c r="R235" s="14">
        <v>10723</v>
      </c>
      <c r="S235" s="14" t="s">
        <v>335</v>
      </c>
      <c r="T235" s="12" t="s">
        <v>145</v>
      </c>
      <c r="U235" s="15" t="str">
        <f t="shared" si="7"/>
        <v>Amazon PLS - SUP</v>
      </c>
      <c r="V235" s="12" t="s">
        <v>126</v>
      </c>
      <c r="W235" s="12" t="s">
        <v>127</v>
      </c>
      <c r="X235" s="12" t="s">
        <v>128</v>
      </c>
      <c r="Y235" s="12" t="s">
        <v>1038</v>
      </c>
      <c r="AA235" s="14">
        <v>96742</v>
      </c>
      <c r="AB235" s="14" t="s">
        <v>549</v>
      </c>
      <c r="AC235" s="12" t="s">
        <v>145</v>
      </c>
      <c r="AD235" s="15" t="str">
        <f t="shared" si="8"/>
        <v>Geo Business Finance - SUP</v>
      </c>
      <c r="AE235" s="12" t="s">
        <v>118</v>
      </c>
      <c r="AF235" s="12" t="s">
        <v>122</v>
      </c>
      <c r="AG235" s="12" t="s">
        <v>114</v>
      </c>
      <c r="AH235" s="12" t="s">
        <v>1038</v>
      </c>
      <c r="AJ235" s="14">
        <v>12345</v>
      </c>
      <c r="AK235" s="14" t="s">
        <v>329</v>
      </c>
    </row>
    <row r="236" spans="6:37">
      <c r="F236" s="45">
        <v>51063</v>
      </c>
      <c r="G236" s="12" t="s">
        <v>117</v>
      </c>
      <c r="R236" s="14">
        <v>10723</v>
      </c>
      <c r="S236" s="14" t="s">
        <v>335</v>
      </c>
      <c r="T236" s="12" t="s">
        <v>198</v>
      </c>
      <c r="U236" s="15" t="str">
        <f t="shared" si="7"/>
        <v>Amazon PLS - TEC</v>
      </c>
      <c r="V236" s="12" t="s">
        <v>126</v>
      </c>
      <c r="W236" s="12" t="s">
        <v>127</v>
      </c>
      <c r="X236" s="12" t="s">
        <v>128</v>
      </c>
      <c r="Y236" s="12" t="s">
        <v>1038</v>
      </c>
      <c r="AA236" s="14">
        <v>96207</v>
      </c>
      <c r="AB236" s="14" t="s">
        <v>553</v>
      </c>
      <c r="AC236" s="12" t="s">
        <v>121</v>
      </c>
      <c r="AD236" s="15" t="str">
        <f t="shared" si="8"/>
        <v>GFSS-Attendance _ Payroll Supp - F&amp;A</v>
      </c>
      <c r="AE236" s="12" t="s">
        <v>118</v>
      </c>
      <c r="AF236" s="12" t="s">
        <v>554</v>
      </c>
      <c r="AG236" s="12" t="s">
        <v>114</v>
      </c>
      <c r="AH236" s="12" t="s">
        <v>1038</v>
      </c>
      <c r="AJ236" s="14">
        <v>12351</v>
      </c>
      <c r="AK236" s="14" t="s">
        <v>209</v>
      </c>
    </row>
    <row r="237" spans="6:37">
      <c r="F237" s="45">
        <v>51069</v>
      </c>
      <c r="G237" s="12" t="s">
        <v>117</v>
      </c>
      <c r="R237" s="14">
        <v>10723</v>
      </c>
      <c r="S237" s="14" t="s">
        <v>335</v>
      </c>
      <c r="T237" s="12" t="s">
        <v>180</v>
      </c>
      <c r="U237" s="15" t="str">
        <f t="shared" si="7"/>
        <v>Amazon PLS - TMG</v>
      </c>
      <c r="V237" s="12" t="s">
        <v>126</v>
      </c>
      <c r="W237" s="12" t="s">
        <v>127</v>
      </c>
      <c r="X237" s="12" t="s">
        <v>128</v>
      </c>
      <c r="Y237" s="12" t="s">
        <v>1038</v>
      </c>
      <c r="AA237" s="14">
        <v>96207</v>
      </c>
      <c r="AB237" s="14" t="s">
        <v>553</v>
      </c>
      <c r="AC237" s="12" t="s">
        <v>556</v>
      </c>
      <c r="AD237" s="15" t="str">
        <f t="shared" si="8"/>
        <v>GFSS-Attendance _ Payroll Supp - HRD</v>
      </c>
      <c r="AE237" s="12" t="s">
        <v>118</v>
      </c>
      <c r="AF237" s="12" t="s">
        <v>554</v>
      </c>
      <c r="AG237" s="12" t="s">
        <v>114</v>
      </c>
      <c r="AH237" s="12" t="s">
        <v>1038</v>
      </c>
      <c r="AJ237" s="14">
        <v>12359</v>
      </c>
      <c r="AK237" s="14" t="s">
        <v>535</v>
      </c>
    </row>
    <row r="238" spans="6:37">
      <c r="F238" s="45">
        <v>51070</v>
      </c>
      <c r="G238" s="12" t="s">
        <v>117</v>
      </c>
      <c r="R238" s="14">
        <v>10723</v>
      </c>
      <c r="S238" s="14" t="s">
        <v>335</v>
      </c>
      <c r="T238" s="12" t="s">
        <v>208</v>
      </c>
      <c r="U238" s="15" t="str">
        <f t="shared" si="7"/>
        <v>Amazon PLS - TTR</v>
      </c>
      <c r="V238" s="12" t="s">
        <v>112</v>
      </c>
      <c r="W238" s="12" t="s">
        <v>204</v>
      </c>
      <c r="X238" s="12" t="s">
        <v>205</v>
      </c>
      <c r="Y238" s="12" t="s">
        <v>1038</v>
      </c>
      <c r="AA238" s="14">
        <v>96207</v>
      </c>
      <c r="AB238" s="14" t="s">
        <v>553</v>
      </c>
      <c r="AC238" s="12" t="s">
        <v>145</v>
      </c>
      <c r="AD238" s="15" t="str">
        <f t="shared" si="8"/>
        <v>GFSS-Attendance _ Payroll Supp - SUP</v>
      </c>
      <c r="AE238" s="12" t="s">
        <v>118</v>
      </c>
      <c r="AF238" s="12" t="s">
        <v>554</v>
      </c>
      <c r="AG238" s="12" t="s">
        <v>114</v>
      </c>
      <c r="AH238" s="12" t="s">
        <v>1038</v>
      </c>
      <c r="AJ238" s="14">
        <v>12382</v>
      </c>
      <c r="AK238" s="14" t="s">
        <v>537</v>
      </c>
    </row>
    <row r="239" spans="6:37">
      <c r="F239" s="45">
        <v>51071</v>
      </c>
      <c r="G239" s="12" t="s">
        <v>117</v>
      </c>
      <c r="R239" s="14">
        <v>10008</v>
      </c>
      <c r="S239" s="14" t="s">
        <v>130</v>
      </c>
      <c r="T239" s="12" t="s">
        <v>133</v>
      </c>
      <c r="U239" s="15" t="str">
        <f t="shared" si="7"/>
        <v>Amazon Seller Support - AMG</v>
      </c>
      <c r="V239" s="12" t="s">
        <v>126</v>
      </c>
      <c r="W239" s="12" t="s">
        <v>178</v>
      </c>
      <c r="X239" s="12" t="s">
        <v>128</v>
      </c>
      <c r="Y239" s="12" t="s">
        <v>1038</v>
      </c>
      <c r="AA239" s="14">
        <v>96725</v>
      </c>
      <c r="AB239" s="14" t="s">
        <v>558</v>
      </c>
      <c r="AC239" s="12" t="s">
        <v>121</v>
      </c>
      <c r="AD239" s="15" t="str">
        <f t="shared" si="8"/>
        <v>Global Business Controller's - F&amp;A</v>
      </c>
      <c r="AE239" s="12" t="s">
        <v>118</v>
      </c>
      <c r="AF239" s="12" t="s">
        <v>122</v>
      </c>
      <c r="AG239" s="12" t="s">
        <v>114</v>
      </c>
      <c r="AH239" s="12" t="s">
        <v>1038</v>
      </c>
      <c r="AJ239" s="14">
        <v>12388</v>
      </c>
      <c r="AK239" s="14" t="s">
        <v>538</v>
      </c>
    </row>
    <row r="240" spans="6:37">
      <c r="F240" s="45">
        <v>51072</v>
      </c>
      <c r="G240" s="12" t="s">
        <v>117</v>
      </c>
      <c r="R240" s="14">
        <v>10008</v>
      </c>
      <c r="S240" s="14" t="s">
        <v>130</v>
      </c>
      <c r="T240" s="12" t="s">
        <v>150</v>
      </c>
      <c r="U240" s="15" t="str">
        <f t="shared" si="7"/>
        <v>Amazon Seller Support - CCS</v>
      </c>
      <c r="V240" s="12" t="s">
        <v>126</v>
      </c>
      <c r="W240" s="12" t="s">
        <v>178</v>
      </c>
      <c r="X240" s="12" t="s">
        <v>128</v>
      </c>
      <c r="Y240" s="12" t="s">
        <v>1038</v>
      </c>
      <c r="AA240" s="14">
        <v>96725</v>
      </c>
      <c r="AB240" s="14" t="s">
        <v>558</v>
      </c>
      <c r="AC240" s="12" t="s">
        <v>129</v>
      </c>
      <c r="AD240" s="15" t="str">
        <f t="shared" si="8"/>
        <v>Global Business Controller's - MGT</v>
      </c>
      <c r="AE240" s="12" t="s">
        <v>118</v>
      </c>
      <c r="AF240" s="12" t="s">
        <v>122</v>
      </c>
      <c r="AG240" s="12" t="s">
        <v>114</v>
      </c>
      <c r="AH240" s="12" t="s">
        <v>1038</v>
      </c>
      <c r="AJ240" s="14">
        <v>12408</v>
      </c>
      <c r="AK240" s="14" t="s">
        <v>540</v>
      </c>
    </row>
    <row r="241" spans="6:37">
      <c r="F241" s="45">
        <v>51074</v>
      </c>
      <c r="G241" s="12" t="s">
        <v>117</v>
      </c>
      <c r="R241" s="14">
        <v>10008</v>
      </c>
      <c r="S241" s="14" t="s">
        <v>130</v>
      </c>
      <c r="T241" s="12" t="s">
        <v>161</v>
      </c>
      <c r="U241" s="15" t="str">
        <f t="shared" si="7"/>
        <v>Amazon Seller Support - ECC</v>
      </c>
      <c r="V241" s="12" t="s">
        <v>126</v>
      </c>
      <c r="W241" s="12" t="s">
        <v>178</v>
      </c>
      <c r="X241" s="12" t="s">
        <v>128</v>
      </c>
      <c r="Y241" s="12" t="s">
        <v>1038</v>
      </c>
      <c r="AA241" s="14">
        <v>96725</v>
      </c>
      <c r="AB241" s="14" t="s">
        <v>558</v>
      </c>
      <c r="AC241" s="12" t="s">
        <v>139</v>
      </c>
      <c r="AD241" s="15" t="str">
        <f t="shared" si="8"/>
        <v>Global Business Controller's - SMGT</v>
      </c>
      <c r="AE241" s="12" t="s">
        <v>118</v>
      </c>
      <c r="AF241" s="12" t="s">
        <v>122</v>
      </c>
      <c r="AG241" s="12" t="s">
        <v>114</v>
      </c>
      <c r="AH241" s="12" t="s">
        <v>1038</v>
      </c>
      <c r="AJ241" s="14">
        <v>12409</v>
      </c>
      <c r="AK241" s="14" t="s">
        <v>541</v>
      </c>
    </row>
    <row r="242" spans="6:37">
      <c r="F242" s="45">
        <v>51076</v>
      </c>
      <c r="G242" s="12" t="s">
        <v>117</v>
      </c>
      <c r="R242" s="14">
        <v>10008</v>
      </c>
      <c r="S242" s="14" t="s">
        <v>130</v>
      </c>
      <c r="T242" s="12" t="s">
        <v>171</v>
      </c>
      <c r="U242" s="15" t="str">
        <f t="shared" si="7"/>
        <v>Amazon Seller Support - ETE</v>
      </c>
      <c r="V242" s="12" t="s">
        <v>126</v>
      </c>
      <c r="W242" s="12" t="s">
        <v>178</v>
      </c>
      <c r="X242" s="12" t="s">
        <v>128</v>
      </c>
      <c r="Y242" s="12" t="s">
        <v>1038</v>
      </c>
      <c r="AA242" s="14">
        <v>96725</v>
      </c>
      <c r="AB242" s="14" t="s">
        <v>558</v>
      </c>
      <c r="AC242" s="12" t="s">
        <v>145</v>
      </c>
      <c r="AD242" s="15" t="str">
        <f t="shared" si="8"/>
        <v>Global Business Controller's - SUP</v>
      </c>
      <c r="AE242" s="12" t="s">
        <v>118</v>
      </c>
      <c r="AF242" s="12" t="s">
        <v>122</v>
      </c>
      <c r="AG242" s="12" t="s">
        <v>114</v>
      </c>
      <c r="AH242" s="12" t="s">
        <v>1038</v>
      </c>
      <c r="AJ242" s="14">
        <v>12413</v>
      </c>
      <c r="AK242" s="14" t="s">
        <v>543</v>
      </c>
    </row>
    <row r="243" spans="6:37">
      <c r="F243" s="45">
        <v>51077</v>
      </c>
      <c r="G243" s="12" t="s">
        <v>117</v>
      </c>
      <c r="R243" s="14">
        <v>10008</v>
      </c>
      <c r="S243" s="14" t="s">
        <v>130</v>
      </c>
      <c r="T243" s="12" t="s">
        <v>129</v>
      </c>
      <c r="U243" s="15" t="str">
        <f t="shared" si="7"/>
        <v>Amazon Seller Support - MGT</v>
      </c>
      <c r="V243" s="12" t="s">
        <v>126</v>
      </c>
      <c r="W243" s="12" t="s">
        <v>178</v>
      </c>
      <c r="X243" s="12" t="s">
        <v>128</v>
      </c>
      <c r="Y243" s="12" t="s">
        <v>1038</v>
      </c>
      <c r="AA243" s="14">
        <v>96205</v>
      </c>
      <c r="AB243" s="14" t="s">
        <v>561</v>
      </c>
      <c r="AC243" s="12" t="s">
        <v>133</v>
      </c>
      <c r="AD243" s="15" t="str">
        <f t="shared" si="8"/>
        <v>Global Finance Shared Services - AMG</v>
      </c>
      <c r="AE243" s="12" t="s">
        <v>118</v>
      </c>
      <c r="AF243" s="12" t="s">
        <v>122</v>
      </c>
      <c r="AG243" s="12" t="s">
        <v>114</v>
      </c>
      <c r="AH243" s="12" t="s">
        <v>1038</v>
      </c>
      <c r="AJ243" s="14">
        <v>12420</v>
      </c>
      <c r="AK243" s="14" t="s">
        <v>544</v>
      </c>
    </row>
    <row r="244" spans="6:37">
      <c r="F244" s="45">
        <v>51078</v>
      </c>
      <c r="G244" s="12" t="s">
        <v>117</v>
      </c>
      <c r="R244" s="14">
        <v>10008</v>
      </c>
      <c r="S244" s="14" t="s">
        <v>130</v>
      </c>
      <c r="T244" s="12" t="s">
        <v>177</v>
      </c>
      <c r="U244" s="15" t="str">
        <f t="shared" si="7"/>
        <v>Amazon Seller Support - OPS</v>
      </c>
      <c r="V244" s="12" t="s">
        <v>126</v>
      </c>
      <c r="W244" s="12" t="s">
        <v>178</v>
      </c>
      <c r="X244" s="12" t="s">
        <v>128</v>
      </c>
      <c r="Y244" s="12" t="s">
        <v>1038</v>
      </c>
      <c r="AA244" s="14">
        <v>96205</v>
      </c>
      <c r="AB244" s="14" t="s">
        <v>561</v>
      </c>
      <c r="AC244" s="12" t="s">
        <v>150</v>
      </c>
      <c r="AD244" s="15" t="str">
        <f t="shared" si="8"/>
        <v>Global Finance Shared Services - CCS</v>
      </c>
      <c r="AE244" s="12" t="s">
        <v>118</v>
      </c>
      <c r="AF244" s="12" t="s">
        <v>122</v>
      </c>
      <c r="AG244" s="12" t="s">
        <v>114</v>
      </c>
      <c r="AH244" s="12" t="s">
        <v>1038</v>
      </c>
      <c r="AJ244" s="14">
        <v>12421</v>
      </c>
      <c r="AK244" s="14" t="s">
        <v>545</v>
      </c>
    </row>
    <row r="245" spans="6:37">
      <c r="F245" s="45">
        <v>51079</v>
      </c>
      <c r="G245" s="12" t="s">
        <v>117</v>
      </c>
      <c r="R245" s="14">
        <v>10008</v>
      </c>
      <c r="S245" s="14" t="s">
        <v>130</v>
      </c>
      <c r="T245" s="12" t="s">
        <v>116</v>
      </c>
      <c r="U245" s="15" t="str">
        <f t="shared" si="7"/>
        <v>Amazon Seller Support - PRD</v>
      </c>
      <c r="V245" s="12" t="s">
        <v>126</v>
      </c>
      <c r="W245" s="12" t="s">
        <v>178</v>
      </c>
      <c r="X245" s="12" t="s">
        <v>128</v>
      </c>
      <c r="Y245" s="12" t="s">
        <v>1038</v>
      </c>
      <c r="AA245" s="14">
        <v>96205</v>
      </c>
      <c r="AB245" s="14" t="s">
        <v>561</v>
      </c>
      <c r="AC245" s="12" t="s">
        <v>121</v>
      </c>
      <c r="AD245" s="15" t="str">
        <f t="shared" si="8"/>
        <v>Global Finance Shared Services - F&amp;A</v>
      </c>
      <c r="AE245" s="12" t="s">
        <v>118</v>
      </c>
      <c r="AF245" s="12" t="s">
        <v>122</v>
      </c>
      <c r="AG245" s="12" t="s">
        <v>114</v>
      </c>
      <c r="AH245" s="12" t="s">
        <v>1038</v>
      </c>
      <c r="AJ245" s="14">
        <v>12422</v>
      </c>
      <c r="AK245" s="14" t="s">
        <v>548</v>
      </c>
    </row>
    <row r="246" spans="6:37">
      <c r="F246" s="45">
        <v>51080</v>
      </c>
      <c r="G246" s="12" t="s">
        <v>117</v>
      </c>
      <c r="R246" s="14">
        <v>10008</v>
      </c>
      <c r="S246" s="14" t="s">
        <v>130</v>
      </c>
      <c r="T246" s="12" t="s">
        <v>230</v>
      </c>
      <c r="U246" s="15" t="str">
        <f t="shared" si="7"/>
        <v>Amazon Seller Support - PRSP</v>
      </c>
      <c r="V246" s="12" t="s">
        <v>126</v>
      </c>
      <c r="W246" s="12" t="s">
        <v>178</v>
      </c>
      <c r="X246" s="12" t="s">
        <v>128</v>
      </c>
      <c r="Y246" s="12" t="s">
        <v>1038</v>
      </c>
      <c r="AA246" s="14">
        <v>96205</v>
      </c>
      <c r="AB246" s="14" t="s">
        <v>561</v>
      </c>
      <c r="AC246" s="12" t="s">
        <v>129</v>
      </c>
      <c r="AD246" s="15" t="str">
        <f t="shared" si="8"/>
        <v>Global Finance Shared Services - MGT</v>
      </c>
      <c r="AE246" s="12" t="s">
        <v>118</v>
      </c>
      <c r="AF246" s="12" t="s">
        <v>122</v>
      </c>
      <c r="AG246" s="12" t="s">
        <v>114</v>
      </c>
      <c r="AH246" s="12" t="s">
        <v>1038</v>
      </c>
      <c r="AJ246" s="14">
        <v>12425</v>
      </c>
      <c r="AK246" s="14" t="s">
        <v>342</v>
      </c>
    </row>
    <row r="247" spans="6:37">
      <c r="F247" s="45">
        <v>51081</v>
      </c>
      <c r="G247" s="12" t="s">
        <v>117</v>
      </c>
      <c r="R247" s="14">
        <v>10008</v>
      </c>
      <c r="S247" s="14" t="s">
        <v>130</v>
      </c>
      <c r="T247" s="12" t="s">
        <v>111</v>
      </c>
      <c r="U247" s="15" t="str">
        <f t="shared" si="7"/>
        <v>Amazon Seller Support - QLY</v>
      </c>
      <c r="V247" s="12" t="s">
        <v>112</v>
      </c>
      <c r="W247" s="12" t="s">
        <v>113</v>
      </c>
      <c r="X247" s="12" t="s">
        <v>114</v>
      </c>
      <c r="Y247" s="12" t="s">
        <v>1038</v>
      </c>
      <c r="AA247" s="14">
        <v>96205</v>
      </c>
      <c r="AB247" s="14" t="s">
        <v>561</v>
      </c>
      <c r="AC247" s="12" t="s">
        <v>139</v>
      </c>
      <c r="AD247" s="15" t="str">
        <f t="shared" si="8"/>
        <v>Global Finance Shared Services - SMGT</v>
      </c>
      <c r="AE247" s="12" t="s">
        <v>118</v>
      </c>
      <c r="AF247" s="12" t="s">
        <v>122</v>
      </c>
      <c r="AG247" s="12" t="s">
        <v>114</v>
      </c>
      <c r="AH247" s="12" t="s">
        <v>1038</v>
      </c>
      <c r="AJ247" s="14">
        <v>12426</v>
      </c>
      <c r="AK247" s="14" t="s">
        <v>236</v>
      </c>
    </row>
    <row r="248" spans="6:37">
      <c r="F248" s="45">
        <v>51082</v>
      </c>
      <c r="G248" s="12" t="s">
        <v>117</v>
      </c>
      <c r="R248" s="14">
        <v>10008</v>
      </c>
      <c r="S248" s="14" t="s">
        <v>130</v>
      </c>
      <c r="T248" s="12" t="s">
        <v>172</v>
      </c>
      <c r="U248" s="15" t="str">
        <f t="shared" si="7"/>
        <v>Amazon Seller Support - SME</v>
      </c>
      <c r="V248" s="12" t="s">
        <v>126</v>
      </c>
      <c r="W248" s="12" t="s">
        <v>127</v>
      </c>
      <c r="X248" s="12" t="s">
        <v>128</v>
      </c>
      <c r="Y248" s="12" t="s">
        <v>1038</v>
      </c>
      <c r="AA248" s="14">
        <v>96205</v>
      </c>
      <c r="AB248" s="14" t="s">
        <v>561</v>
      </c>
      <c r="AC248" s="12" t="s">
        <v>145</v>
      </c>
      <c r="AD248" s="15" t="str">
        <f t="shared" si="8"/>
        <v>Global Finance Shared Services - SUP</v>
      </c>
      <c r="AE248" s="12" t="s">
        <v>118</v>
      </c>
      <c r="AF248" s="12" t="s">
        <v>122</v>
      </c>
      <c r="AG248" s="12" t="s">
        <v>114</v>
      </c>
      <c r="AH248" s="12" t="s">
        <v>1038</v>
      </c>
      <c r="AJ248" s="14">
        <v>12427</v>
      </c>
      <c r="AK248" s="14" t="s">
        <v>477</v>
      </c>
    </row>
    <row r="249" spans="6:37">
      <c r="F249" s="45">
        <v>51083</v>
      </c>
      <c r="G249" s="12" t="s">
        <v>117</v>
      </c>
      <c r="R249" s="14">
        <v>10008</v>
      </c>
      <c r="S249" s="14" t="s">
        <v>130</v>
      </c>
      <c r="T249" s="12" t="s">
        <v>119</v>
      </c>
      <c r="U249" s="15" t="str">
        <f t="shared" si="7"/>
        <v>Amazon Seller Support - SQM</v>
      </c>
      <c r="V249" s="12" t="s">
        <v>112</v>
      </c>
      <c r="W249" s="12" t="s">
        <v>113</v>
      </c>
      <c r="X249" s="12" t="s">
        <v>114</v>
      </c>
      <c r="Y249" s="12" t="s">
        <v>1038</v>
      </c>
      <c r="AA249" s="14">
        <v>96205</v>
      </c>
      <c r="AB249" s="14" t="s">
        <v>561</v>
      </c>
      <c r="AC249" s="12" t="s">
        <v>180</v>
      </c>
      <c r="AD249" s="15" t="str">
        <f t="shared" si="8"/>
        <v>Global Finance Shared Services - TMG</v>
      </c>
      <c r="AE249" s="12" t="s">
        <v>118</v>
      </c>
      <c r="AF249" s="12" t="s">
        <v>122</v>
      </c>
      <c r="AG249" s="12" t="s">
        <v>114</v>
      </c>
      <c r="AH249" s="12" t="s">
        <v>1038</v>
      </c>
      <c r="AJ249" s="14">
        <v>12431</v>
      </c>
      <c r="AK249" s="14" t="s">
        <v>550</v>
      </c>
    </row>
    <row r="250" spans="6:37">
      <c r="F250" s="45">
        <v>51084</v>
      </c>
      <c r="G250" s="12" t="s">
        <v>117</v>
      </c>
      <c r="R250" s="14">
        <v>10008</v>
      </c>
      <c r="S250" s="14" t="s">
        <v>130</v>
      </c>
      <c r="T250" s="12" t="s">
        <v>145</v>
      </c>
      <c r="U250" s="15" t="str">
        <f t="shared" si="7"/>
        <v>Amazon Seller Support - SUP</v>
      </c>
      <c r="V250" s="12" t="s">
        <v>126</v>
      </c>
      <c r="W250" s="12" t="s">
        <v>178</v>
      </c>
      <c r="X250" s="12" t="s">
        <v>128</v>
      </c>
      <c r="Y250" s="12" t="s">
        <v>1038</v>
      </c>
      <c r="AA250" s="14">
        <v>98001</v>
      </c>
      <c r="AB250" s="14" t="s">
        <v>567</v>
      </c>
      <c r="AC250" s="12" t="s">
        <v>352</v>
      </c>
      <c r="AD250" s="15" t="str">
        <f t="shared" si="8"/>
        <v>Global Initiatives - EAT</v>
      </c>
      <c r="AE250" s="12" t="s">
        <v>118</v>
      </c>
      <c r="AF250" s="12" t="s">
        <v>405</v>
      </c>
      <c r="AG250" s="12" t="s">
        <v>114</v>
      </c>
      <c r="AH250" s="12" t="s">
        <v>1038</v>
      </c>
      <c r="AJ250" s="14">
        <v>12443</v>
      </c>
      <c r="AK250" s="14" t="s">
        <v>551</v>
      </c>
    </row>
    <row r="251" spans="6:37">
      <c r="F251" s="45">
        <v>51086</v>
      </c>
      <c r="G251" s="12" t="s">
        <v>117</v>
      </c>
      <c r="R251" s="14">
        <v>10008</v>
      </c>
      <c r="S251" s="14" t="s">
        <v>130</v>
      </c>
      <c r="T251" s="12" t="s">
        <v>196</v>
      </c>
      <c r="U251" s="15" t="str">
        <f t="shared" si="7"/>
        <v>Amazon Seller Support - SUT</v>
      </c>
      <c r="V251" s="12" t="s">
        <v>126</v>
      </c>
      <c r="W251" s="12" t="s">
        <v>127</v>
      </c>
      <c r="X251" s="12" t="s">
        <v>128</v>
      </c>
      <c r="Y251" s="12" t="s">
        <v>1038</v>
      </c>
      <c r="AA251" s="14">
        <v>98001</v>
      </c>
      <c r="AB251" s="14" t="s">
        <v>567</v>
      </c>
      <c r="AC251" s="12" t="s">
        <v>569</v>
      </c>
      <c r="AD251" s="15" t="str">
        <f t="shared" si="8"/>
        <v>Global Initiatives - GBS</v>
      </c>
      <c r="AE251" s="12" t="s">
        <v>118</v>
      </c>
      <c r="AF251" s="12" t="s">
        <v>405</v>
      </c>
      <c r="AG251" s="12" t="s">
        <v>114</v>
      </c>
      <c r="AH251" s="12" t="s">
        <v>1038</v>
      </c>
      <c r="AJ251" s="14">
        <v>12446</v>
      </c>
      <c r="AK251" s="14" t="s">
        <v>552</v>
      </c>
    </row>
    <row r="252" spans="6:37">
      <c r="F252" s="45">
        <v>51088</v>
      </c>
      <c r="G252" s="12" t="s">
        <v>117</v>
      </c>
      <c r="R252" s="14">
        <v>10008</v>
      </c>
      <c r="S252" s="14" t="s">
        <v>130</v>
      </c>
      <c r="T252" s="12" t="s">
        <v>198</v>
      </c>
      <c r="U252" s="15" t="str">
        <f t="shared" si="7"/>
        <v>Amazon Seller Support - TEC</v>
      </c>
      <c r="V252" s="12" t="s">
        <v>126</v>
      </c>
      <c r="W252" s="12" t="s">
        <v>127</v>
      </c>
      <c r="X252" s="12" t="s">
        <v>128</v>
      </c>
      <c r="Y252" s="12" t="s">
        <v>1038</v>
      </c>
      <c r="AA252" s="14">
        <v>98001</v>
      </c>
      <c r="AB252" s="14" t="s">
        <v>567</v>
      </c>
      <c r="AC252" s="12" t="s">
        <v>177</v>
      </c>
      <c r="AD252" s="15" t="str">
        <f t="shared" si="8"/>
        <v>Global Initiatives - OPS</v>
      </c>
      <c r="AE252" s="12" t="s">
        <v>118</v>
      </c>
      <c r="AF252" s="12" t="s">
        <v>405</v>
      </c>
      <c r="AG252" s="12" t="s">
        <v>114</v>
      </c>
      <c r="AH252" s="12" t="s">
        <v>1038</v>
      </c>
      <c r="AJ252" s="14">
        <v>12449</v>
      </c>
      <c r="AK252" s="14" t="s">
        <v>555</v>
      </c>
    </row>
    <row r="253" spans="6:37">
      <c r="F253" s="45">
        <v>51089</v>
      </c>
      <c r="G253" s="12" t="s">
        <v>117</v>
      </c>
      <c r="R253" s="14">
        <v>10008</v>
      </c>
      <c r="S253" s="14" t="s">
        <v>130</v>
      </c>
      <c r="T253" s="12" t="s">
        <v>180</v>
      </c>
      <c r="U253" s="15" t="str">
        <f t="shared" si="7"/>
        <v>Amazon Seller Support - TMG</v>
      </c>
      <c r="V253" s="12" t="s">
        <v>126</v>
      </c>
      <c r="W253" s="12" t="s">
        <v>127</v>
      </c>
      <c r="X253" s="12" t="s">
        <v>128</v>
      </c>
      <c r="Y253" s="12" t="s">
        <v>1038</v>
      </c>
      <c r="AA253" s="14">
        <v>98001</v>
      </c>
      <c r="AB253" s="14" t="s">
        <v>567</v>
      </c>
      <c r="AC253" s="12" t="s">
        <v>139</v>
      </c>
      <c r="AD253" s="15" t="str">
        <f t="shared" si="8"/>
        <v>Global Initiatives - SMGT</v>
      </c>
      <c r="AE253" s="12" t="s">
        <v>118</v>
      </c>
      <c r="AF253" s="12" t="s">
        <v>405</v>
      </c>
      <c r="AG253" s="12" t="s">
        <v>114</v>
      </c>
      <c r="AH253" s="12" t="s">
        <v>1038</v>
      </c>
      <c r="AJ253" s="14">
        <v>12455</v>
      </c>
      <c r="AK253" s="14" t="s">
        <v>557</v>
      </c>
    </row>
    <row r="254" spans="6:37">
      <c r="F254" s="45">
        <v>51091</v>
      </c>
      <c r="G254" s="12" t="s">
        <v>117</v>
      </c>
      <c r="R254" s="14">
        <v>10008</v>
      </c>
      <c r="S254" s="14" t="s">
        <v>130</v>
      </c>
      <c r="T254" s="12" t="s">
        <v>203</v>
      </c>
      <c r="U254" s="15" t="str">
        <f t="shared" si="7"/>
        <v>Amazon Seller Support - TRG</v>
      </c>
      <c r="V254" s="12" t="s">
        <v>112</v>
      </c>
      <c r="W254" s="12" t="s">
        <v>204</v>
      </c>
      <c r="X254" s="12" t="s">
        <v>205</v>
      </c>
      <c r="Y254" s="12" t="s">
        <v>1038</v>
      </c>
      <c r="AA254" s="14">
        <v>98001</v>
      </c>
      <c r="AB254" s="14" t="s">
        <v>567</v>
      </c>
      <c r="AC254" s="12" t="s">
        <v>145</v>
      </c>
      <c r="AD254" s="15" t="str">
        <f t="shared" si="8"/>
        <v>Global Initiatives - SUP</v>
      </c>
      <c r="AE254" s="12" t="s">
        <v>118</v>
      </c>
      <c r="AF254" s="12" t="s">
        <v>405</v>
      </c>
      <c r="AG254" s="12" t="s">
        <v>114</v>
      </c>
      <c r="AH254" s="12" t="s">
        <v>1038</v>
      </c>
      <c r="AJ254" s="14">
        <v>12456</v>
      </c>
      <c r="AK254" s="14" t="s">
        <v>339</v>
      </c>
    </row>
    <row r="255" spans="6:37">
      <c r="F255" s="45">
        <v>51097</v>
      </c>
      <c r="G255" s="12" t="s">
        <v>117</v>
      </c>
      <c r="R255" s="14">
        <v>10008</v>
      </c>
      <c r="S255" s="14" t="s">
        <v>130</v>
      </c>
      <c r="T255" s="12" t="s">
        <v>208</v>
      </c>
      <c r="U255" s="15" t="str">
        <f t="shared" si="7"/>
        <v>Amazon Seller Support - TTR</v>
      </c>
      <c r="V255" s="12" t="s">
        <v>112</v>
      </c>
      <c r="W255" s="12" t="s">
        <v>204</v>
      </c>
      <c r="X255" s="12" t="s">
        <v>205</v>
      </c>
      <c r="Y255" s="12" t="s">
        <v>1038</v>
      </c>
      <c r="AA255" s="14">
        <v>99000</v>
      </c>
      <c r="AB255" s="14" t="s">
        <v>573</v>
      </c>
      <c r="AC255" s="12" t="s">
        <v>352</v>
      </c>
      <c r="AD255" s="15" t="str">
        <f t="shared" si="8"/>
        <v>Global Office - EAT</v>
      </c>
      <c r="AE255" s="12" t="s">
        <v>118</v>
      </c>
      <c r="AF255" s="12" t="s">
        <v>349</v>
      </c>
      <c r="AG255" s="12" t="s">
        <v>350</v>
      </c>
      <c r="AH255" s="12" t="s">
        <v>1038</v>
      </c>
      <c r="AJ255" s="14">
        <v>12457</v>
      </c>
      <c r="AK255" s="14" t="s">
        <v>162</v>
      </c>
    </row>
    <row r="256" spans="6:37">
      <c r="F256" s="45">
        <v>51101</v>
      </c>
      <c r="G256" s="12" t="s">
        <v>117</v>
      </c>
      <c r="R256" s="14">
        <v>10033</v>
      </c>
      <c r="S256" s="14" t="s">
        <v>179</v>
      </c>
      <c r="T256" s="12" t="s">
        <v>180</v>
      </c>
      <c r="U256" s="15" t="str">
        <f t="shared" si="7"/>
        <v>Amazon SIV - TMG</v>
      </c>
      <c r="V256" s="12" t="s">
        <v>126</v>
      </c>
      <c r="W256" s="12" t="s">
        <v>127</v>
      </c>
      <c r="X256" s="12" t="s">
        <v>128</v>
      </c>
      <c r="Y256" s="12" t="s">
        <v>1038</v>
      </c>
      <c r="AA256" s="14">
        <v>99000</v>
      </c>
      <c r="AB256" s="14" t="s">
        <v>573</v>
      </c>
      <c r="AC256" s="12" t="s">
        <v>145</v>
      </c>
      <c r="AD256" s="15" t="str">
        <f t="shared" si="8"/>
        <v>Global Office - SUP</v>
      </c>
      <c r="AE256" s="12" t="s">
        <v>118</v>
      </c>
      <c r="AF256" s="12" t="s">
        <v>349</v>
      </c>
      <c r="AG256" s="12" t="s">
        <v>350</v>
      </c>
      <c r="AH256" s="12" t="s">
        <v>1038</v>
      </c>
      <c r="AJ256" s="14">
        <v>12463</v>
      </c>
      <c r="AK256" s="14" t="s">
        <v>394</v>
      </c>
    </row>
    <row r="257" spans="6:37">
      <c r="F257" s="45">
        <v>51102</v>
      </c>
      <c r="G257" s="12" t="s">
        <v>117</v>
      </c>
      <c r="R257" s="14">
        <v>10707</v>
      </c>
      <c r="S257" s="14" t="s">
        <v>324</v>
      </c>
      <c r="T257" s="12" t="s">
        <v>133</v>
      </c>
      <c r="U257" s="15" t="str">
        <f t="shared" si="7"/>
        <v>Amazon SPS Mandarin - AMG</v>
      </c>
      <c r="V257" s="12" t="s">
        <v>126</v>
      </c>
      <c r="W257" s="12" t="s">
        <v>178</v>
      </c>
      <c r="X257" s="12" t="s">
        <v>128</v>
      </c>
      <c r="Y257" s="12" t="s">
        <v>1038</v>
      </c>
      <c r="AA257" s="14">
        <v>98003</v>
      </c>
      <c r="AB257" s="14" t="s">
        <v>574</v>
      </c>
      <c r="AC257" s="12" t="s">
        <v>348</v>
      </c>
      <c r="AD257" s="15" t="str">
        <f t="shared" si="8"/>
        <v>Global Procurement - ADM</v>
      </c>
      <c r="AE257" s="12" t="s">
        <v>118</v>
      </c>
      <c r="AF257" s="12" t="s">
        <v>575</v>
      </c>
      <c r="AG257" s="12" t="s">
        <v>114</v>
      </c>
      <c r="AH257" s="12" t="s">
        <v>1038</v>
      </c>
      <c r="AJ257" s="14">
        <v>12466</v>
      </c>
      <c r="AK257" s="14" t="s">
        <v>559</v>
      </c>
    </row>
    <row r="258" spans="6:37">
      <c r="F258" s="45">
        <v>51103</v>
      </c>
      <c r="G258" s="12" t="s">
        <v>117</v>
      </c>
      <c r="R258" s="14">
        <v>10707</v>
      </c>
      <c r="S258" s="14" t="s">
        <v>324</v>
      </c>
      <c r="T258" s="12" t="s">
        <v>161</v>
      </c>
      <c r="U258" s="15" t="str">
        <f t="shared" si="7"/>
        <v>Amazon SPS Mandarin - ECC</v>
      </c>
      <c r="V258" s="12" t="s">
        <v>126</v>
      </c>
      <c r="W258" s="12" t="s">
        <v>178</v>
      </c>
      <c r="X258" s="12" t="s">
        <v>128</v>
      </c>
      <c r="Y258" s="12" t="s">
        <v>1038</v>
      </c>
      <c r="AA258" s="14">
        <v>98003</v>
      </c>
      <c r="AB258" s="14" t="s">
        <v>574</v>
      </c>
      <c r="AC258" s="12" t="s">
        <v>129</v>
      </c>
      <c r="AD258" s="15" t="str">
        <f t="shared" si="8"/>
        <v>Global Procurement - MGT</v>
      </c>
      <c r="AE258" s="12" t="s">
        <v>118</v>
      </c>
      <c r="AF258" s="12" t="s">
        <v>575</v>
      </c>
      <c r="AG258" s="12" t="s">
        <v>114</v>
      </c>
      <c r="AH258" s="12" t="s">
        <v>1038</v>
      </c>
      <c r="AJ258" s="14">
        <v>12472</v>
      </c>
      <c r="AK258" s="14" t="s">
        <v>560</v>
      </c>
    </row>
    <row r="259" spans="6:37">
      <c r="F259" s="45">
        <v>51104</v>
      </c>
      <c r="G259" s="12" t="s">
        <v>117</v>
      </c>
      <c r="R259" s="14">
        <v>10707</v>
      </c>
      <c r="S259" s="14" t="s">
        <v>324</v>
      </c>
      <c r="T259" s="12" t="s">
        <v>116</v>
      </c>
      <c r="U259" s="15" t="str">
        <f t="shared" ref="U259:U322" si="9">S259&amp;" - "&amp;T259</f>
        <v>Amazon SPS Mandarin - PRD</v>
      </c>
      <c r="V259" s="12" t="s">
        <v>126</v>
      </c>
      <c r="W259" s="12" t="s">
        <v>178</v>
      </c>
      <c r="X259" s="12" t="s">
        <v>128</v>
      </c>
      <c r="Y259" s="12" t="s">
        <v>1038</v>
      </c>
      <c r="AA259" s="14">
        <v>98003</v>
      </c>
      <c r="AB259" s="14" t="s">
        <v>574</v>
      </c>
      <c r="AC259" s="12" t="s">
        <v>578</v>
      </c>
      <c r="AD259" s="15" t="str">
        <f t="shared" ref="AD259:AD322" si="10">AB259&amp;" - "&amp;AC259</f>
        <v>Global Procurement - PQM</v>
      </c>
      <c r="AE259" s="12" t="s">
        <v>118</v>
      </c>
      <c r="AF259" s="12" t="s">
        <v>575</v>
      </c>
      <c r="AG259" s="12" t="s">
        <v>114</v>
      </c>
      <c r="AH259" s="12" t="s">
        <v>1038</v>
      </c>
      <c r="AJ259" s="14">
        <v>12474</v>
      </c>
      <c r="AK259" s="14" t="s">
        <v>562</v>
      </c>
    </row>
    <row r="260" spans="6:37">
      <c r="F260" s="45">
        <v>51105</v>
      </c>
      <c r="G260" s="12" t="s">
        <v>117</v>
      </c>
      <c r="R260" s="14">
        <v>10707</v>
      </c>
      <c r="S260" s="14" t="s">
        <v>324</v>
      </c>
      <c r="T260" s="12" t="s">
        <v>145</v>
      </c>
      <c r="U260" s="15" t="str">
        <f t="shared" si="9"/>
        <v>Amazon SPS Mandarin - SUP</v>
      </c>
      <c r="V260" s="12" t="s">
        <v>126</v>
      </c>
      <c r="W260" s="12" t="s">
        <v>178</v>
      </c>
      <c r="X260" s="12" t="s">
        <v>128</v>
      </c>
      <c r="Y260" s="12" t="s">
        <v>1038</v>
      </c>
      <c r="AA260" s="14">
        <v>98003</v>
      </c>
      <c r="AB260" s="14" t="s">
        <v>574</v>
      </c>
      <c r="AC260" s="12" t="s">
        <v>139</v>
      </c>
      <c r="AD260" s="15" t="str">
        <f t="shared" si="10"/>
        <v>Global Procurement - SMGT</v>
      </c>
      <c r="AE260" s="12" t="s">
        <v>118</v>
      </c>
      <c r="AF260" s="12" t="s">
        <v>575</v>
      </c>
      <c r="AG260" s="12" t="s">
        <v>114</v>
      </c>
      <c r="AH260" s="12" t="s">
        <v>1038</v>
      </c>
      <c r="AJ260" s="14">
        <v>12489</v>
      </c>
      <c r="AK260" s="14" t="s">
        <v>536</v>
      </c>
    </row>
    <row r="261" spans="6:37">
      <c r="F261" s="45">
        <v>51106</v>
      </c>
      <c r="G261" s="12" t="s">
        <v>117</v>
      </c>
      <c r="R261" s="14">
        <v>10707</v>
      </c>
      <c r="S261" s="14" t="s">
        <v>324</v>
      </c>
      <c r="T261" s="12" t="s">
        <v>180</v>
      </c>
      <c r="U261" s="15" t="str">
        <f t="shared" si="9"/>
        <v>Amazon SPS Mandarin - TMG</v>
      </c>
      <c r="V261" s="12" t="s">
        <v>126</v>
      </c>
      <c r="W261" s="12" t="s">
        <v>178</v>
      </c>
      <c r="X261" s="12" t="s">
        <v>128</v>
      </c>
      <c r="Y261" s="12" t="s">
        <v>1038</v>
      </c>
      <c r="AA261" s="14">
        <v>98003</v>
      </c>
      <c r="AB261" s="14" t="s">
        <v>574</v>
      </c>
      <c r="AC261" s="12" t="s">
        <v>145</v>
      </c>
      <c r="AD261" s="15" t="str">
        <f t="shared" si="10"/>
        <v>Global Procurement - SUP</v>
      </c>
      <c r="AE261" s="12" t="s">
        <v>118</v>
      </c>
      <c r="AF261" s="12" t="s">
        <v>575</v>
      </c>
      <c r="AG261" s="12" t="s">
        <v>114</v>
      </c>
      <c r="AH261" s="12" t="s">
        <v>1038</v>
      </c>
      <c r="AJ261" s="14">
        <v>12490</v>
      </c>
      <c r="AK261" s="14" t="s">
        <v>563</v>
      </c>
    </row>
    <row r="262" spans="6:37">
      <c r="F262" s="45">
        <v>51107</v>
      </c>
      <c r="G262" s="12" t="s">
        <v>117</v>
      </c>
      <c r="R262" s="14">
        <v>88157</v>
      </c>
      <c r="S262" s="14" t="s">
        <v>1055</v>
      </c>
      <c r="T262" s="12" t="s">
        <v>180</v>
      </c>
      <c r="U262" s="15" t="str">
        <f t="shared" si="9"/>
        <v>Amazon Support Common - TMG</v>
      </c>
      <c r="V262" s="12" t="s">
        <v>126</v>
      </c>
      <c r="W262" s="12" t="s">
        <v>178</v>
      </c>
      <c r="X262" s="12" t="s">
        <v>128</v>
      </c>
      <c r="Y262" s="12" t="s">
        <v>1038</v>
      </c>
      <c r="AA262" s="14">
        <v>95101</v>
      </c>
      <c r="AB262" s="14" t="s">
        <v>582</v>
      </c>
      <c r="AC262" s="12" t="s">
        <v>415</v>
      </c>
      <c r="AD262" s="15" t="str">
        <f t="shared" si="10"/>
        <v>Global TCO - GTI</v>
      </c>
      <c r="AE262" s="12" t="s">
        <v>118</v>
      </c>
      <c r="AF262" s="12" t="s">
        <v>263</v>
      </c>
      <c r="AG262" s="12" t="s">
        <v>264</v>
      </c>
      <c r="AH262" s="12" t="s">
        <v>1038</v>
      </c>
      <c r="AJ262" s="14">
        <v>12496</v>
      </c>
      <c r="AK262" s="14" t="s">
        <v>564</v>
      </c>
    </row>
    <row r="263" spans="6:37">
      <c r="F263" s="45">
        <v>51108</v>
      </c>
      <c r="G263" s="12" t="s">
        <v>117</v>
      </c>
      <c r="R263" s="14">
        <v>10006</v>
      </c>
      <c r="S263" s="14" t="s">
        <v>123</v>
      </c>
      <c r="T263" s="12" t="s">
        <v>133</v>
      </c>
      <c r="U263" s="15" t="str">
        <f t="shared" si="9"/>
        <v>Amazon UK - AMG</v>
      </c>
      <c r="V263" s="12" t="s">
        <v>126</v>
      </c>
      <c r="W263" s="12" t="s">
        <v>178</v>
      </c>
      <c r="X263" s="12" t="s">
        <v>128</v>
      </c>
      <c r="Y263" s="12" t="s">
        <v>1038</v>
      </c>
      <c r="AA263" s="14">
        <v>95101</v>
      </c>
      <c r="AB263" s="14" t="s">
        <v>582</v>
      </c>
      <c r="AC263" s="12" t="s">
        <v>584</v>
      </c>
      <c r="AD263" s="15" t="str">
        <f t="shared" si="10"/>
        <v>Global TCO - STE</v>
      </c>
      <c r="AE263" s="12" t="s">
        <v>118</v>
      </c>
      <c r="AF263" s="12" t="s">
        <v>263</v>
      </c>
      <c r="AG263" s="12" t="s">
        <v>264</v>
      </c>
      <c r="AH263" s="12" t="s">
        <v>1038</v>
      </c>
      <c r="AJ263" s="14">
        <v>12498</v>
      </c>
      <c r="AK263" s="14" t="s">
        <v>259</v>
      </c>
    </row>
    <row r="264" spans="6:37">
      <c r="F264" s="45">
        <v>51109</v>
      </c>
      <c r="G264" s="12" t="s">
        <v>117</v>
      </c>
      <c r="R264" s="14">
        <v>10006</v>
      </c>
      <c r="S264" s="14" t="s">
        <v>123</v>
      </c>
      <c r="T264" s="12" t="s">
        <v>144</v>
      </c>
      <c r="U264" s="15" t="str">
        <f t="shared" si="9"/>
        <v>Amazon UK - CCOD</v>
      </c>
      <c r="V264" s="12" t="s">
        <v>126</v>
      </c>
      <c r="W264" s="12" t="s">
        <v>178</v>
      </c>
      <c r="X264" s="12" t="s">
        <v>128</v>
      </c>
      <c r="Y264" s="12" t="s">
        <v>1038</v>
      </c>
      <c r="AA264" s="14">
        <v>95101</v>
      </c>
      <c r="AB264" s="14" t="s">
        <v>582</v>
      </c>
      <c r="AC264" s="12" t="s">
        <v>145</v>
      </c>
      <c r="AD264" s="15" t="str">
        <f t="shared" si="10"/>
        <v>Global TCO - SUP</v>
      </c>
      <c r="AE264" s="12" t="s">
        <v>118</v>
      </c>
      <c r="AF264" s="12" t="s">
        <v>263</v>
      </c>
      <c r="AG264" s="12" t="s">
        <v>264</v>
      </c>
      <c r="AH264" s="12" t="s">
        <v>1038</v>
      </c>
      <c r="AJ264" s="14">
        <v>12499</v>
      </c>
      <c r="AK264" s="14" t="s">
        <v>566</v>
      </c>
    </row>
    <row r="265" spans="6:37">
      <c r="F265" s="45">
        <v>51110</v>
      </c>
      <c r="G265" s="12" t="s">
        <v>117</v>
      </c>
      <c r="R265" s="14">
        <v>10006</v>
      </c>
      <c r="S265" s="14" t="s">
        <v>123</v>
      </c>
      <c r="T265" s="12" t="s">
        <v>150</v>
      </c>
      <c r="U265" s="15" t="str">
        <f t="shared" si="9"/>
        <v>Amazon UK - CCS</v>
      </c>
      <c r="V265" s="12" t="s">
        <v>126</v>
      </c>
      <c r="W265" s="12" t="s">
        <v>127</v>
      </c>
      <c r="X265" s="12" t="s">
        <v>128</v>
      </c>
      <c r="Y265" s="12" t="s">
        <v>1038</v>
      </c>
      <c r="AA265" s="14">
        <v>12083</v>
      </c>
      <c r="AB265" s="14" t="s">
        <v>508</v>
      </c>
      <c r="AC265" s="12" t="s">
        <v>185</v>
      </c>
      <c r="AD265" s="15" t="str">
        <f t="shared" si="10"/>
        <v>Grady - Anesthesia - TPS</v>
      </c>
      <c r="AE265" s="12" t="s">
        <v>159</v>
      </c>
      <c r="AF265" s="12" t="s">
        <v>237</v>
      </c>
      <c r="AG265" s="12" t="s">
        <v>238</v>
      </c>
      <c r="AH265" s="12" t="s">
        <v>1038</v>
      </c>
      <c r="AJ265" s="14">
        <v>12500</v>
      </c>
      <c r="AK265" s="14" t="s">
        <v>534</v>
      </c>
    </row>
    <row r="266" spans="6:37">
      <c r="F266" s="45">
        <v>51112</v>
      </c>
      <c r="G266" s="12" t="s">
        <v>117</v>
      </c>
      <c r="R266" s="14">
        <v>10006</v>
      </c>
      <c r="S266" s="14" t="s">
        <v>123</v>
      </c>
      <c r="T266" s="12" t="s">
        <v>161</v>
      </c>
      <c r="U266" s="15" t="str">
        <f t="shared" si="9"/>
        <v>Amazon UK - ECC</v>
      </c>
      <c r="V266" s="12" t="s">
        <v>126</v>
      </c>
      <c r="W266" s="12" t="s">
        <v>178</v>
      </c>
      <c r="X266" s="12" t="s">
        <v>128</v>
      </c>
      <c r="Y266" s="12" t="s">
        <v>1038</v>
      </c>
      <c r="AA266" s="14">
        <v>12508</v>
      </c>
      <c r="AB266" s="14" t="s">
        <v>571</v>
      </c>
      <c r="AC266" s="12" t="s">
        <v>116</v>
      </c>
      <c r="AD266" s="15" t="str">
        <f t="shared" si="10"/>
        <v>Grady Health - EPIC RCM - PRD</v>
      </c>
      <c r="AE266" s="12" t="s">
        <v>154</v>
      </c>
      <c r="AF266" s="12" t="s">
        <v>163</v>
      </c>
      <c r="AG266" s="12" t="s">
        <v>164</v>
      </c>
      <c r="AH266" s="12" t="s">
        <v>1038</v>
      </c>
      <c r="AJ266" s="14">
        <v>12502</v>
      </c>
      <c r="AK266" s="14" t="s">
        <v>568</v>
      </c>
    </row>
    <row r="267" spans="6:37">
      <c r="F267" s="45">
        <v>51115</v>
      </c>
      <c r="G267" s="12" t="s">
        <v>117</v>
      </c>
      <c r="R267" s="14">
        <v>10006</v>
      </c>
      <c r="S267" s="14" t="s">
        <v>123</v>
      </c>
      <c r="T267" s="12" t="s">
        <v>218</v>
      </c>
      <c r="U267" s="15" t="str">
        <f t="shared" si="9"/>
        <v>Amazon UK - EMAIL</v>
      </c>
      <c r="V267" s="12" t="s">
        <v>126</v>
      </c>
      <c r="W267" s="12" t="s">
        <v>178</v>
      </c>
      <c r="X267" s="12" t="s">
        <v>128</v>
      </c>
      <c r="Y267" s="12" t="s">
        <v>1038</v>
      </c>
      <c r="AA267" s="14">
        <v>95100</v>
      </c>
      <c r="AB267" s="14" t="s">
        <v>415</v>
      </c>
      <c r="AC267" s="12" t="s">
        <v>145</v>
      </c>
      <c r="AD267" s="15" t="str">
        <f t="shared" si="10"/>
        <v>GTI - SUP</v>
      </c>
      <c r="AE267" s="12" t="s">
        <v>118</v>
      </c>
      <c r="AF267" s="12" t="s">
        <v>263</v>
      </c>
      <c r="AG267" s="12" t="s">
        <v>264</v>
      </c>
      <c r="AH267" s="12" t="s">
        <v>1038</v>
      </c>
      <c r="AJ267" s="14">
        <v>12505</v>
      </c>
      <c r="AK267" s="14" t="s">
        <v>488</v>
      </c>
    </row>
    <row r="268" spans="6:37">
      <c r="F268" s="45">
        <v>51116</v>
      </c>
      <c r="G268" s="12" t="s">
        <v>117</v>
      </c>
      <c r="R268" s="14">
        <v>10006</v>
      </c>
      <c r="S268" s="14" t="s">
        <v>123</v>
      </c>
      <c r="T268" s="12" t="s">
        <v>168</v>
      </c>
      <c r="U268" s="15" t="str">
        <f t="shared" si="9"/>
        <v>Amazon UK - ESC</v>
      </c>
      <c r="V268" s="12" t="s">
        <v>126</v>
      </c>
      <c r="W268" s="12" t="s">
        <v>127</v>
      </c>
      <c r="X268" s="12" t="s">
        <v>128</v>
      </c>
      <c r="Y268" s="12" t="s">
        <v>1038</v>
      </c>
      <c r="AA268" s="14">
        <v>12528</v>
      </c>
      <c r="AB268" s="14" t="s">
        <v>579</v>
      </c>
      <c r="AC268" s="12" t="s">
        <v>185</v>
      </c>
      <c r="AD268" s="15" t="str">
        <f t="shared" si="10"/>
        <v>Guam - ED and EM OP Coding - TPS</v>
      </c>
      <c r="AE268" s="12" t="s">
        <v>159</v>
      </c>
      <c r="AF268" s="12" t="s">
        <v>237</v>
      </c>
      <c r="AG268" s="12" t="s">
        <v>238</v>
      </c>
      <c r="AH268" s="12" t="s">
        <v>1038</v>
      </c>
      <c r="AJ268" s="14">
        <v>12506</v>
      </c>
      <c r="AK268" s="14" t="s">
        <v>570</v>
      </c>
    </row>
    <row r="269" spans="6:37">
      <c r="F269" s="45">
        <v>51118</v>
      </c>
      <c r="G269" s="12" t="s">
        <v>117</v>
      </c>
      <c r="R269" s="14">
        <v>10006</v>
      </c>
      <c r="S269" s="14" t="s">
        <v>123</v>
      </c>
      <c r="T269" s="12" t="s">
        <v>171</v>
      </c>
      <c r="U269" s="15" t="str">
        <f t="shared" si="9"/>
        <v>Amazon UK - ETE</v>
      </c>
      <c r="V269" s="12" t="s">
        <v>126</v>
      </c>
      <c r="W269" s="12" t="s">
        <v>178</v>
      </c>
      <c r="X269" s="12" t="s">
        <v>128</v>
      </c>
      <c r="Y269" s="12" t="s">
        <v>1038</v>
      </c>
      <c r="AA269" s="14">
        <v>12506</v>
      </c>
      <c r="AB269" s="14" t="s">
        <v>570</v>
      </c>
      <c r="AC269" s="12" t="s">
        <v>177</v>
      </c>
      <c r="AD269" s="15" t="str">
        <f t="shared" si="10"/>
        <v>Hazel Health - RCM FBO (New) - OPS</v>
      </c>
      <c r="AE269" s="12" t="s">
        <v>154</v>
      </c>
      <c r="AF269" s="12" t="s">
        <v>163</v>
      </c>
      <c r="AG269" s="12" t="s">
        <v>164</v>
      </c>
      <c r="AH269" s="12" t="s">
        <v>1038</v>
      </c>
      <c r="AJ269" s="14">
        <v>12508</v>
      </c>
      <c r="AK269" s="14" t="s">
        <v>571</v>
      </c>
    </row>
    <row r="270" spans="6:37">
      <c r="F270" s="45">
        <v>51119</v>
      </c>
      <c r="G270" s="12" t="s">
        <v>117</v>
      </c>
      <c r="R270" s="14">
        <v>10006</v>
      </c>
      <c r="S270" s="14" t="s">
        <v>123</v>
      </c>
      <c r="T270" s="12" t="s">
        <v>129</v>
      </c>
      <c r="U270" s="15" t="str">
        <f t="shared" si="9"/>
        <v>Amazon UK - MGT</v>
      </c>
      <c r="V270" s="12" t="s">
        <v>126</v>
      </c>
      <c r="W270" s="12" t="s">
        <v>178</v>
      </c>
      <c r="X270" s="12" t="s">
        <v>128</v>
      </c>
      <c r="Y270" s="12" t="s">
        <v>1038</v>
      </c>
      <c r="AA270" s="14">
        <v>12506</v>
      </c>
      <c r="AB270" s="14" t="s">
        <v>570</v>
      </c>
      <c r="AC270" s="12" t="s">
        <v>116</v>
      </c>
      <c r="AD270" s="15" t="str">
        <f t="shared" si="10"/>
        <v>Hazel Health - RCM FBO (New) - PRD</v>
      </c>
      <c r="AE270" s="12" t="s">
        <v>154</v>
      </c>
      <c r="AF270" s="12" t="s">
        <v>163</v>
      </c>
      <c r="AG270" s="12" t="s">
        <v>164</v>
      </c>
      <c r="AH270" s="12" t="s">
        <v>1038</v>
      </c>
      <c r="AJ270" s="14">
        <v>12509</v>
      </c>
      <c r="AK270" s="14" t="s">
        <v>572</v>
      </c>
    </row>
    <row r="271" spans="6:37">
      <c r="F271" s="45">
        <v>51120</v>
      </c>
      <c r="G271" s="12" t="s">
        <v>117</v>
      </c>
      <c r="R271" s="14">
        <v>10006</v>
      </c>
      <c r="S271" s="14" t="s">
        <v>123</v>
      </c>
      <c r="T271" s="12" t="s">
        <v>177</v>
      </c>
      <c r="U271" s="15" t="str">
        <f t="shared" si="9"/>
        <v>Amazon UK - OPS</v>
      </c>
      <c r="V271" s="12" t="s">
        <v>126</v>
      </c>
      <c r="W271" s="12" t="s">
        <v>178</v>
      </c>
      <c r="X271" s="12" t="s">
        <v>128</v>
      </c>
      <c r="Y271" s="12" t="s">
        <v>1038</v>
      </c>
      <c r="AA271" s="14">
        <v>12506</v>
      </c>
      <c r="AB271" s="14" t="s">
        <v>570</v>
      </c>
      <c r="AC271" s="12" t="s">
        <v>332</v>
      </c>
      <c r="AD271" s="15" t="str">
        <f t="shared" si="10"/>
        <v>Hazel Health - RCM FBO (New) - RCF</v>
      </c>
      <c r="AE271" s="12" t="s">
        <v>154</v>
      </c>
      <c r="AF271" s="12" t="s">
        <v>163</v>
      </c>
      <c r="AG271" s="12" t="s">
        <v>164</v>
      </c>
      <c r="AH271" s="12" t="s">
        <v>1038</v>
      </c>
      <c r="AJ271" s="14">
        <v>12522</v>
      </c>
      <c r="AK271" s="14" t="s">
        <v>245</v>
      </c>
    </row>
    <row r="272" spans="6:37">
      <c r="F272" s="45">
        <v>51132</v>
      </c>
      <c r="G272" s="12" t="s">
        <v>117</v>
      </c>
      <c r="R272" s="14">
        <v>10006</v>
      </c>
      <c r="S272" s="14" t="s">
        <v>123</v>
      </c>
      <c r="T272" s="12" t="s">
        <v>116</v>
      </c>
      <c r="U272" s="15" t="str">
        <f t="shared" si="9"/>
        <v>Amazon UK - PRD</v>
      </c>
      <c r="V272" s="12" t="s">
        <v>126</v>
      </c>
      <c r="W272" s="12" t="s">
        <v>178</v>
      </c>
      <c r="X272" s="12" t="s">
        <v>128</v>
      </c>
      <c r="Y272" s="12" t="s">
        <v>1038</v>
      </c>
      <c r="AA272" s="14">
        <v>12506</v>
      </c>
      <c r="AB272" s="14" t="s">
        <v>570</v>
      </c>
      <c r="AC272" s="12" t="s">
        <v>180</v>
      </c>
      <c r="AD272" s="15" t="str">
        <f t="shared" si="10"/>
        <v>Hazel Health - RCM FBO (New) - TMG</v>
      </c>
      <c r="AE272" s="12" t="s">
        <v>154</v>
      </c>
      <c r="AF272" s="12" t="s">
        <v>163</v>
      </c>
      <c r="AG272" s="12" t="s">
        <v>164</v>
      </c>
      <c r="AH272" s="12" t="s">
        <v>1038</v>
      </c>
      <c r="AJ272" s="14">
        <v>12524</v>
      </c>
      <c r="AK272" s="14" t="s">
        <v>292</v>
      </c>
    </row>
    <row r="273" spans="6:37">
      <c r="F273" s="45">
        <v>51133</v>
      </c>
      <c r="G273" s="12" t="s">
        <v>117</v>
      </c>
      <c r="R273" s="14">
        <v>10006</v>
      </c>
      <c r="S273" s="14" t="s">
        <v>123</v>
      </c>
      <c r="T273" s="12" t="s">
        <v>111</v>
      </c>
      <c r="U273" s="15" t="str">
        <f t="shared" si="9"/>
        <v>Amazon UK - QLY</v>
      </c>
      <c r="V273" s="12" t="s">
        <v>112</v>
      </c>
      <c r="W273" s="12" t="s">
        <v>113</v>
      </c>
      <c r="X273" s="12" t="s">
        <v>114</v>
      </c>
      <c r="Y273" s="12" t="s">
        <v>1038</v>
      </c>
      <c r="AA273" s="14">
        <v>12506</v>
      </c>
      <c r="AB273" s="14" t="s">
        <v>570</v>
      </c>
      <c r="AC273" s="12" t="s">
        <v>185</v>
      </c>
      <c r="AD273" s="15" t="str">
        <f t="shared" si="10"/>
        <v>Hazel Health - RCM FBO (New) - TPS</v>
      </c>
      <c r="AE273" s="12" t="s">
        <v>154</v>
      </c>
      <c r="AF273" s="12" t="s">
        <v>163</v>
      </c>
      <c r="AG273" s="12" t="s">
        <v>164</v>
      </c>
      <c r="AH273" s="12" t="s">
        <v>1038</v>
      </c>
      <c r="AJ273" s="14">
        <v>12525</v>
      </c>
      <c r="AK273" s="14" t="s">
        <v>576</v>
      </c>
    </row>
    <row r="274" spans="6:37">
      <c r="F274" s="45">
        <v>51134</v>
      </c>
      <c r="G274" s="12" t="s">
        <v>117</v>
      </c>
      <c r="R274" s="14">
        <v>10006</v>
      </c>
      <c r="S274" s="14" t="s">
        <v>123</v>
      </c>
      <c r="T274" s="12" t="s">
        <v>172</v>
      </c>
      <c r="U274" s="15" t="str">
        <f t="shared" si="9"/>
        <v>Amazon UK - SME</v>
      </c>
      <c r="V274" s="12" t="s">
        <v>126</v>
      </c>
      <c r="W274" s="12" t="s">
        <v>178</v>
      </c>
      <c r="X274" s="12" t="s">
        <v>128</v>
      </c>
      <c r="Y274" s="12" t="s">
        <v>1038</v>
      </c>
      <c r="AA274" s="14">
        <v>86231</v>
      </c>
      <c r="AB274" s="14" t="s">
        <v>591</v>
      </c>
      <c r="AC274" s="12" t="s">
        <v>116</v>
      </c>
      <c r="AD274" s="15" t="str">
        <f t="shared" si="10"/>
        <v>HDE – Coding - PRD</v>
      </c>
      <c r="AE274" s="12" t="s">
        <v>117</v>
      </c>
      <c r="AF274" s="12" t="s">
        <v>117</v>
      </c>
      <c r="AG274" s="12" t="s">
        <v>117</v>
      </c>
      <c r="AH274" s="12" t="s">
        <v>1038</v>
      </c>
      <c r="AJ274" s="14">
        <v>12527</v>
      </c>
      <c r="AK274" s="14" t="s">
        <v>577</v>
      </c>
    </row>
    <row r="275" spans="6:37">
      <c r="F275" s="45">
        <v>51136</v>
      </c>
      <c r="G275" s="12" t="s">
        <v>117</v>
      </c>
      <c r="R275" s="14">
        <v>10006</v>
      </c>
      <c r="S275" s="14" t="s">
        <v>123</v>
      </c>
      <c r="T275" s="12" t="s">
        <v>119</v>
      </c>
      <c r="U275" s="15" t="str">
        <f t="shared" si="9"/>
        <v>Amazon UK - SQM</v>
      </c>
      <c r="V275" s="12" t="s">
        <v>112</v>
      </c>
      <c r="W275" s="12" t="s">
        <v>113</v>
      </c>
      <c r="X275" s="12" t="s">
        <v>114</v>
      </c>
      <c r="Y275" s="12" t="s">
        <v>1038</v>
      </c>
      <c r="AA275" s="14">
        <v>86231</v>
      </c>
      <c r="AB275" s="14" t="s">
        <v>591</v>
      </c>
      <c r="AC275" s="12" t="s">
        <v>145</v>
      </c>
      <c r="AD275" s="15" t="str">
        <f t="shared" si="10"/>
        <v>HDE – Coding - SUP</v>
      </c>
      <c r="AE275" s="12" t="s">
        <v>117</v>
      </c>
      <c r="AF275" s="12" t="s">
        <v>117</v>
      </c>
      <c r="AG275" s="12" t="s">
        <v>117</v>
      </c>
      <c r="AH275" s="12" t="s">
        <v>1038</v>
      </c>
      <c r="AJ275" s="14">
        <v>12528</v>
      </c>
      <c r="AK275" s="14" t="s">
        <v>579</v>
      </c>
    </row>
    <row r="276" spans="6:37">
      <c r="F276" s="45">
        <v>51137</v>
      </c>
      <c r="G276" s="12" t="s">
        <v>117</v>
      </c>
      <c r="R276" s="14">
        <v>10006</v>
      </c>
      <c r="S276" s="14" t="s">
        <v>123</v>
      </c>
      <c r="T276" s="12" t="s">
        <v>145</v>
      </c>
      <c r="U276" s="15" t="str">
        <f t="shared" si="9"/>
        <v>Amazon UK - SUP</v>
      </c>
      <c r="V276" s="12" t="s">
        <v>126</v>
      </c>
      <c r="W276" s="12" t="s">
        <v>178</v>
      </c>
      <c r="X276" s="12" t="s">
        <v>128</v>
      </c>
      <c r="Y276" s="12" t="s">
        <v>1038</v>
      </c>
      <c r="AA276" s="14">
        <v>86231</v>
      </c>
      <c r="AB276" s="14" t="s">
        <v>591</v>
      </c>
      <c r="AC276" s="12" t="s">
        <v>180</v>
      </c>
      <c r="AD276" s="15" t="str">
        <f t="shared" si="10"/>
        <v>HDE – Coding - TMG</v>
      </c>
      <c r="AE276" s="12" t="s">
        <v>117</v>
      </c>
      <c r="AF276" s="12" t="s">
        <v>117</v>
      </c>
      <c r="AG276" s="12" t="s">
        <v>117</v>
      </c>
      <c r="AH276" s="12" t="s">
        <v>1038</v>
      </c>
      <c r="AJ276" s="14">
        <v>12529</v>
      </c>
      <c r="AK276" s="14" t="s">
        <v>580</v>
      </c>
    </row>
    <row r="277" spans="6:37">
      <c r="F277" s="45">
        <v>51139</v>
      </c>
      <c r="G277" s="12" t="s">
        <v>117</v>
      </c>
      <c r="R277" s="14">
        <v>10006</v>
      </c>
      <c r="S277" s="14" t="s">
        <v>123</v>
      </c>
      <c r="T277" s="12" t="s">
        <v>196</v>
      </c>
      <c r="U277" s="15" t="str">
        <f t="shared" si="9"/>
        <v>Amazon UK - SUT</v>
      </c>
      <c r="V277" s="12" t="s">
        <v>126</v>
      </c>
      <c r="W277" s="12" t="s">
        <v>178</v>
      </c>
      <c r="X277" s="12" t="s">
        <v>128</v>
      </c>
      <c r="Y277" s="12" t="s">
        <v>1038</v>
      </c>
      <c r="AA277" s="14">
        <v>86229</v>
      </c>
      <c r="AB277" s="14" t="s">
        <v>593</v>
      </c>
      <c r="AC277" s="12" t="s">
        <v>116</v>
      </c>
      <c r="AD277" s="15" t="str">
        <f t="shared" si="10"/>
        <v>HDE – Hospital - PRD</v>
      </c>
      <c r="AE277" s="12" t="s">
        <v>117</v>
      </c>
      <c r="AF277" s="12" t="s">
        <v>117</v>
      </c>
      <c r="AG277" s="12" t="s">
        <v>117</v>
      </c>
      <c r="AH277" s="12" t="s">
        <v>1038</v>
      </c>
      <c r="AJ277" s="14">
        <v>12533</v>
      </c>
      <c r="AK277" s="14" t="s">
        <v>581</v>
      </c>
    </row>
    <row r="278" spans="6:37">
      <c r="F278" s="45">
        <v>51141</v>
      </c>
      <c r="G278" s="12" t="s">
        <v>117</v>
      </c>
      <c r="R278" s="14">
        <v>10006</v>
      </c>
      <c r="S278" s="14" t="s">
        <v>123</v>
      </c>
      <c r="T278" s="12" t="s">
        <v>180</v>
      </c>
      <c r="U278" s="15" t="str">
        <f t="shared" si="9"/>
        <v>Amazon UK - TMG</v>
      </c>
      <c r="V278" s="12" t="s">
        <v>126</v>
      </c>
      <c r="W278" s="12" t="s">
        <v>178</v>
      </c>
      <c r="X278" s="12" t="s">
        <v>128</v>
      </c>
      <c r="Y278" s="12" t="s">
        <v>1038</v>
      </c>
      <c r="AA278" s="14">
        <v>86229</v>
      </c>
      <c r="AB278" s="14" t="s">
        <v>593</v>
      </c>
      <c r="AC278" s="12" t="s">
        <v>145</v>
      </c>
      <c r="AD278" s="15" t="str">
        <f t="shared" si="10"/>
        <v>HDE – Hospital - SUP</v>
      </c>
      <c r="AE278" s="12" t="s">
        <v>117</v>
      </c>
      <c r="AF278" s="12" t="s">
        <v>117</v>
      </c>
      <c r="AG278" s="12" t="s">
        <v>117</v>
      </c>
      <c r="AH278" s="12" t="s">
        <v>1038</v>
      </c>
      <c r="AJ278" s="14">
        <v>12537</v>
      </c>
      <c r="AK278" s="14" t="s">
        <v>583</v>
      </c>
    </row>
    <row r="279" spans="6:37">
      <c r="F279" s="45">
        <v>51144</v>
      </c>
      <c r="G279" s="12" t="s">
        <v>117</v>
      </c>
      <c r="R279" s="14">
        <v>10006</v>
      </c>
      <c r="S279" s="14" t="s">
        <v>123</v>
      </c>
      <c r="T279" s="12" t="s">
        <v>185</v>
      </c>
      <c r="U279" s="15" t="str">
        <f t="shared" si="9"/>
        <v>Amazon UK - TPS</v>
      </c>
      <c r="V279" s="12" t="s">
        <v>126</v>
      </c>
      <c r="W279" s="12" t="s">
        <v>178</v>
      </c>
      <c r="X279" s="12" t="s">
        <v>128</v>
      </c>
      <c r="Y279" s="12" t="s">
        <v>1038</v>
      </c>
      <c r="AA279" s="14">
        <v>86234</v>
      </c>
      <c r="AB279" s="14" t="s">
        <v>594</v>
      </c>
      <c r="AC279" s="12" t="s">
        <v>116</v>
      </c>
      <c r="AD279" s="15" t="str">
        <f t="shared" si="10"/>
        <v>HDE – Payer BLM - PRD</v>
      </c>
      <c r="AE279" s="12" t="s">
        <v>117</v>
      </c>
      <c r="AF279" s="12" t="s">
        <v>117</v>
      </c>
      <c r="AG279" s="12" t="s">
        <v>117</v>
      </c>
      <c r="AH279" s="12" t="s">
        <v>1038</v>
      </c>
      <c r="AJ279" s="14">
        <v>12538</v>
      </c>
      <c r="AK279" s="14" t="s">
        <v>249</v>
      </c>
    </row>
    <row r="280" spans="6:37">
      <c r="F280" s="45">
        <v>51147</v>
      </c>
      <c r="G280" s="12" t="s">
        <v>117</v>
      </c>
      <c r="R280" s="14">
        <v>10006</v>
      </c>
      <c r="S280" s="14" t="s">
        <v>123</v>
      </c>
      <c r="T280" s="12" t="s">
        <v>203</v>
      </c>
      <c r="U280" s="15" t="str">
        <f t="shared" si="9"/>
        <v>Amazon UK - TRG</v>
      </c>
      <c r="V280" s="12" t="s">
        <v>112</v>
      </c>
      <c r="W280" s="12" t="s">
        <v>204</v>
      </c>
      <c r="X280" s="12" t="s">
        <v>205</v>
      </c>
      <c r="Y280" s="12" t="s">
        <v>1038</v>
      </c>
      <c r="AA280" s="14">
        <v>86234</v>
      </c>
      <c r="AB280" s="14" t="s">
        <v>594</v>
      </c>
      <c r="AC280" s="12" t="s">
        <v>145</v>
      </c>
      <c r="AD280" s="15" t="str">
        <f t="shared" si="10"/>
        <v>HDE – Payer BLM - SUP</v>
      </c>
      <c r="AE280" s="12" t="s">
        <v>117</v>
      </c>
      <c r="AF280" s="12" t="s">
        <v>117</v>
      </c>
      <c r="AG280" s="12" t="s">
        <v>117</v>
      </c>
      <c r="AH280" s="12" t="s">
        <v>1038</v>
      </c>
      <c r="AJ280" s="14">
        <v>12543</v>
      </c>
      <c r="AK280" s="14" t="s">
        <v>290</v>
      </c>
    </row>
    <row r="281" spans="6:37">
      <c r="F281" s="45">
        <v>51149</v>
      </c>
      <c r="G281" s="12" t="s">
        <v>117</v>
      </c>
      <c r="R281" s="14">
        <v>10006</v>
      </c>
      <c r="S281" s="14" t="s">
        <v>123</v>
      </c>
      <c r="T281" s="12" t="s">
        <v>208</v>
      </c>
      <c r="U281" s="15" t="str">
        <f t="shared" si="9"/>
        <v>Amazon UK - TTR</v>
      </c>
      <c r="V281" s="12" t="s">
        <v>112</v>
      </c>
      <c r="W281" s="12" t="s">
        <v>204</v>
      </c>
      <c r="X281" s="12" t="s">
        <v>205</v>
      </c>
      <c r="Y281" s="12" t="s">
        <v>1038</v>
      </c>
      <c r="AA281" s="14">
        <v>86230</v>
      </c>
      <c r="AB281" s="14" t="s">
        <v>596</v>
      </c>
      <c r="AC281" s="12" t="s">
        <v>597</v>
      </c>
      <c r="AD281" s="15" t="str">
        <f t="shared" si="10"/>
        <v>HDE – RCMS - BAS</v>
      </c>
      <c r="AE281" s="12" t="s">
        <v>117</v>
      </c>
      <c r="AF281" s="12" t="s">
        <v>117</v>
      </c>
      <c r="AG281" s="12" t="s">
        <v>117</v>
      </c>
      <c r="AH281" s="12" t="s">
        <v>1038</v>
      </c>
      <c r="AJ281" s="14">
        <v>12549</v>
      </c>
      <c r="AK281" s="14" t="s">
        <v>316</v>
      </c>
    </row>
    <row r="282" spans="6:37">
      <c r="F282" s="45">
        <v>51150</v>
      </c>
      <c r="G282" s="12" t="s">
        <v>117</v>
      </c>
      <c r="R282" s="14">
        <v>80006</v>
      </c>
      <c r="S282" s="14" t="s">
        <v>854</v>
      </c>
      <c r="T282" s="12" t="s">
        <v>177</v>
      </c>
      <c r="U282" s="15" t="str">
        <f t="shared" si="9"/>
        <v>Amazon.Com Common - OPS</v>
      </c>
      <c r="V282" s="12" t="s">
        <v>126</v>
      </c>
      <c r="W282" s="12" t="s">
        <v>178</v>
      </c>
      <c r="X282" s="12" t="s">
        <v>128</v>
      </c>
      <c r="Y282" s="12" t="s">
        <v>1038</v>
      </c>
      <c r="AA282" s="14">
        <v>86230</v>
      </c>
      <c r="AB282" s="14" t="s">
        <v>596</v>
      </c>
      <c r="AC282" s="12" t="s">
        <v>129</v>
      </c>
      <c r="AD282" s="15" t="str">
        <f t="shared" si="10"/>
        <v>HDE – RCMS - MGT</v>
      </c>
      <c r="AE282" s="12" t="s">
        <v>117</v>
      </c>
      <c r="AF282" s="12" t="s">
        <v>117</v>
      </c>
      <c r="AG282" s="12" t="s">
        <v>117</v>
      </c>
      <c r="AH282" s="12" t="s">
        <v>1038</v>
      </c>
      <c r="AJ282" s="14">
        <v>12557</v>
      </c>
      <c r="AK282" s="14" t="s">
        <v>282</v>
      </c>
    </row>
    <row r="283" spans="6:37">
      <c r="F283" s="45">
        <v>51151</v>
      </c>
      <c r="G283" s="12" t="s">
        <v>117</v>
      </c>
      <c r="R283" s="14">
        <v>80006</v>
      </c>
      <c r="S283" s="14" t="s">
        <v>854</v>
      </c>
      <c r="T283" s="12" t="s">
        <v>139</v>
      </c>
      <c r="U283" s="15" t="str">
        <f t="shared" si="9"/>
        <v>Amazon.Com Common - SMGT</v>
      </c>
      <c r="V283" s="12" t="s">
        <v>126</v>
      </c>
      <c r="W283" s="12" t="s">
        <v>178</v>
      </c>
      <c r="X283" s="12" t="s">
        <v>128</v>
      </c>
      <c r="Y283" s="12" t="s">
        <v>1038</v>
      </c>
      <c r="AA283" s="14">
        <v>86230</v>
      </c>
      <c r="AB283" s="14" t="s">
        <v>596</v>
      </c>
      <c r="AC283" s="12" t="s">
        <v>116</v>
      </c>
      <c r="AD283" s="15" t="str">
        <f t="shared" si="10"/>
        <v>HDE – RCMS - PRD</v>
      </c>
      <c r="AE283" s="12" t="s">
        <v>117</v>
      </c>
      <c r="AF283" s="12" t="s">
        <v>117</v>
      </c>
      <c r="AG283" s="12" t="s">
        <v>117</v>
      </c>
      <c r="AH283" s="12" t="s">
        <v>1038</v>
      </c>
      <c r="AJ283" s="14">
        <v>12558</v>
      </c>
      <c r="AK283" s="14" t="s">
        <v>586</v>
      </c>
    </row>
    <row r="284" spans="6:37">
      <c r="F284" s="45">
        <v>51152</v>
      </c>
      <c r="G284" s="12" t="s">
        <v>117</v>
      </c>
      <c r="R284" s="14">
        <v>80006</v>
      </c>
      <c r="S284" s="14" t="s">
        <v>854</v>
      </c>
      <c r="T284" s="12" t="s">
        <v>145</v>
      </c>
      <c r="U284" s="15" t="str">
        <f t="shared" si="9"/>
        <v>Amazon.Com Common - SUP</v>
      </c>
      <c r="V284" s="12" t="s">
        <v>126</v>
      </c>
      <c r="W284" s="12" t="s">
        <v>178</v>
      </c>
      <c r="X284" s="12" t="s">
        <v>128</v>
      </c>
      <c r="Y284" s="12" t="s">
        <v>1038</v>
      </c>
      <c r="AA284" s="14">
        <v>86230</v>
      </c>
      <c r="AB284" s="14" t="s">
        <v>596</v>
      </c>
      <c r="AC284" s="12" t="s">
        <v>145</v>
      </c>
      <c r="AD284" s="15" t="str">
        <f t="shared" si="10"/>
        <v>HDE – RCMS - SUP</v>
      </c>
      <c r="AE284" s="12" t="s">
        <v>117</v>
      </c>
      <c r="AF284" s="12" t="s">
        <v>117</v>
      </c>
      <c r="AG284" s="12" t="s">
        <v>117</v>
      </c>
      <c r="AH284" s="12" t="s">
        <v>1038</v>
      </c>
      <c r="AJ284" s="14">
        <v>12561</v>
      </c>
      <c r="AK284" s="14" t="s">
        <v>587</v>
      </c>
    </row>
    <row r="285" spans="6:37">
      <c r="F285" s="45">
        <v>51153</v>
      </c>
      <c r="G285" s="12" t="s">
        <v>117</v>
      </c>
      <c r="R285" s="14">
        <v>80006</v>
      </c>
      <c r="S285" s="14" t="s">
        <v>854</v>
      </c>
      <c r="T285" s="12" t="s">
        <v>203</v>
      </c>
      <c r="U285" s="15" t="str">
        <f t="shared" si="9"/>
        <v>Amazon.Com Common - TRG</v>
      </c>
      <c r="V285" s="12" t="s">
        <v>112</v>
      </c>
      <c r="W285" s="12" t="s">
        <v>204</v>
      </c>
      <c r="X285" s="12" t="s">
        <v>205</v>
      </c>
      <c r="Y285" s="12" t="s">
        <v>1038</v>
      </c>
      <c r="AA285" s="14">
        <v>86230</v>
      </c>
      <c r="AB285" s="14" t="s">
        <v>596</v>
      </c>
      <c r="AC285" s="12" t="s">
        <v>180</v>
      </c>
      <c r="AD285" s="15" t="str">
        <f t="shared" si="10"/>
        <v>HDE – RCMS - TMG</v>
      </c>
      <c r="AE285" s="12" t="s">
        <v>117</v>
      </c>
      <c r="AF285" s="12" t="s">
        <v>117</v>
      </c>
      <c r="AG285" s="12" t="s">
        <v>117</v>
      </c>
      <c r="AH285" s="12" t="s">
        <v>1038</v>
      </c>
      <c r="AJ285" s="14">
        <v>12563</v>
      </c>
      <c r="AK285" s="14" t="s">
        <v>588</v>
      </c>
    </row>
    <row r="286" spans="6:37">
      <c r="F286" s="45">
        <v>51154</v>
      </c>
      <c r="G286" s="12" t="s">
        <v>117</v>
      </c>
      <c r="R286" s="14">
        <v>80006</v>
      </c>
      <c r="S286" s="14" t="s">
        <v>854</v>
      </c>
      <c r="T286" s="12" t="s">
        <v>208</v>
      </c>
      <c r="U286" s="15" t="str">
        <f t="shared" si="9"/>
        <v>Amazon.Com Common - TTR</v>
      </c>
      <c r="V286" s="12" t="s">
        <v>112</v>
      </c>
      <c r="W286" s="12" t="s">
        <v>204</v>
      </c>
      <c r="X286" s="12" t="s">
        <v>205</v>
      </c>
      <c r="Y286" s="12" t="s">
        <v>1038</v>
      </c>
      <c r="AA286" s="14">
        <v>86230</v>
      </c>
      <c r="AB286" s="14" t="s">
        <v>596</v>
      </c>
      <c r="AC286" s="12" t="s">
        <v>185</v>
      </c>
      <c r="AD286" s="15" t="str">
        <f t="shared" si="10"/>
        <v>HDE – RCMS - TPS</v>
      </c>
      <c r="AE286" s="12" t="s">
        <v>117</v>
      </c>
      <c r="AF286" s="12" t="s">
        <v>117</v>
      </c>
      <c r="AG286" s="12" t="s">
        <v>117</v>
      </c>
      <c r="AH286" s="12" t="s">
        <v>1038</v>
      </c>
      <c r="AJ286" s="14">
        <v>12567</v>
      </c>
      <c r="AK286" s="14" t="s">
        <v>278</v>
      </c>
    </row>
    <row r="287" spans="6:37">
      <c r="F287" s="45">
        <v>51157</v>
      </c>
      <c r="G287" s="12" t="s">
        <v>117</v>
      </c>
      <c r="R287" s="14">
        <v>10914</v>
      </c>
      <c r="S287" s="14" t="s">
        <v>457</v>
      </c>
      <c r="T287" s="12" t="s">
        <v>161</v>
      </c>
      <c r="U287" s="15" t="str">
        <f t="shared" si="9"/>
        <v>American Credit Acceptance BO - ECC</v>
      </c>
      <c r="V287" s="12" t="s">
        <v>126</v>
      </c>
      <c r="W287" s="12" t="s">
        <v>163</v>
      </c>
      <c r="X287" s="12" t="s">
        <v>164</v>
      </c>
      <c r="Y287" s="12" t="s">
        <v>1038</v>
      </c>
      <c r="AA287" s="14">
        <v>12509</v>
      </c>
      <c r="AB287" s="14" t="s">
        <v>572</v>
      </c>
      <c r="AC287" s="12" t="s">
        <v>185</v>
      </c>
      <c r="AD287" s="15" t="str">
        <f t="shared" si="10"/>
        <v>Health Partners - Credentialin - TPS</v>
      </c>
      <c r="AE287" s="12" t="s">
        <v>154</v>
      </c>
      <c r="AF287" s="12" t="s">
        <v>163</v>
      </c>
      <c r="AG287" s="12" t="s">
        <v>164</v>
      </c>
      <c r="AH287" s="12" t="s">
        <v>1038</v>
      </c>
      <c r="AJ287" s="14">
        <v>12569</v>
      </c>
      <c r="AK287" s="14" t="s">
        <v>589</v>
      </c>
    </row>
    <row r="288" spans="6:37">
      <c r="F288" s="45">
        <v>51159</v>
      </c>
      <c r="G288" s="12" t="s">
        <v>117</v>
      </c>
      <c r="R288" s="14">
        <v>10823</v>
      </c>
      <c r="S288" s="14" t="s">
        <v>408</v>
      </c>
      <c r="T288" s="12" t="s">
        <v>116</v>
      </c>
      <c r="U288" s="15" t="str">
        <f t="shared" si="9"/>
        <v>American1stFinancial WAH IND - PRD</v>
      </c>
      <c r="V288" s="12" t="s">
        <v>126</v>
      </c>
      <c r="W288" s="12" t="s">
        <v>980</v>
      </c>
      <c r="X288" s="12" t="s">
        <v>981</v>
      </c>
      <c r="Y288" s="12" t="s">
        <v>1038</v>
      </c>
      <c r="AA288" s="14">
        <v>12449</v>
      </c>
      <c r="AB288" s="14" t="s">
        <v>555</v>
      </c>
      <c r="AC288" s="12" t="s">
        <v>185</v>
      </c>
      <c r="AD288" s="15" t="str">
        <f t="shared" si="10"/>
        <v>Healthfirst - Claims Audit - TPS</v>
      </c>
      <c r="AE288" s="12" t="s">
        <v>141</v>
      </c>
      <c r="AF288" s="12" t="s">
        <v>163</v>
      </c>
      <c r="AG288" s="12" t="s">
        <v>164</v>
      </c>
      <c r="AH288" s="12" t="s">
        <v>1038</v>
      </c>
      <c r="AJ288" s="14">
        <v>12570</v>
      </c>
      <c r="AK288" s="14" t="s">
        <v>294</v>
      </c>
    </row>
    <row r="289" spans="6:37">
      <c r="F289" s="45">
        <v>51160</v>
      </c>
      <c r="G289" s="12" t="s">
        <v>117</v>
      </c>
      <c r="R289" s="14">
        <v>10823</v>
      </c>
      <c r="S289" s="14" t="s">
        <v>408</v>
      </c>
      <c r="T289" s="12" t="s">
        <v>145</v>
      </c>
      <c r="U289" s="15" t="str">
        <f t="shared" si="9"/>
        <v>American1stFinancial WAH IND - SUP</v>
      </c>
      <c r="V289" s="12" t="s">
        <v>126</v>
      </c>
      <c r="W289" s="12" t="s">
        <v>980</v>
      </c>
      <c r="X289" s="12" t="s">
        <v>981</v>
      </c>
      <c r="Y289" s="12" t="s">
        <v>1038</v>
      </c>
      <c r="AA289" s="14">
        <v>12388</v>
      </c>
      <c r="AB289" s="14" t="s">
        <v>538</v>
      </c>
      <c r="AC289" s="12" t="s">
        <v>116</v>
      </c>
      <c r="AD289" s="15" t="str">
        <f t="shared" si="10"/>
        <v>HealthFirst - Claims_Onshore - PRD</v>
      </c>
      <c r="AE289" s="12" t="s">
        <v>141</v>
      </c>
      <c r="AF289" s="12" t="s">
        <v>163</v>
      </c>
      <c r="AG289" s="12" t="s">
        <v>164</v>
      </c>
      <c r="AH289" s="12" t="s">
        <v>1038</v>
      </c>
      <c r="AJ289" s="14">
        <v>12573</v>
      </c>
      <c r="AK289" s="14" t="s">
        <v>590</v>
      </c>
    </row>
    <row r="290" spans="6:37">
      <c r="F290" s="45">
        <v>51161</v>
      </c>
      <c r="G290" s="12" t="s">
        <v>117</v>
      </c>
      <c r="R290" s="14">
        <v>93675</v>
      </c>
      <c r="S290" s="14" t="s">
        <v>256</v>
      </c>
      <c r="T290" s="12" t="s">
        <v>145</v>
      </c>
      <c r="U290" s="15" t="str">
        <f t="shared" si="9"/>
        <v>Analyst &amp; Advisor Relations - SUP</v>
      </c>
      <c r="V290" s="12" t="s">
        <v>104</v>
      </c>
      <c r="W290" s="12" t="s">
        <v>257</v>
      </c>
      <c r="X290" s="12" t="s">
        <v>114</v>
      </c>
      <c r="Y290" s="12" t="s">
        <v>1038</v>
      </c>
      <c r="AA290" s="14">
        <v>12388</v>
      </c>
      <c r="AB290" s="14" t="s">
        <v>538</v>
      </c>
      <c r="AC290" s="12" t="s">
        <v>145</v>
      </c>
      <c r="AD290" s="15" t="str">
        <f t="shared" si="10"/>
        <v>HealthFirst - Claims_Onshore - SUP</v>
      </c>
      <c r="AE290" s="12" t="s">
        <v>141</v>
      </c>
      <c r="AF290" s="12" t="s">
        <v>163</v>
      </c>
      <c r="AG290" s="12" t="s">
        <v>164</v>
      </c>
      <c r="AH290" s="12" t="s">
        <v>1038</v>
      </c>
      <c r="AJ290" s="14">
        <v>12576</v>
      </c>
      <c r="AK290" s="14" t="s">
        <v>592</v>
      </c>
    </row>
    <row r="291" spans="6:37">
      <c r="F291" s="45">
        <v>51162</v>
      </c>
      <c r="G291" s="12" t="s">
        <v>117</v>
      </c>
      <c r="R291" s="14">
        <v>87103</v>
      </c>
      <c r="S291" s="14" t="s">
        <v>901</v>
      </c>
      <c r="T291" s="12" t="s">
        <v>116</v>
      </c>
      <c r="U291" s="15" t="str">
        <f t="shared" si="9"/>
        <v>Analytics Common JC_93610 - PRD</v>
      </c>
      <c r="V291" s="12" t="s">
        <v>126</v>
      </c>
      <c r="W291" s="12" t="s">
        <v>890</v>
      </c>
      <c r="X291" s="12" t="s">
        <v>890</v>
      </c>
      <c r="Y291" s="12" t="s">
        <v>1038</v>
      </c>
      <c r="AA291" s="14">
        <v>12382</v>
      </c>
      <c r="AB291" s="14" t="s">
        <v>537</v>
      </c>
      <c r="AC291" s="12" t="s">
        <v>116</v>
      </c>
      <c r="AD291" s="15" t="str">
        <f t="shared" si="10"/>
        <v>Healthfirst - E&amp;B Offshore - PRD</v>
      </c>
      <c r="AE291" s="12" t="s">
        <v>141</v>
      </c>
      <c r="AF291" s="12" t="s">
        <v>163</v>
      </c>
      <c r="AG291" s="12" t="s">
        <v>164</v>
      </c>
      <c r="AH291" s="12" t="s">
        <v>1038</v>
      </c>
      <c r="AJ291" s="14">
        <v>12579</v>
      </c>
      <c r="AK291" s="14" t="s">
        <v>337</v>
      </c>
    </row>
    <row r="292" spans="6:37">
      <c r="F292" s="45">
        <v>51163</v>
      </c>
      <c r="G292" s="12" t="s">
        <v>117</v>
      </c>
      <c r="R292" s="14">
        <v>87103</v>
      </c>
      <c r="S292" s="14" t="s">
        <v>901</v>
      </c>
      <c r="T292" s="12" t="s">
        <v>139</v>
      </c>
      <c r="U292" s="15" t="str">
        <f t="shared" si="9"/>
        <v>Analytics Common JC_93610 - SMGT</v>
      </c>
      <c r="V292" s="12" t="s">
        <v>126</v>
      </c>
      <c r="W292" s="12" t="s">
        <v>890</v>
      </c>
      <c r="X292" s="12" t="s">
        <v>890</v>
      </c>
      <c r="Y292" s="12" t="s">
        <v>1038</v>
      </c>
      <c r="AA292" s="14">
        <v>12382</v>
      </c>
      <c r="AB292" s="14" t="s">
        <v>537</v>
      </c>
      <c r="AC292" s="12" t="s">
        <v>230</v>
      </c>
      <c r="AD292" s="15" t="str">
        <f t="shared" si="10"/>
        <v>Healthfirst - E&amp;B Offshore - PRSP</v>
      </c>
      <c r="AE292" s="12" t="s">
        <v>141</v>
      </c>
      <c r="AF292" s="12" t="s">
        <v>163</v>
      </c>
      <c r="AG292" s="12" t="s">
        <v>164</v>
      </c>
      <c r="AH292" s="12" t="s">
        <v>1038</v>
      </c>
      <c r="AJ292" s="14">
        <v>12587</v>
      </c>
      <c r="AK292" s="14" t="s">
        <v>447</v>
      </c>
    </row>
    <row r="293" spans="6:37">
      <c r="F293" s="45">
        <v>51165</v>
      </c>
      <c r="G293" s="12" t="s">
        <v>117</v>
      </c>
      <c r="R293" s="14">
        <v>87103</v>
      </c>
      <c r="S293" s="14" t="s">
        <v>901</v>
      </c>
      <c r="T293" s="12" t="s">
        <v>145</v>
      </c>
      <c r="U293" s="15" t="str">
        <f t="shared" si="9"/>
        <v>Analytics Common JC_93610 - SUP</v>
      </c>
      <c r="V293" s="12" t="s">
        <v>126</v>
      </c>
      <c r="W293" s="12" t="s">
        <v>890</v>
      </c>
      <c r="X293" s="12" t="s">
        <v>890</v>
      </c>
      <c r="Y293" s="12" t="s">
        <v>1038</v>
      </c>
      <c r="AA293" s="14">
        <v>12382</v>
      </c>
      <c r="AB293" s="14" t="s">
        <v>537</v>
      </c>
      <c r="AC293" s="12" t="s">
        <v>111</v>
      </c>
      <c r="AD293" s="15" t="str">
        <f t="shared" si="10"/>
        <v>Healthfirst - E&amp;B Offshore - QLY</v>
      </c>
      <c r="AE293" s="12" t="s">
        <v>118</v>
      </c>
      <c r="AF293" s="12" t="s">
        <v>113</v>
      </c>
      <c r="AG293" s="12" t="s">
        <v>114</v>
      </c>
      <c r="AH293" s="12" t="s">
        <v>1038</v>
      </c>
      <c r="AJ293" s="14">
        <v>12589</v>
      </c>
      <c r="AK293" s="14" t="s">
        <v>288</v>
      </c>
    </row>
    <row r="294" spans="6:37">
      <c r="F294" s="45">
        <v>51166</v>
      </c>
      <c r="G294" s="12" t="s">
        <v>117</v>
      </c>
      <c r="R294" s="14">
        <v>87104</v>
      </c>
      <c r="S294" s="14" t="s">
        <v>903</v>
      </c>
      <c r="T294" s="12" t="s">
        <v>129</v>
      </c>
      <c r="U294" s="15" t="str">
        <f t="shared" si="9"/>
        <v>Analytics Common JC_93665 - MGT</v>
      </c>
      <c r="V294" s="12" t="s">
        <v>126</v>
      </c>
      <c r="W294" s="12" t="s">
        <v>890</v>
      </c>
      <c r="X294" s="12" t="s">
        <v>890</v>
      </c>
      <c r="Y294" s="12" t="s">
        <v>1038</v>
      </c>
      <c r="AA294" s="14">
        <v>12382</v>
      </c>
      <c r="AB294" s="14" t="s">
        <v>537</v>
      </c>
      <c r="AC294" s="12" t="s">
        <v>145</v>
      </c>
      <c r="AD294" s="15" t="str">
        <f t="shared" si="10"/>
        <v>Healthfirst - E&amp;B Offshore - SUP</v>
      </c>
      <c r="AE294" s="12" t="s">
        <v>141</v>
      </c>
      <c r="AF294" s="12" t="s">
        <v>163</v>
      </c>
      <c r="AG294" s="12" t="s">
        <v>164</v>
      </c>
      <c r="AH294" s="12" t="s">
        <v>1038</v>
      </c>
      <c r="AJ294" s="14">
        <v>12590</v>
      </c>
      <c r="AK294" s="14" t="s">
        <v>486</v>
      </c>
    </row>
    <row r="295" spans="6:37">
      <c r="F295" s="45">
        <v>51167</v>
      </c>
      <c r="G295" s="12" t="s">
        <v>117</v>
      </c>
      <c r="R295" s="14">
        <v>87104</v>
      </c>
      <c r="S295" s="14" t="s">
        <v>903</v>
      </c>
      <c r="T295" s="12" t="s">
        <v>116</v>
      </c>
      <c r="U295" s="15" t="str">
        <f t="shared" si="9"/>
        <v>Analytics Common JC_93665 - PRD</v>
      </c>
      <c r="V295" s="12" t="s">
        <v>126</v>
      </c>
      <c r="W295" s="12" t="s">
        <v>890</v>
      </c>
      <c r="X295" s="12" t="s">
        <v>890</v>
      </c>
      <c r="Y295" s="12" t="s">
        <v>1038</v>
      </c>
      <c r="AA295" s="14">
        <v>12382</v>
      </c>
      <c r="AB295" s="14" t="s">
        <v>537</v>
      </c>
      <c r="AC295" s="12" t="s">
        <v>180</v>
      </c>
      <c r="AD295" s="15" t="str">
        <f t="shared" si="10"/>
        <v>Healthfirst - E&amp;B Offshore - TMG</v>
      </c>
      <c r="AE295" s="12" t="s">
        <v>141</v>
      </c>
      <c r="AF295" s="12" t="s">
        <v>163</v>
      </c>
      <c r="AG295" s="12" t="s">
        <v>164</v>
      </c>
      <c r="AH295" s="12" t="s">
        <v>1038</v>
      </c>
      <c r="AJ295" s="14">
        <v>12593</v>
      </c>
      <c r="AK295" s="14" t="s">
        <v>242</v>
      </c>
    </row>
    <row r="296" spans="6:37">
      <c r="F296" s="45">
        <v>51168</v>
      </c>
      <c r="G296" s="12" t="s">
        <v>117</v>
      </c>
      <c r="R296" s="14">
        <v>87104</v>
      </c>
      <c r="S296" s="14" t="s">
        <v>903</v>
      </c>
      <c r="T296" s="12" t="s">
        <v>139</v>
      </c>
      <c r="U296" s="15" t="str">
        <f t="shared" si="9"/>
        <v>Analytics Common JC_93665 - SMGT</v>
      </c>
      <c r="V296" s="12" t="s">
        <v>126</v>
      </c>
      <c r="W296" s="12" t="s">
        <v>890</v>
      </c>
      <c r="X296" s="12" t="s">
        <v>890</v>
      </c>
      <c r="Y296" s="12" t="s">
        <v>1038</v>
      </c>
      <c r="AA296" s="14">
        <v>12382</v>
      </c>
      <c r="AB296" s="14" t="s">
        <v>537</v>
      </c>
      <c r="AC296" s="12" t="s">
        <v>185</v>
      </c>
      <c r="AD296" s="15" t="str">
        <f t="shared" si="10"/>
        <v>Healthfirst - E&amp;B Offshore - TPS</v>
      </c>
      <c r="AE296" s="12" t="s">
        <v>141</v>
      </c>
      <c r="AF296" s="12" t="s">
        <v>163</v>
      </c>
      <c r="AG296" s="12" t="s">
        <v>164</v>
      </c>
      <c r="AH296" s="12" t="s">
        <v>1038</v>
      </c>
      <c r="AJ296" s="14">
        <v>12596</v>
      </c>
      <c r="AK296" s="14" t="s">
        <v>595</v>
      </c>
    </row>
    <row r="297" spans="6:37">
      <c r="F297" s="45">
        <v>51169</v>
      </c>
      <c r="G297" s="12" t="s">
        <v>117</v>
      </c>
      <c r="R297" s="14">
        <v>87104</v>
      </c>
      <c r="S297" s="14" t="s">
        <v>903</v>
      </c>
      <c r="T297" s="12" t="s">
        <v>145</v>
      </c>
      <c r="U297" s="15" t="str">
        <f t="shared" si="9"/>
        <v>Analytics Common JC_93665 - SUP</v>
      </c>
      <c r="V297" s="12" t="s">
        <v>126</v>
      </c>
      <c r="W297" s="12" t="s">
        <v>890</v>
      </c>
      <c r="X297" s="12" t="s">
        <v>890</v>
      </c>
      <c r="Y297" s="12" t="s">
        <v>1038</v>
      </c>
      <c r="AA297" s="35">
        <v>12641</v>
      </c>
      <c r="AB297" s="32" t="s">
        <v>1056</v>
      </c>
      <c r="AC297" s="12" t="s">
        <v>185</v>
      </c>
      <c r="AD297" s="15" t="str">
        <f t="shared" si="10"/>
        <v>Healthfirst  EnB Onshore - TPS</v>
      </c>
      <c r="AE297" s="12" t="s">
        <v>141</v>
      </c>
      <c r="AF297" s="12" t="s">
        <v>163</v>
      </c>
      <c r="AG297" s="12" t="s">
        <v>164</v>
      </c>
      <c r="AH297" s="12" t="s">
        <v>1038</v>
      </c>
      <c r="AJ297" s="14">
        <v>12597</v>
      </c>
      <c r="AK297" s="14" t="s">
        <v>598</v>
      </c>
    </row>
    <row r="298" spans="6:37">
      <c r="F298" s="45">
        <v>51170</v>
      </c>
      <c r="G298" s="12" t="s">
        <v>117</v>
      </c>
      <c r="R298" s="14">
        <v>87107</v>
      </c>
      <c r="S298" s="14" t="s">
        <v>905</v>
      </c>
      <c r="T298" s="12" t="s">
        <v>145</v>
      </c>
      <c r="U298" s="15" t="str">
        <f t="shared" si="9"/>
        <v>Analytics Common_93660_93664 - SUP</v>
      </c>
      <c r="V298" s="12" t="s">
        <v>126</v>
      </c>
      <c r="W298" s="12" t="s">
        <v>890</v>
      </c>
      <c r="X298" s="12" t="s">
        <v>890</v>
      </c>
      <c r="Y298" s="12" t="s">
        <v>1038</v>
      </c>
      <c r="AA298" s="14">
        <v>12597</v>
      </c>
      <c r="AB298" s="14" t="s">
        <v>598</v>
      </c>
      <c r="AC298" s="12" t="s">
        <v>185</v>
      </c>
      <c r="AD298" s="15" t="str">
        <f t="shared" si="10"/>
        <v>Healthfirst - UAS Processing - TPS</v>
      </c>
      <c r="AE298" s="12" t="s">
        <v>141</v>
      </c>
      <c r="AF298" s="12" t="s">
        <v>163</v>
      </c>
      <c r="AG298" s="12" t="s">
        <v>164</v>
      </c>
      <c r="AH298" s="12" t="s">
        <v>1038</v>
      </c>
      <c r="AJ298" s="14">
        <v>12599</v>
      </c>
      <c r="AK298" s="14" t="s">
        <v>298</v>
      </c>
    </row>
    <row r="299" spans="6:37">
      <c r="F299" s="45">
        <v>51171</v>
      </c>
      <c r="G299" s="12" t="s">
        <v>117</v>
      </c>
      <c r="R299" s="14">
        <v>87105</v>
      </c>
      <c r="S299" s="14" t="s">
        <v>904</v>
      </c>
      <c r="T299" s="12" t="s">
        <v>1022</v>
      </c>
      <c r="U299" s="15" t="str">
        <f t="shared" si="9"/>
        <v>Analytics Common_93666_93777 - MKG</v>
      </c>
      <c r="V299" s="12" t="s">
        <v>126</v>
      </c>
      <c r="W299" s="12" t="s">
        <v>890</v>
      </c>
      <c r="X299" s="12" t="s">
        <v>890</v>
      </c>
      <c r="Y299" s="12" t="s">
        <v>1038</v>
      </c>
      <c r="AA299" s="14">
        <v>12466</v>
      </c>
      <c r="AB299" s="14" t="s">
        <v>559</v>
      </c>
      <c r="AC299" s="12" t="s">
        <v>116</v>
      </c>
      <c r="AD299" s="15" t="str">
        <f t="shared" si="10"/>
        <v>Healthfirst DME Re-Auth - PRD</v>
      </c>
      <c r="AE299" s="12" t="s">
        <v>141</v>
      </c>
      <c r="AF299" s="12" t="s">
        <v>163</v>
      </c>
      <c r="AG299" s="12" t="s">
        <v>164</v>
      </c>
      <c r="AH299" s="12" t="s">
        <v>1038</v>
      </c>
      <c r="AJ299" s="14">
        <v>12600</v>
      </c>
      <c r="AK299" s="14" t="s">
        <v>286</v>
      </c>
    </row>
    <row r="300" spans="6:37">
      <c r="F300" s="45">
        <v>51174</v>
      </c>
      <c r="G300" s="12" t="s">
        <v>117</v>
      </c>
      <c r="R300" s="14">
        <v>87105</v>
      </c>
      <c r="S300" s="14" t="s">
        <v>904</v>
      </c>
      <c r="T300" s="12" t="s">
        <v>145</v>
      </c>
      <c r="U300" s="15" t="str">
        <f t="shared" si="9"/>
        <v>Analytics Common_93666_93777 - SUP</v>
      </c>
      <c r="V300" s="12" t="s">
        <v>126</v>
      </c>
      <c r="W300" s="12" t="s">
        <v>890</v>
      </c>
      <c r="X300" s="12" t="s">
        <v>890</v>
      </c>
      <c r="Y300" s="12" t="s">
        <v>1038</v>
      </c>
      <c r="AA300" s="14">
        <v>12466</v>
      </c>
      <c r="AB300" s="14" t="s">
        <v>559</v>
      </c>
      <c r="AC300" s="12" t="s">
        <v>172</v>
      </c>
      <c r="AD300" s="15" t="str">
        <f t="shared" si="10"/>
        <v>Healthfirst DME Re-Auth - SME</v>
      </c>
      <c r="AE300" s="12" t="s">
        <v>141</v>
      </c>
      <c r="AF300" s="12" t="s">
        <v>163</v>
      </c>
      <c r="AG300" s="12" t="s">
        <v>164</v>
      </c>
      <c r="AH300" s="12" t="s">
        <v>1038</v>
      </c>
      <c r="AJ300" s="14">
        <v>12602</v>
      </c>
      <c r="AK300" s="14" t="s">
        <v>280</v>
      </c>
    </row>
    <row r="301" spans="6:37">
      <c r="F301" s="45">
        <v>51175</v>
      </c>
      <c r="G301" s="12" t="s">
        <v>117</v>
      </c>
      <c r="R301" s="14">
        <v>93610</v>
      </c>
      <c r="S301" s="14" t="s">
        <v>965</v>
      </c>
      <c r="T301" s="12" t="s">
        <v>129</v>
      </c>
      <c r="U301" s="15" t="str">
        <f t="shared" si="9"/>
        <v>ANALYTICS VERTICAL - MGT</v>
      </c>
      <c r="V301" s="12" t="s">
        <v>126</v>
      </c>
      <c r="W301" s="12" t="s">
        <v>890</v>
      </c>
      <c r="X301" s="12" t="s">
        <v>890</v>
      </c>
      <c r="Y301" s="12" t="s">
        <v>1038</v>
      </c>
      <c r="AA301" s="14">
        <v>12466</v>
      </c>
      <c r="AB301" s="14" t="s">
        <v>559</v>
      </c>
      <c r="AC301" s="12" t="s">
        <v>180</v>
      </c>
      <c r="AD301" s="15" t="str">
        <f t="shared" si="10"/>
        <v>Healthfirst DME Re-Auth - TMG</v>
      </c>
      <c r="AE301" s="12" t="s">
        <v>141</v>
      </c>
      <c r="AF301" s="12" t="s">
        <v>163</v>
      </c>
      <c r="AG301" s="12" t="s">
        <v>164</v>
      </c>
      <c r="AH301" s="12" t="s">
        <v>1038</v>
      </c>
      <c r="AJ301" s="14">
        <v>12607</v>
      </c>
      <c r="AK301" s="14" t="s">
        <v>490</v>
      </c>
    </row>
    <row r="302" spans="6:37">
      <c r="F302" s="45">
        <v>51176</v>
      </c>
      <c r="G302" s="12" t="s">
        <v>117</v>
      </c>
      <c r="R302" s="14">
        <v>93610</v>
      </c>
      <c r="S302" s="14" t="s">
        <v>965</v>
      </c>
      <c r="T302" s="12" t="s">
        <v>139</v>
      </c>
      <c r="U302" s="15" t="str">
        <f t="shared" si="9"/>
        <v>ANALYTICS VERTICAL - SMGT</v>
      </c>
      <c r="V302" s="12" t="s">
        <v>126</v>
      </c>
      <c r="W302" s="12" t="s">
        <v>890</v>
      </c>
      <c r="X302" s="12" t="s">
        <v>890</v>
      </c>
      <c r="Y302" s="12" t="s">
        <v>1038</v>
      </c>
      <c r="AA302" s="14">
        <v>12466</v>
      </c>
      <c r="AB302" s="14" t="s">
        <v>559</v>
      </c>
      <c r="AC302" s="12" t="s">
        <v>185</v>
      </c>
      <c r="AD302" s="15" t="str">
        <f t="shared" si="10"/>
        <v>Healthfirst DME Re-Auth - TPS</v>
      </c>
      <c r="AE302" s="12" t="s">
        <v>141</v>
      </c>
      <c r="AF302" s="12" t="s">
        <v>163</v>
      </c>
      <c r="AG302" s="12" t="s">
        <v>164</v>
      </c>
      <c r="AH302" s="12" t="s">
        <v>1038</v>
      </c>
      <c r="AJ302" s="14">
        <v>12608</v>
      </c>
      <c r="AK302" s="14" t="s">
        <v>599</v>
      </c>
    </row>
    <row r="303" spans="6:37">
      <c r="F303" s="45">
        <v>51177</v>
      </c>
      <c r="G303" s="12" t="s">
        <v>117</v>
      </c>
      <c r="R303" s="14">
        <v>93610</v>
      </c>
      <c r="S303" s="14" t="s">
        <v>965</v>
      </c>
      <c r="T303" s="12" t="s">
        <v>145</v>
      </c>
      <c r="U303" s="15" t="str">
        <f t="shared" si="9"/>
        <v>ANALYTICS VERTICAL - SUP</v>
      </c>
      <c r="V303" s="12" t="s">
        <v>126</v>
      </c>
      <c r="W303" s="12" t="s">
        <v>890</v>
      </c>
      <c r="X303" s="12" t="s">
        <v>890</v>
      </c>
      <c r="Y303" s="12" t="s">
        <v>1038</v>
      </c>
      <c r="AA303" s="14">
        <v>12455</v>
      </c>
      <c r="AB303" s="14" t="s">
        <v>557</v>
      </c>
      <c r="AC303" s="12" t="s">
        <v>230</v>
      </c>
      <c r="AD303" s="15" t="str">
        <f t="shared" si="10"/>
        <v>Healthfirst OSS Support - PRSP</v>
      </c>
      <c r="AE303" s="12" t="s">
        <v>141</v>
      </c>
      <c r="AF303" s="12" t="s">
        <v>163</v>
      </c>
      <c r="AG303" s="12" t="s">
        <v>164</v>
      </c>
      <c r="AH303" s="12" t="s">
        <v>1038</v>
      </c>
      <c r="AJ303" s="14">
        <v>12609</v>
      </c>
      <c r="AK303" s="14" t="s">
        <v>600</v>
      </c>
    </row>
    <row r="304" spans="6:37">
      <c r="F304" s="45">
        <v>51183</v>
      </c>
      <c r="G304" s="12" t="s">
        <v>117</v>
      </c>
      <c r="R304" s="14">
        <v>51604</v>
      </c>
      <c r="S304" s="14" t="s">
        <v>1057</v>
      </c>
      <c r="T304" s="12" t="s">
        <v>116</v>
      </c>
      <c r="U304" s="15" t="str">
        <f t="shared" si="9"/>
        <v>Anthology_L1L2AdmSup_Exp - PRD</v>
      </c>
      <c r="V304" s="12" t="s">
        <v>117</v>
      </c>
      <c r="W304" s="12" t="s">
        <v>117</v>
      </c>
      <c r="X304" s="12" t="s">
        <v>117</v>
      </c>
      <c r="Y304" s="12" t="s">
        <v>1038</v>
      </c>
      <c r="AA304" s="14">
        <v>12455</v>
      </c>
      <c r="AB304" s="14" t="s">
        <v>557</v>
      </c>
      <c r="AC304" s="12" t="s">
        <v>172</v>
      </c>
      <c r="AD304" s="15" t="str">
        <f t="shared" si="10"/>
        <v>Healthfirst OSS Support - SME</v>
      </c>
      <c r="AE304" s="12" t="s">
        <v>141</v>
      </c>
      <c r="AF304" s="12" t="s">
        <v>163</v>
      </c>
      <c r="AG304" s="12" t="s">
        <v>164</v>
      </c>
      <c r="AH304" s="12" t="s">
        <v>1038</v>
      </c>
      <c r="AJ304" s="14">
        <v>12614</v>
      </c>
      <c r="AK304" s="14" t="s">
        <v>601</v>
      </c>
    </row>
    <row r="305" spans="6:37">
      <c r="F305" s="45">
        <v>51184</v>
      </c>
      <c r="G305" s="12" t="s">
        <v>117</v>
      </c>
      <c r="R305" s="14">
        <v>51589</v>
      </c>
      <c r="S305" s="14" t="s">
        <v>1058</v>
      </c>
      <c r="T305" s="12" t="s">
        <v>116</v>
      </c>
      <c r="U305" s="15" t="str">
        <f t="shared" si="9"/>
        <v>Anthology_SFDC_L1L2_Support - PRD</v>
      </c>
      <c r="V305" s="12" t="s">
        <v>117</v>
      </c>
      <c r="W305" s="12" t="s">
        <v>117</v>
      </c>
      <c r="X305" s="12" t="s">
        <v>117</v>
      </c>
      <c r="Y305" s="12" t="s">
        <v>1038</v>
      </c>
      <c r="AA305" s="14">
        <v>12455</v>
      </c>
      <c r="AB305" s="14" t="s">
        <v>557</v>
      </c>
      <c r="AC305" s="12" t="s">
        <v>185</v>
      </c>
      <c r="AD305" s="15" t="str">
        <f t="shared" si="10"/>
        <v>Healthfirst OSS Support - TPS</v>
      </c>
      <c r="AE305" s="12" t="s">
        <v>141</v>
      </c>
      <c r="AF305" s="12" t="s">
        <v>163</v>
      </c>
      <c r="AG305" s="12" t="s">
        <v>164</v>
      </c>
      <c r="AH305" s="12" t="s">
        <v>1038</v>
      </c>
      <c r="AJ305" s="14">
        <v>12617</v>
      </c>
      <c r="AK305" s="14" t="s">
        <v>392</v>
      </c>
    </row>
    <row r="306" spans="6:37">
      <c r="F306" s="45">
        <v>51188</v>
      </c>
      <c r="G306" s="12" t="s">
        <v>117</v>
      </c>
      <c r="R306" s="14">
        <v>10711</v>
      </c>
      <c r="S306" s="14" t="s">
        <v>328</v>
      </c>
      <c r="T306" s="12" t="s">
        <v>306</v>
      </c>
      <c r="U306" s="15" t="str">
        <f t="shared" si="9"/>
        <v>AP TE Outsource - FAO</v>
      </c>
      <c r="V306" s="12" t="s">
        <v>126</v>
      </c>
      <c r="W306" s="12" t="s">
        <v>163</v>
      </c>
      <c r="X306" s="12" t="s">
        <v>164</v>
      </c>
      <c r="Y306" s="12" t="s">
        <v>1038</v>
      </c>
      <c r="AA306" s="14">
        <v>12618</v>
      </c>
      <c r="AB306" s="14" t="s">
        <v>602</v>
      </c>
      <c r="AC306" s="12" t="s">
        <v>185</v>
      </c>
      <c r="AD306" s="15" t="str">
        <f t="shared" si="10"/>
        <v>Healthfirst-PEGA OSS Auth - TPS</v>
      </c>
      <c r="AE306" s="12" t="s">
        <v>141</v>
      </c>
      <c r="AF306" s="12" t="s">
        <v>163</v>
      </c>
      <c r="AG306" s="12" t="s">
        <v>164</v>
      </c>
      <c r="AH306" s="12" t="s">
        <v>1038</v>
      </c>
      <c r="AJ306" s="14">
        <v>12618</v>
      </c>
      <c r="AK306" s="14" t="s">
        <v>602</v>
      </c>
    </row>
    <row r="307" spans="6:37">
      <c r="F307" s="45">
        <v>51190</v>
      </c>
      <c r="G307" s="12" t="s">
        <v>117</v>
      </c>
      <c r="R307" s="14">
        <v>10711</v>
      </c>
      <c r="S307" s="14" t="s">
        <v>328</v>
      </c>
      <c r="T307" s="12" t="s">
        <v>145</v>
      </c>
      <c r="U307" s="15" t="str">
        <f t="shared" si="9"/>
        <v>AP TE Outsource - SUP</v>
      </c>
      <c r="V307" s="12" t="s">
        <v>126</v>
      </c>
      <c r="W307" s="12" t="s">
        <v>163</v>
      </c>
      <c r="X307" s="12" t="s">
        <v>164</v>
      </c>
      <c r="Y307" s="12" t="s">
        <v>1038</v>
      </c>
      <c r="AA307" s="14">
        <v>93856</v>
      </c>
      <c r="AB307" s="14" t="s">
        <v>612</v>
      </c>
      <c r="AC307" s="12" t="s">
        <v>139</v>
      </c>
      <c r="AD307" s="15" t="str">
        <f t="shared" si="10"/>
        <v>HIT BD Investment - SMGT</v>
      </c>
      <c r="AE307" s="12" t="s">
        <v>117</v>
      </c>
      <c r="AF307" s="12" t="s">
        <v>117</v>
      </c>
      <c r="AG307" s="12" t="s">
        <v>117</v>
      </c>
      <c r="AH307" s="12" t="s">
        <v>1038</v>
      </c>
      <c r="AJ307" s="14">
        <v>12619</v>
      </c>
      <c r="AK307" s="14" t="s">
        <v>603</v>
      </c>
    </row>
    <row r="308" spans="6:37">
      <c r="F308" s="45">
        <v>51194</v>
      </c>
      <c r="G308" s="12" t="s">
        <v>117</v>
      </c>
      <c r="R308" s="14">
        <v>10711</v>
      </c>
      <c r="S308" s="14" t="s">
        <v>328</v>
      </c>
      <c r="T308" s="12" t="s">
        <v>185</v>
      </c>
      <c r="U308" s="15" t="str">
        <f t="shared" si="9"/>
        <v>AP TE Outsource - TPS</v>
      </c>
      <c r="V308" s="12" t="s">
        <v>126</v>
      </c>
      <c r="W308" s="12" t="s">
        <v>163</v>
      </c>
      <c r="X308" s="12" t="s">
        <v>164</v>
      </c>
      <c r="Y308" s="12" t="s">
        <v>1038</v>
      </c>
      <c r="AA308" s="14">
        <v>96737</v>
      </c>
      <c r="AB308" s="14" t="s">
        <v>614</v>
      </c>
      <c r="AC308" s="12" t="s">
        <v>145</v>
      </c>
      <c r="AD308" s="15" t="str">
        <f t="shared" si="10"/>
        <v>Horizontal Business Finance - SUP</v>
      </c>
      <c r="AE308" s="12" t="s">
        <v>118</v>
      </c>
      <c r="AF308" s="12" t="s">
        <v>122</v>
      </c>
      <c r="AG308" s="12" t="s">
        <v>114</v>
      </c>
      <c r="AH308" s="12" t="s">
        <v>1038</v>
      </c>
      <c r="AJ308" s="14">
        <v>12620</v>
      </c>
      <c r="AK308" s="14" t="s">
        <v>308</v>
      </c>
    </row>
    <row r="309" spans="6:37">
      <c r="F309" s="45">
        <v>51195</v>
      </c>
      <c r="G309" s="12" t="s">
        <v>117</v>
      </c>
      <c r="R309" s="14">
        <v>18037</v>
      </c>
      <c r="S309" s="14" t="s">
        <v>619</v>
      </c>
      <c r="T309" s="12" t="s">
        <v>156</v>
      </c>
      <c r="U309" s="15" t="str">
        <f t="shared" si="9"/>
        <v>APMC Mortgage Component Svcs - CLR</v>
      </c>
      <c r="V309" s="12" t="s">
        <v>126</v>
      </c>
      <c r="W309" s="12" t="s">
        <v>163</v>
      </c>
      <c r="X309" s="12" t="s">
        <v>164</v>
      </c>
      <c r="Y309" s="12" t="s">
        <v>1038</v>
      </c>
      <c r="AA309" s="14">
        <v>97115</v>
      </c>
      <c r="AB309" s="14" t="s">
        <v>616</v>
      </c>
      <c r="AC309" s="12" t="s">
        <v>129</v>
      </c>
      <c r="AD309" s="15" t="str">
        <f t="shared" si="10"/>
        <v>HR Business Partners - MGT</v>
      </c>
      <c r="AE309" s="12" t="s">
        <v>118</v>
      </c>
      <c r="AF309" s="12" t="s">
        <v>410</v>
      </c>
      <c r="AG309" s="12" t="s">
        <v>114</v>
      </c>
      <c r="AH309" s="12" t="s">
        <v>1038</v>
      </c>
      <c r="AJ309" s="14">
        <v>12621</v>
      </c>
      <c r="AK309" s="14" t="s">
        <v>276</v>
      </c>
    </row>
    <row r="310" spans="6:37">
      <c r="F310" s="45">
        <v>51197</v>
      </c>
      <c r="G310" s="12" t="s">
        <v>117</v>
      </c>
      <c r="R310" s="14">
        <v>18037</v>
      </c>
      <c r="S310" s="14" t="s">
        <v>619</v>
      </c>
      <c r="T310" s="12" t="s">
        <v>116</v>
      </c>
      <c r="U310" s="15" t="str">
        <f t="shared" si="9"/>
        <v>APMC Mortgage Component Svcs - PRD</v>
      </c>
      <c r="V310" s="12" t="s">
        <v>126</v>
      </c>
      <c r="W310" s="12" t="s">
        <v>163</v>
      </c>
      <c r="X310" s="12" t="s">
        <v>164</v>
      </c>
      <c r="Y310" s="12" t="s">
        <v>1038</v>
      </c>
      <c r="AA310" s="14">
        <v>97115</v>
      </c>
      <c r="AB310" s="14" t="s">
        <v>616</v>
      </c>
      <c r="AC310" s="12" t="s">
        <v>139</v>
      </c>
      <c r="AD310" s="15" t="str">
        <f t="shared" si="10"/>
        <v>HR Business Partners - SMGT</v>
      </c>
      <c r="AE310" s="12" t="s">
        <v>118</v>
      </c>
      <c r="AF310" s="12" t="s">
        <v>410</v>
      </c>
      <c r="AG310" s="12" t="s">
        <v>114</v>
      </c>
      <c r="AH310" s="12" t="s">
        <v>1038</v>
      </c>
      <c r="AJ310" s="14">
        <v>12622</v>
      </c>
      <c r="AK310" s="14" t="s">
        <v>604</v>
      </c>
    </row>
    <row r="311" spans="6:37">
      <c r="F311" s="45">
        <v>51198</v>
      </c>
      <c r="G311" s="12" t="s">
        <v>117</v>
      </c>
      <c r="R311" s="14">
        <v>18037</v>
      </c>
      <c r="S311" s="14" t="s">
        <v>619</v>
      </c>
      <c r="T311" s="12" t="s">
        <v>230</v>
      </c>
      <c r="U311" s="15" t="str">
        <f t="shared" si="9"/>
        <v>APMC Mortgage Component Svcs - PRSP</v>
      </c>
      <c r="V311" s="12" t="s">
        <v>126</v>
      </c>
      <c r="W311" s="12" t="s">
        <v>163</v>
      </c>
      <c r="X311" s="12" t="s">
        <v>164</v>
      </c>
      <c r="Y311" s="12" t="s">
        <v>1038</v>
      </c>
      <c r="AA311" s="14">
        <v>97115</v>
      </c>
      <c r="AB311" s="14" t="s">
        <v>616</v>
      </c>
      <c r="AC311" s="12" t="s">
        <v>145</v>
      </c>
      <c r="AD311" s="15" t="str">
        <f t="shared" si="10"/>
        <v>HR Business Partners - SUP</v>
      </c>
      <c r="AE311" s="12" t="s">
        <v>118</v>
      </c>
      <c r="AF311" s="12" t="s">
        <v>410</v>
      </c>
      <c r="AG311" s="12" t="s">
        <v>114</v>
      </c>
      <c r="AH311" s="12" t="s">
        <v>1038</v>
      </c>
      <c r="AJ311" s="14">
        <v>12624</v>
      </c>
      <c r="AK311" s="14" t="s">
        <v>284</v>
      </c>
    </row>
    <row r="312" spans="6:37">
      <c r="F312" s="45">
        <v>51200</v>
      </c>
      <c r="G312" s="12" t="s">
        <v>117</v>
      </c>
      <c r="R312" s="14">
        <v>18037</v>
      </c>
      <c r="S312" s="14" t="s">
        <v>619</v>
      </c>
      <c r="T312" s="12" t="s">
        <v>172</v>
      </c>
      <c r="U312" s="15" t="str">
        <f t="shared" si="9"/>
        <v>APMC Mortgage Component Svcs - SME</v>
      </c>
      <c r="V312" s="12" t="s">
        <v>126</v>
      </c>
      <c r="W312" s="12" t="s">
        <v>163</v>
      </c>
      <c r="X312" s="12" t="s">
        <v>164</v>
      </c>
      <c r="Y312" s="12" t="s">
        <v>1038</v>
      </c>
      <c r="AA312" s="14">
        <v>97124</v>
      </c>
      <c r="AB312" s="14" t="s">
        <v>620</v>
      </c>
      <c r="AC312" s="12" t="s">
        <v>556</v>
      </c>
      <c r="AD312" s="15" t="str">
        <f t="shared" si="10"/>
        <v>HR Campus Initiatives - HRD</v>
      </c>
      <c r="AE312" s="12" t="s">
        <v>118</v>
      </c>
      <c r="AF312" s="12" t="s">
        <v>512</v>
      </c>
      <c r="AG312" s="12" t="s">
        <v>114</v>
      </c>
      <c r="AH312" s="12" t="s">
        <v>1038</v>
      </c>
      <c r="AJ312" s="14">
        <v>12625</v>
      </c>
      <c r="AK312" s="14" t="s">
        <v>605</v>
      </c>
    </row>
    <row r="313" spans="6:37">
      <c r="F313" s="45">
        <v>51211</v>
      </c>
      <c r="G313" s="12" t="s">
        <v>117</v>
      </c>
      <c r="R313" s="14">
        <v>18037</v>
      </c>
      <c r="S313" s="14" t="s">
        <v>619</v>
      </c>
      <c r="T313" s="12" t="s">
        <v>180</v>
      </c>
      <c r="U313" s="15" t="str">
        <f t="shared" si="9"/>
        <v>APMC Mortgage Component Svcs - TMG</v>
      </c>
      <c r="V313" s="12" t="s">
        <v>126</v>
      </c>
      <c r="W313" s="12" t="s">
        <v>163</v>
      </c>
      <c r="X313" s="12" t="s">
        <v>164</v>
      </c>
      <c r="Y313" s="12" t="s">
        <v>1038</v>
      </c>
      <c r="AA313" s="14">
        <v>97124</v>
      </c>
      <c r="AB313" s="14" t="s">
        <v>620</v>
      </c>
      <c r="AC313" s="12" t="s">
        <v>129</v>
      </c>
      <c r="AD313" s="15" t="str">
        <f t="shared" si="10"/>
        <v>HR Campus Initiatives - MGT</v>
      </c>
      <c r="AE313" s="12" t="s">
        <v>118</v>
      </c>
      <c r="AF313" s="12" t="s">
        <v>512</v>
      </c>
      <c r="AG313" s="12" t="s">
        <v>114</v>
      </c>
      <c r="AH313" s="12" t="s">
        <v>1038</v>
      </c>
      <c r="AJ313" s="14">
        <v>12626</v>
      </c>
      <c r="AK313" s="14" t="s">
        <v>606</v>
      </c>
    </row>
    <row r="314" spans="6:37">
      <c r="F314" s="45">
        <v>51212</v>
      </c>
      <c r="G314" s="12" t="s">
        <v>117</v>
      </c>
      <c r="R314" s="14">
        <v>18037</v>
      </c>
      <c r="S314" s="14" t="s">
        <v>619</v>
      </c>
      <c r="T314" s="12" t="s">
        <v>185</v>
      </c>
      <c r="U314" s="15" t="str">
        <f t="shared" si="9"/>
        <v>APMC Mortgage Component Svcs - TPS</v>
      </c>
      <c r="V314" s="12" t="s">
        <v>126</v>
      </c>
      <c r="W314" s="12" t="s">
        <v>163</v>
      </c>
      <c r="X314" s="12" t="s">
        <v>164</v>
      </c>
      <c r="Y314" s="12" t="s">
        <v>1038</v>
      </c>
      <c r="AA314" s="14">
        <v>97124</v>
      </c>
      <c r="AB314" s="14" t="s">
        <v>620</v>
      </c>
      <c r="AC314" s="12" t="s">
        <v>145</v>
      </c>
      <c r="AD314" s="15" t="str">
        <f t="shared" si="10"/>
        <v>HR Campus Initiatives - SUP</v>
      </c>
      <c r="AE314" s="12" t="s">
        <v>118</v>
      </c>
      <c r="AF314" s="12" t="s">
        <v>512</v>
      </c>
      <c r="AG314" s="12" t="s">
        <v>114</v>
      </c>
      <c r="AH314" s="12" t="s">
        <v>1038</v>
      </c>
      <c r="AJ314" s="14">
        <v>12628</v>
      </c>
      <c r="AK314" s="14" t="s">
        <v>310</v>
      </c>
    </row>
    <row r="315" spans="6:37">
      <c r="F315" s="45">
        <v>51214</v>
      </c>
      <c r="G315" s="12" t="s">
        <v>117</v>
      </c>
      <c r="R315" s="14">
        <v>95302</v>
      </c>
      <c r="S315" s="14" t="s">
        <v>261</v>
      </c>
      <c r="T315" s="12" t="s">
        <v>262</v>
      </c>
      <c r="U315" s="15" t="str">
        <f t="shared" si="9"/>
        <v>Application Support - GSI</v>
      </c>
      <c r="V315" s="12" t="s">
        <v>104</v>
      </c>
      <c r="W315" s="12" t="s">
        <v>263</v>
      </c>
      <c r="X315" s="12" t="s">
        <v>264</v>
      </c>
      <c r="Y315" s="12" t="s">
        <v>1038</v>
      </c>
      <c r="AA315" s="14">
        <v>97106</v>
      </c>
      <c r="AB315" s="14" t="s">
        <v>624</v>
      </c>
      <c r="AC315" s="12" t="s">
        <v>556</v>
      </c>
      <c r="AD315" s="15" t="str">
        <f t="shared" si="10"/>
        <v>HR Comp &amp; Benefits - HRD</v>
      </c>
      <c r="AE315" s="12" t="s">
        <v>118</v>
      </c>
      <c r="AF315" s="12" t="s">
        <v>410</v>
      </c>
      <c r="AG315" s="12" t="s">
        <v>114</v>
      </c>
      <c r="AH315" s="12" t="s">
        <v>1038</v>
      </c>
      <c r="AJ315" s="14">
        <v>12630</v>
      </c>
      <c r="AK315" s="14" t="s">
        <v>607</v>
      </c>
    </row>
    <row r="316" spans="6:37">
      <c r="F316" s="45">
        <v>51216</v>
      </c>
      <c r="G316" s="12" t="s">
        <v>117</v>
      </c>
      <c r="R316" s="14">
        <v>95302</v>
      </c>
      <c r="S316" s="14" t="s">
        <v>261</v>
      </c>
      <c r="T316" s="12" t="s">
        <v>177</v>
      </c>
      <c r="U316" s="15" t="str">
        <f t="shared" si="9"/>
        <v>Application Support - OPS</v>
      </c>
      <c r="V316" s="12" t="s">
        <v>104</v>
      </c>
      <c r="W316" s="12" t="s">
        <v>263</v>
      </c>
      <c r="X316" s="12" t="s">
        <v>264</v>
      </c>
      <c r="Y316" s="12" t="s">
        <v>1038</v>
      </c>
      <c r="AA316" s="14">
        <v>97106</v>
      </c>
      <c r="AB316" s="14" t="s">
        <v>624</v>
      </c>
      <c r="AC316" s="12" t="s">
        <v>145</v>
      </c>
      <c r="AD316" s="15" t="str">
        <f t="shared" si="10"/>
        <v>HR Comp &amp; Benefits - SUP</v>
      </c>
      <c r="AE316" s="12" t="s">
        <v>118</v>
      </c>
      <c r="AF316" s="12" t="s">
        <v>410</v>
      </c>
      <c r="AG316" s="12" t="s">
        <v>114</v>
      </c>
      <c r="AH316" s="12" t="s">
        <v>1038</v>
      </c>
      <c r="AJ316" s="14">
        <v>12632</v>
      </c>
      <c r="AK316" s="14" t="s">
        <v>443</v>
      </c>
    </row>
    <row r="317" spans="6:37">
      <c r="F317" s="45">
        <v>51220</v>
      </c>
      <c r="G317" s="12" t="s">
        <v>117</v>
      </c>
      <c r="R317" s="14">
        <v>95302</v>
      </c>
      <c r="S317" s="14" t="s">
        <v>261</v>
      </c>
      <c r="T317" s="12" t="s">
        <v>145</v>
      </c>
      <c r="U317" s="15" t="str">
        <f t="shared" si="9"/>
        <v>Application Support - SUP</v>
      </c>
      <c r="V317" s="12" t="s">
        <v>104</v>
      </c>
      <c r="W317" s="12" t="s">
        <v>263</v>
      </c>
      <c r="X317" s="12" t="s">
        <v>264</v>
      </c>
      <c r="Y317" s="12" t="s">
        <v>1038</v>
      </c>
      <c r="AA317" s="14">
        <v>97117</v>
      </c>
      <c r="AB317" s="14" t="s">
        <v>627</v>
      </c>
      <c r="AC317" s="12" t="s">
        <v>145</v>
      </c>
      <c r="AD317" s="15" t="str">
        <f t="shared" si="10"/>
        <v>HR Employee Engagement - SUP</v>
      </c>
      <c r="AE317" s="12" t="s">
        <v>118</v>
      </c>
      <c r="AF317" s="12" t="s">
        <v>494</v>
      </c>
      <c r="AG317" s="12" t="s">
        <v>114</v>
      </c>
      <c r="AH317" s="12" t="s">
        <v>1038</v>
      </c>
      <c r="AJ317" s="14">
        <v>12633</v>
      </c>
      <c r="AK317" s="14" t="s">
        <v>445</v>
      </c>
    </row>
    <row r="318" spans="6:37">
      <c r="F318" s="45">
        <v>51222</v>
      </c>
      <c r="G318" s="12" t="s">
        <v>117</v>
      </c>
      <c r="R318" s="14">
        <v>95230</v>
      </c>
      <c r="S318" s="14" t="s">
        <v>268</v>
      </c>
      <c r="T318" s="12" t="s">
        <v>262</v>
      </c>
      <c r="U318" s="15" t="str">
        <f t="shared" si="9"/>
        <v>Application Testing - GSI</v>
      </c>
      <c r="V318" s="12" t="s">
        <v>104</v>
      </c>
      <c r="W318" s="12" t="s">
        <v>263</v>
      </c>
      <c r="X318" s="12" t="s">
        <v>264</v>
      </c>
      <c r="Y318" s="12" t="s">
        <v>1038</v>
      </c>
      <c r="AA318" s="14">
        <v>97107</v>
      </c>
      <c r="AB318" s="14" t="s">
        <v>629</v>
      </c>
      <c r="AC318" s="12" t="s">
        <v>556</v>
      </c>
      <c r="AD318" s="15" t="str">
        <f t="shared" si="10"/>
        <v>HR Operations - HRD</v>
      </c>
      <c r="AE318" s="12" t="s">
        <v>118</v>
      </c>
      <c r="AF318" s="12" t="s">
        <v>410</v>
      </c>
      <c r="AG318" s="12" t="s">
        <v>114</v>
      </c>
      <c r="AH318" s="12" t="s">
        <v>1038</v>
      </c>
      <c r="AJ318" s="14">
        <v>12634</v>
      </c>
      <c r="AK318" s="14" t="s">
        <v>608</v>
      </c>
    </row>
    <row r="319" spans="6:37">
      <c r="F319" s="45">
        <v>51224</v>
      </c>
      <c r="G319" s="12" t="s">
        <v>117</v>
      </c>
      <c r="R319" s="14">
        <v>95230</v>
      </c>
      <c r="S319" s="14" t="s">
        <v>268</v>
      </c>
      <c r="T319" s="12" t="s">
        <v>116</v>
      </c>
      <c r="U319" s="15" t="str">
        <f t="shared" si="9"/>
        <v>Application Testing - PRD</v>
      </c>
      <c r="V319" s="12" t="s">
        <v>104</v>
      </c>
      <c r="W319" s="12" t="s">
        <v>263</v>
      </c>
      <c r="X319" s="12" t="s">
        <v>264</v>
      </c>
      <c r="Y319" s="12" t="s">
        <v>1038</v>
      </c>
      <c r="AA319" s="14">
        <v>97107</v>
      </c>
      <c r="AB319" s="14" t="s">
        <v>629</v>
      </c>
      <c r="AC319" s="12" t="s">
        <v>129</v>
      </c>
      <c r="AD319" s="15" t="str">
        <f t="shared" si="10"/>
        <v>HR Operations - MGT</v>
      </c>
      <c r="AE319" s="12" t="s">
        <v>118</v>
      </c>
      <c r="AF319" s="12" t="s">
        <v>410</v>
      </c>
      <c r="AG319" s="12" t="s">
        <v>114</v>
      </c>
      <c r="AH319" s="12" t="s">
        <v>1038</v>
      </c>
      <c r="AJ319" s="14">
        <v>12635</v>
      </c>
      <c r="AK319" s="14" t="s">
        <v>609</v>
      </c>
    </row>
    <row r="320" spans="6:37">
      <c r="F320" s="45">
        <v>51225</v>
      </c>
      <c r="G320" s="12" t="s">
        <v>117</v>
      </c>
      <c r="R320" s="14">
        <v>95230</v>
      </c>
      <c r="S320" s="14" t="s">
        <v>268</v>
      </c>
      <c r="T320" s="12" t="s">
        <v>145</v>
      </c>
      <c r="U320" s="15" t="str">
        <f t="shared" si="9"/>
        <v>Application Testing - SUP</v>
      </c>
      <c r="V320" s="12" t="s">
        <v>104</v>
      </c>
      <c r="W320" s="12" t="s">
        <v>263</v>
      </c>
      <c r="X320" s="12" t="s">
        <v>264</v>
      </c>
      <c r="Y320" s="12" t="s">
        <v>1038</v>
      </c>
      <c r="AA320" s="14">
        <v>97107</v>
      </c>
      <c r="AB320" s="14" t="s">
        <v>629</v>
      </c>
      <c r="AC320" s="12" t="s">
        <v>547</v>
      </c>
      <c r="AD320" s="15" t="str">
        <f t="shared" si="10"/>
        <v>HR Operations - PHR</v>
      </c>
      <c r="AE320" s="12" t="s">
        <v>118</v>
      </c>
      <c r="AF320" s="12" t="s">
        <v>410</v>
      </c>
      <c r="AG320" s="12" t="s">
        <v>114</v>
      </c>
      <c r="AH320" s="12" t="s">
        <v>1038</v>
      </c>
      <c r="AJ320" s="14">
        <v>12636</v>
      </c>
      <c r="AK320" s="14" t="s">
        <v>1059</v>
      </c>
    </row>
    <row r="321" spans="6:37">
      <c r="F321" s="45">
        <v>51226</v>
      </c>
      <c r="G321" s="12" t="s">
        <v>117</v>
      </c>
      <c r="R321" s="14">
        <v>33002</v>
      </c>
      <c r="S321" s="14" t="s">
        <v>272</v>
      </c>
      <c r="T321" s="12" t="s">
        <v>145</v>
      </c>
      <c r="U321" s="15" t="str">
        <f t="shared" si="9"/>
        <v>Aramco - GSBS - SUP</v>
      </c>
      <c r="V321" s="12" t="s">
        <v>117</v>
      </c>
      <c r="W321" s="12" t="s">
        <v>117</v>
      </c>
      <c r="X321" s="12" t="s">
        <v>117</v>
      </c>
      <c r="Y321" s="12" t="s">
        <v>1038</v>
      </c>
      <c r="AA321" s="14">
        <v>97107</v>
      </c>
      <c r="AB321" s="14" t="s">
        <v>629</v>
      </c>
      <c r="AC321" s="12" t="s">
        <v>139</v>
      </c>
      <c r="AD321" s="15" t="str">
        <f t="shared" si="10"/>
        <v>HR Operations - SMGT</v>
      </c>
      <c r="AE321" s="12" t="s">
        <v>118</v>
      </c>
      <c r="AF321" s="12" t="s">
        <v>410</v>
      </c>
      <c r="AG321" s="12" t="s">
        <v>114</v>
      </c>
      <c r="AH321" s="12" t="s">
        <v>1038</v>
      </c>
      <c r="AJ321" s="14">
        <v>12637</v>
      </c>
      <c r="AK321" s="14" t="s">
        <v>610</v>
      </c>
    </row>
    <row r="322" spans="6:37">
      <c r="F322" s="45">
        <v>51227</v>
      </c>
      <c r="G322" s="12" t="s">
        <v>117</v>
      </c>
      <c r="R322" s="14">
        <v>33015</v>
      </c>
      <c r="S322" s="14" t="s">
        <v>1060</v>
      </c>
      <c r="T322" s="12" t="s">
        <v>116</v>
      </c>
      <c r="U322" s="15" t="str">
        <f t="shared" si="9"/>
        <v>Aramco GSBS Phase 2 - PRD</v>
      </c>
      <c r="V322" s="12" t="s">
        <v>117</v>
      </c>
      <c r="W322" s="12" t="s">
        <v>117</v>
      </c>
      <c r="X322" s="12" t="s">
        <v>117</v>
      </c>
      <c r="Y322" s="12" t="s">
        <v>1038</v>
      </c>
      <c r="AA322" s="14">
        <v>97107</v>
      </c>
      <c r="AB322" s="14" t="s">
        <v>629</v>
      </c>
      <c r="AC322" s="12" t="s">
        <v>145</v>
      </c>
      <c r="AD322" s="15" t="str">
        <f t="shared" si="10"/>
        <v>HR Operations - SUP</v>
      </c>
      <c r="AE322" s="12" t="s">
        <v>118</v>
      </c>
      <c r="AF322" s="12" t="s">
        <v>410</v>
      </c>
      <c r="AG322" s="12" t="s">
        <v>114</v>
      </c>
      <c r="AH322" s="12" t="s">
        <v>1038</v>
      </c>
      <c r="AJ322" s="14">
        <v>12638</v>
      </c>
      <c r="AK322" s="14" t="s">
        <v>611</v>
      </c>
    </row>
    <row r="323" spans="6:37">
      <c r="F323" s="45">
        <v>51229</v>
      </c>
      <c r="G323" s="12" t="s">
        <v>117</v>
      </c>
      <c r="R323" s="14">
        <v>33011</v>
      </c>
      <c r="S323" s="14" t="s">
        <v>660</v>
      </c>
      <c r="T323" s="12" t="s">
        <v>129</v>
      </c>
      <c r="U323" s="15" t="str">
        <f t="shared" ref="U323:U386" si="11">S323&amp;" - "&amp;T323</f>
        <v>Aramco Smart City Brain - MGT</v>
      </c>
      <c r="V323" s="12" t="s">
        <v>117</v>
      </c>
      <c r="W323" s="12" t="s">
        <v>117</v>
      </c>
      <c r="X323" s="12" t="s">
        <v>117</v>
      </c>
      <c r="Y323" s="12" t="s">
        <v>1038</v>
      </c>
      <c r="AA323" s="14">
        <v>97116</v>
      </c>
      <c r="AB323" s="14" t="s">
        <v>635</v>
      </c>
      <c r="AC323" s="12" t="s">
        <v>556</v>
      </c>
      <c r="AD323" s="15" t="str">
        <f t="shared" ref="AD323:AD386" si="12">AB323&amp;" - "&amp;AC323</f>
        <v>HR Shared Services Global - HRD</v>
      </c>
      <c r="AE323" s="12" t="s">
        <v>118</v>
      </c>
      <c r="AF323" s="12" t="s">
        <v>636</v>
      </c>
      <c r="AG323" s="12" t="s">
        <v>114</v>
      </c>
      <c r="AH323" s="12" t="s">
        <v>1038</v>
      </c>
      <c r="AJ323" s="35">
        <v>12641</v>
      </c>
      <c r="AK323" s="32" t="s">
        <v>1056</v>
      </c>
    </row>
    <row r="324" spans="6:37">
      <c r="F324" s="45">
        <v>51230</v>
      </c>
      <c r="G324" s="12" t="s">
        <v>117</v>
      </c>
      <c r="R324" s="14">
        <v>33003</v>
      </c>
      <c r="S324" s="14" t="s">
        <v>659</v>
      </c>
      <c r="T324" s="12" t="s">
        <v>193</v>
      </c>
      <c r="U324" s="15" t="str">
        <f t="shared" si="11"/>
        <v>Aramco-GSBS for ADC - DEV</v>
      </c>
      <c r="V324" s="12" t="s">
        <v>126</v>
      </c>
      <c r="W324" s="12" t="s">
        <v>163</v>
      </c>
      <c r="X324" s="12" t="s">
        <v>164</v>
      </c>
      <c r="Y324" s="12" t="s">
        <v>1038</v>
      </c>
      <c r="AA324" s="14">
        <v>97116</v>
      </c>
      <c r="AB324" s="14" t="s">
        <v>635</v>
      </c>
      <c r="AC324" s="12" t="s">
        <v>129</v>
      </c>
      <c r="AD324" s="15" t="str">
        <f t="shared" si="12"/>
        <v>HR Shared Services Global - MGT</v>
      </c>
      <c r="AE324" s="12" t="s">
        <v>118</v>
      </c>
      <c r="AF324" s="12" t="s">
        <v>636</v>
      </c>
      <c r="AG324" s="12" t="s">
        <v>114</v>
      </c>
      <c r="AH324" s="12" t="s">
        <v>1038</v>
      </c>
      <c r="AJ324" s="14">
        <v>12642</v>
      </c>
      <c r="AK324" s="14" t="s">
        <v>1061</v>
      </c>
    </row>
    <row r="325" spans="6:37">
      <c r="F325" s="45">
        <v>51231</v>
      </c>
      <c r="G325" s="12" t="s">
        <v>117</v>
      </c>
      <c r="R325" s="14">
        <v>10744</v>
      </c>
      <c r="S325" s="14" t="s">
        <v>357</v>
      </c>
      <c r="T325" s="12" t="s">
        <v>116</v>
      </c>
      <c r="U325" s="15" t="str">
        <f t="shared" si="11"/>
        <v>Arch Capital Services LLC - PRD</v>
      </c>
      <c r="V325" s="12" t="s">
        <v>126</v>
      </c>
      <c r="W325" s="12" t="s">
        <v>890</v>
      </c>
      <c r="X325" s="12" t="s">
        <v>890</v>
      </c>
      <c r="Y325" s="12" t="s">
        <v>1038</v>
      </c>
      <c r="AA325" s="14">
        <v>97116</v>
      </c>
      <c r="AB325" s="14" t="s">
        <v>635</v>
      </c>
      <c r="AC325" s="12" t="s">
        <v>139</v>
      </c>
      <c r="AD325" s="15" t="str">
        <f t="shared" si="12"/>
        <v>HR Shared Services Global - SMGT</v>
      </c>
      <c r="AE325" s="12" t="s">
        <v>118</v>
      </c>
      <c r="AF325" s="12" t="s">
        <v>636</v>
      </c>
      <c r="AG325" s="12" t="s">
        <v>114</v>
      </c>
      <c r="AH325" s="12" t="s">
        <v>1038</v>
      </c>
      <c r="AJ325" s="14">
        <v>18016</v>
      </c>
      <c r="AK325" s="14" t="s">
        <v>615</v>
      </c>
    </row>
    <row r="326" spans="6:37">
      <c r="F326" s="45">
        <v>51233</v>
      </c>
      <c r="G326" s="12" t="s">
        <v>117</v>
      </c>
      <c r="R326" s="14">
        <v>10744</v>
      </c>
      <c r="S326" s="14" t="s">
        <v>357</v>
      </c>
      <c r="T326" s="12" t="s">
        <v>145</v>
      </c>
      <c r="U326" s="15" t="str">
        <f t="shared" si="11"/>
        <v>Arch Capital Services LLC - SUP</v>
      </c>
      <c r="V326" s="12" t="s">
        <v>126</v>
      </c>
      <c r="W326" s="12" t="s">
        <v>890</v>
      </c>
      <c r="X326" s="12" t="s">
        <v>890</v>
      </c>
      <c r="Y326" s="12" t="s">
        <v>1038</v>
      </c>
      <c r="AA326" s="14">
        <v>97116</v>
      </c>
      <c r="AB326" s="14" t="s">
        <v>635</v>
      </c>
      <c r="AC326" s="12" t="s">
        <v>145</v>
      </c>
      <c r="AD326" s="15" t="str">
        <f t="shared" si="12"/>
        <v>HR Shared Services Global - SUP</v>
      </c>
      <c r="AE326" s="12" t="s">
        <v>118</v>
      </c>
      <c r="AF326" s="12" t="s">
        <v>636</v>
      </c>
      <c r="AG326" s="12" t="s">
        <v>114</v>
      </c>
      <c r="AH326" s="12" t="s">
        <v>1038</v>
      </c>
      <c r="AJ326" s="14">
        <v>18034</v>
      </c>
      <c r="AK326" s="14" t="s">
        <v>617</v>
      </c>
    </row>
    <row r="327" spans="6:37">
      <c r="F327" s="45">
        <v>51236</v>
      </c>
      <c r="G327" s="12" t="s">
        <v>117</v>
      </c>
      <c r="R327" s="14">
        <v>18016</v>
      </c>
      <c r="S327" s="14" t="s">
        <v>615</v>
      </c>
      <c r="T327" s="12" t="s">
        <v>116</v>
      </c>
      <c r="U327" s="15" t="str">
        <f t="shared" si="11"/>
        <v>Arch MI-Contract UW and Review - PRD</v>
      </c>
      <c r="V327" s="12" t="s">
        <v>126</v>
      </c>
      <c r="W327" s="12" t="s">
        <v>163</v>
      </c>
      <c r="X327" s="12" t="s">
        <v>164</v>
      </c>
      <c r="Y327" s="12" t="s">
        <v>1038</v>
      </c>
      <c r="AA327" s="14">
        <v>97126</v>
      </c>
      <c r="AB327" s="14" t="s">
        <v>640</v>
      </c>
      <c r="AC327" s="12" t="s">
        <v>556</v>
      </c>
      <c r="AD327" s="15" t="str">
        <f t="shared" si="12"/>
        <v>HR Technology &amp; Analytics - HRD</v>
      </c>
      <c r="AE327" s="12" t="s">
        <v>118</v>
      </c>
      <c r="AF327" s="12" t="s">
        <v>636</v>
      </c>
      <c r="AG327" s="12" t="s">
        <v>114</v>
      </c>
      <c r="AH327" s="12" t="s">
        <v>1038</v>
      </c>
      <c r="AJ327" s="14">
        <v>18035</v>
      </c>
      <c r="AK327" s="14" t="s">
        <v>618</v>
      </c>
    </row>
    <row r="328" spans="6:37">
      <c r="F328" s="45">
        <v>51237</v>
      </c>
      <c r="G328" s="12" t="s">
        <v>117</v>
      </c>
      <c r="R328" s="14">
        <v>18016</v>
      </c>
      <c r="S328" s="14" t="s">
        <v>615</v>
      </c>
      <c r="T328" s="12" t="s">
        <v>230</v>
      </c>
      <c r="U328" s="15" t="str">
        <f t="shared" si="11"/>
        <v>Arch MI-Contract UW and Review - PRSP</v>
      </c>
      <c r="V328" s="12" t="s">
        <v>126</v>
      </c>
      <c r="W328" s="12" t="s">
        <v>163</v>
      </c>
      <c r="X328" s="12" t="s">
        <v>164</v>
      </c>
      <c r="Y328" s="12" t="s">
        <v>1038</v>
      </c>
      <c r="AA328" s="14">
        <v>97100</v>
      </c>
      <c r="AB328" s="14" t="s">
        <v>642</v>
      </c>
      <c r="AC328" s="12" t="s">
        <v>556</v>
      </c>
      <c r="AD328" s="15" t="str">
        <f t="shared" si="12"/>
        <v>Human Resources Local - HRD</v>
      </c>
      <c r="AE328" s="12" t="s">
        <v>118</v>
      </c>
      <c r="AF328" s="12" t="s">
        <v>410</v>
      </c>
      <c r="AG328" s="12" t="s">
        <v>114</v>
      </c>
      <c r="AH328" s="12" t="s">
        <v>1038</v>
      </c>
      <c r="AJ328" s="14">
        <v>18037</v>
      </c>
      <c r="AK328" s="14" t="s">
        <v>619</v>
      </c>
    </row>
    <row r="329" spans="6:37">
      <c r="F329" s="45">
        <v>51238</v>
      </c>
      <c r="G329" s="12" t="s">
        <v>117</v>
      </c>
      <c r="R329" s="14">
        <v>18016</v>
      </c>
      <c r="S329" s="14" t="s">
        <v>615</v>
      </c>
      <c r="T329" s="12" t="s">
        <v>1014</v>
      </c>
      <c r="U329" s="15" t="str">
        <f t="shared" si="11"/>
        <v>Arch MI-Contract UW and Review - SMSI-A</v>
      </c>
      <c r="V329" s="12" t="s">
        <v>126</v>
      </c>
      <c r="W329" s="12" t="s">
        <v>163</v>
      </c>
      <c r="X329" s="12" t="s">
        <v>164</v>
      </c>
      <c r="Y329" s="12" t="s">
        <v>1038</v>
      </c>
      <c r="AA329" s="14">
        <v>97100</v>
      </c>
      <c r="AB329" s="14" t="s">
        <v>642</v>
      </c>
      <c r="AC329" s="12" t="s">
        <v>145</v>
      </c>
      <c r="AD329" s="15" t="str">
        <f t="shared" si="12"/>
        <v>Human Resources Local - SUP</v>
      </c>
      <c r="AE329" s="12" t="s">
        <v>118</v>
      </c>
      <c r="AF329" s="12" t="s">
        <v>410</v>
      </c>
      <c r="AG329" s="12" t="s">
        <v>114</v>
      </c>
      <c r="AH329" s="12" t="s">
        <v>1038</v>
      </c>
      <c r="AJ329" s="14">
        <v>18040</v>
      </c>
      <c r="AK329" s="14" t="s">
        <v>621</v>
      </c>
    </row>
    <row r="330" spans="6:37">
      <c r="F330" s="45">
        <v>51239</v>
      </c>
      <c r="G330" s="12" t="s">
        <v>117</v>
      </c>
      <c r="R330" s="14">
        <v>18016</v>
      </c>
      <c r="S330" s="14" t="s">
        <v>615</v>
      </c>
      <c r="T330" s="12" t="s">
        <v>1015</v>
      </c>
      <c r="U330" s="15" t="str">
        <f t="shared" si="11"/>
        <v>Arch MI-Contract UW and Review - SMSI-B</v>
      </c>
      <c r="V330" s="12" t="s">
        <v>126</v>
      </c>
      <c r="W330" s="12" t="s">
        <v>163</v>
      </c>
      <c r="X330" s="12" t="s">
        <v>164</v>
      </c>
      <c r="Y330" s="12" t="s">
        <v>1038</v>
      </c>
      <c r="AA330" s="14">
        <v>12094</v>
      </c>
      <c r="AB330" s="14" t="s">
        <v>509</v>
      </c>
      <c r="AC330" s="12" t="s">
        <v>129</v>
      </c>
      <c r="AD330" s="15" t="str">
        <f t="shared" si="12"/>
        <v>Humana Inc_CL - MGT</v>
      </c>
      <c r="AE330" s="12" t="s">
        <v>141</v>
      </c>
      <c r="AF330" s="12" t="s">
        <v>163</v>
      </c>
      <c r="AG330" s="12" t="s">
        <v>164</v>
      </c>
      <c r="AH330" s="12" t="s">
        <v>1038</v>
      </c>
      <c r="AJ330" s="14">
        <v>18050</v>
      </c>
      <c r="AK330" s="14" t="s">
        <v>622</v>
      </c>
    </row>
    <row r="331" spans="6:37">
      <c r="F331" s="45">
        <v>51240</v>
      </c>
      <c r="G331" s="12" t="s">
        <v>117</v>
      </c>
      <c r="R331" s="14">
        <v>18016</v>
      </c>
      <c r="S331" s="14" t="s">
        <v>615</v>
      </c>
      <c r="T331" s="12" t="s">
        <v>1016</v>
      </c>
      <c r="U331" s="15" t="str">
        <f t="shared" si="11"/>
        <v>Arch MI-Contract UW and Review - SMSI-C</v>
      </c>
      <c r="V331" s="12" t="s">
        <v>126</v>
      </c>
      <c r="W331" s="12" t="s">
        <v>163</v>
      </c>
      <c r="X331" s="12" t="s">
        <v>164</v>
      </c>
      <c r="Y331" s="12" t="s">
        <v>1038</v>
      </c>
      <c r="AA331" s="14">
        <v>12094</v>
      </c>
      <c r="AB331" s="14" t="s">
        <v>509</v>
      </c>
      <c r="AC331" s="12" t="s">
        <v>177</v>
      </c>
      <c r="AD331" s="15" t="str">
        <f t="shared" si="12"/>
        <v>Humana Inc_CL - OPS</v>
      </c>
      <c r="AE331" s="12" t="s">
        <v>141</v>
      </c>
      <c r="AF331" s="12" t="s">
        <v>163</v>
      </c>
      <c r="AG331" s="12" t="s">
        <v>164</v>
      </c>
      <c r="AH331" s="12" t="s">
        <v>1038</v>
      </c>
      <c r="AJ331" s="14">
        <v>18057</v>
      </c>
      <c r="AK331" s="14" t="s">
        <v>623</v>
      </c>
    </row>
    <row r="332" spans="6:37">
      <c r="F332" s="45">
        <v>51241</v>
      </c>
      <c r="G332" s="12" t="s">
        <v>117</v>
      </c>
      <c r="R332" s="14">
        <v>18016</v>
      </c>
      <c r="S332" s="14" t="s">
        <v>615</v>
      </c>
      <c r="T332" s="12" t="s">
        <v>1017</v>
      </c>
      <c r="U332" s="15" t="str">
        <f t="shared" si="11"/>
        <v>Arch MI-Contract UW and Review - SMSI-D</v>
      </c>
      <c r="V332" s="12" t="s">
        <v>126</v>
      </c>
      <c r="W332" s="12" t="s">
        <v>163</v>
      </c>
      <c r="X332" s="12" t="s">
        <v>164</v>
      </c>
      <c r="Y332" s="12" t="s">
        <v>1038</v>
      </c>
      <c r="AA332" s="14">
        <v>12094</v>
      </c>
      <c r="AB332" s="14" t="s">
        <v>509</v>
      </c>
      <c r="AC332" s="12" t="s">
        <v>116</v>
      </c>
      <c r="AD332" s="15" t="str">
        <f t="shared" si="12"/>
        <v>Humana Inc_CL - PRD</v>
      </c>
      <c r="AE332" s="12" t="s">
        <v>141</v>
      </c>
      <c r="AF332" s="12" t="s">
        <v>163</v>
      </c>
      <c r="AG332" s="12" t="s">
        <v>164</v>
      </c>
      <c r="AH332" s="12" t="s">
        <v>1038</v>
      </c>
      <c r="AJ332" s="14">
        <v>18058</v>
      </c>
      <c r="AK332" s="14" t="s">
        <v>625</v>
      </c>
    </row>
    <row r="333" spans="6:37">
      <c r="F333" s="45">
        <v>51243</v>
      </c>
      <c r="G333" s="12" t="s">
        <v>117</v>
      </c>
      <c r="R333" s="14">
        <v>18016</v>
      </c>
      <c r="S333" s="14" t="s">
        <v>615</v>
      </c>
      <c r="T333" s="12" t="s">
        <v>1018</v>
      </c>
      <c r="U333" s="15" t="str">
        <f t="shared" si="11"/>
        <v>Arch MI-Contract UW and Review - SMSI-E</v>
      </c>
      <c r="V333" s="12" t="s">
        <v>126</v>
      </c>
      <c r="W333" s="12" t="s">
        <v>163</v>
      </c>
      <c r="X333" s="12" t="s">
        <v>164</v>
      </c>
      <c r="Y333" s="12" t="s">
        <v>1038</v>
      </c>
      <c r="AA333" s="14">
        <v>12094</v>
      </c>
      <c r="AB333" s="14" t="s">
        <v>509</v>
      </c>
      <c r="AC333" s="12" t="s">
        <v>185</v>
      </c>
      <c r="AD333" s="15" t="str">
        <f t="shared" si="12"/>
        <v>Humana Inc_CL - TPS</v>
      </c>
      <c r="AE333" s="12" t="s">
        <v>141</v>
      </c>
      <c r="AF333" s="12" t="s">
        <v>163</v>
      </c>
      <c r="AG333" s="12" t="s">
        <v>164</v>
      </c>
      <c r="AH333" s="12" t="s">
        <v>1038</v>
      </c>
      <c r="AJ333" s="14">
        <v>18061</v>
      </c>
      <c r="AK333" s="14" t="s">
        <v>626</v>
      </c>
    </row>
    <row r="334" spans="6:37">
      <c r="F334" s="45">
        <v>51245</v>
      </c>
      <c r="G334" s="12" t="s">
        <v>117</v>
      </c>
      <c r="R334" s="14">
        <v>18016</v>
      </c>
      <c r="S334" s="14" t="s">
        <v>615</v>
      </c>
      <c r="T334" s="12" t="s">
        <v>145</v>
      </c>
      <c r="U334" s="15" t="str">
        <f t="shared" si="11"/>
        <v>Arch MI-Contract UW and Review - SUP</v>
      </c>
      <c r="V334" s="12" t="s">
        <v>126</v>
      </c>
      <c r="W334" s="12" t="s">
        <v>163</v>
      </c>
      <c r="X334" s="12" t="s">
        <v>164</v>
      </c>
      <c r="Y334" s="12" t="s">
        <v>1038</v>
      </c>
      <c r="AA334" s="14">
        <v>12095</v>
      </c>
      <c r="AB334" s="14" t="s">
        <v>513</v>
      </c>
      <c r="AC334" s="12" t="s">
        <v>116</v>
      </c>
      <c r="AD334" s="15" t="str">
        <f t="shared" si="12"/>
        <v>Humana Inc_DCAV - PRD</v>
      </c>
      <c r="AE334" s="12" t="s">
        <v>141</v>
      </c>
      <c r="AF334" s="12" t="s">
        <v>163</v>
      </c>
      <c r="AG334" s="12" t="s">
        <v>164</v>
      </c>
      <c r="AH334" s="12" t="s">
        <v>1038</v>
      </c>
      <c r="AJ334" s="14">
        <v>18065</v>
      </c>
      <c r="AK334" s="14" t="s">
        <v>628</v>
      </c>
    </row>
    <row r="335" spans="6:37">
      <c r="F335" s="45">
        <v>51247</v>
      </c>
      <c r="G335" s="12" t="s">
        <v>117</v>
      </c>
      <c r="R335" s="14">
        <v>18016</v>
      </c>
      <c r="S335" s="14" t="s">
        <v>615</v>
      </c>
      <c r="T335" s="12" t="s">
        <v>180</v>
      </c>
      <c r="U335" s="15" t="str">
        <f t="shared" si="11"/>
        <v>Arch MI-Contract UW and Review - TMG</v>
      </c>
      <c r="V335" s="12" t="s">
        <v>126</v>
      </c>
      <c r="W335" s="12" t="s">
        <v>163</v>
      </c>
      <c r="X335" s="12" t="s">
        <v>164</v>
      </c>
      <c r="Y335" s="12" t="s">
        <v>1038</v>
      </c>
      <c r="AA335" s="14">
        <v>12095</v>
      </c>
      <c r="AB335" s="14" t="s">
        <v>513</v>
      </c>
      <c r="AC335" s="12" t="s">
        <v>332</v>
      </c>
      <c r="AD335" s="15" t="str">
        <f t="shared" si="12"/>
        <v>Humana Inc_DCAV - RCF</v>
      </c>
      <c r="AE335" s="12" t="s">
        <v>141</v>
      </c>
      <c r="AF335" s="12" t="s">
        <v>163</v>
      </c>
      <c r="AG335" s="12" t="s">
        <v>164</v>
      </c>
      <c r="AH335" s="12" t="s">
        <v>1038</v>
      </c>
      <c r="AJ335" s="14">
        <v>18069</v>
      </c>
      <c r="AK335" s="14" t="s">
        <v>630</v>
      </c>
    </row>
    <row r="336" spans="6:37">
      <c r="F336" s="45">
        <v>51248</v>
      </c>
      <c r="G336" s="12" t="s">
        <v>117</v>
      </c>
      <c r="R336" s="14">
        <v>18016</v>
      </c>
      <c r="S336" s="14" t="s">
        <v>615</v>
      </c>
      <c r="T336" s="12" t="s">
        <v>185</v>
      </c>
      <c r="U336" s="15" t="str">
        <f t="shared" si="11"/>
        <v>Arch MI-Contract UW and Review - TPS</v>
      </c>
      <c r="V336" s="12" t="s">
        <v>126</v>
      </c>
      <c r="W336" s="12" t="s">
        <v>163</v>
      </c>
      <c r="X336" s="12" t="s">
        <v>164</v>
      </c>
      <c r="Y336" s="12" t="s">
        <v>1038</v>
      </c>
      <c r="AA336" s="14">
        <v>12095</v>
      </c>
      <c r="AB336" s="14" t="s">
        <v>513</v>
      </c>
      <c r="AC336" s="12" t="s">
        <v>145</v>
      </c>
      <c r="AD336" s="15" t="str">
        <f t="shared" si="12"/>
        <v>Humana Inc_DCAV - SUP</v>
      </c>
      <c r="AE336" s="12" t="s">
        <v>141</v>
      </c>
      <c r="AF336" s="12" t="s">
        <v>163</v>
      </c>
      <c r="AG336" s="12" t="s">
        <v>164</v>
      </c>
      <c r="AH336" s="12" t="s">
        <v>1038</v>
      </c>
      <c r="AJ336" s="14">
        <v>18070</v>
      </c>
      <c r="AK336" s="14" t="s">
        <v>631</v>
      </c>
    </row>
    <row r="337" spans="6:37">
      <c r="F337" s="45">
        <v>51249</v>
      </c>
      <c r="G337" s="12" t="s">
        <v>117</v>
      </c>
      <c r="R337" s="14">
        <v>10957</v>
      </c>
      <c r="S337" s="14" t="s">
        <v>491</v>
      </c>
      <c r="T337" s="12" t="s">
        <v>418</v>
      </c>
      <c r="U337" s="15" t="str">
        <f t="shared" si="11"/>
        <v>Arch Re - BO/TP/Underwriting S - QLC</v>
      </c>
      <c r="V337" s="12" t="s">
        <v>112</v>
      </c>
      <c r="W337" s="12" t="s">
        <v>113</v>
      </c>
      <c r="X337" s="12" t="s">
        <v>114</v>
      </c>
      <c r="Y337" s="12" t="s">
        <v>1038</v>
      </c>
      <c r="AA337" s="14">
        <v>12095</v>
      </c>
      <c r="AB337" s="14" t="s">
        <v>513</v>
      </c>
      <c r="AC337" s="12" t="s">
        <v>198</v>
      </c>
      <c r="AD337" s="15" t="str">
        <f t="shared" si="12"/>
        <v>Humana Inc_DCAV - TEC</v>
      </c>
      <c r="AE337" s="12" t="s">
        <v>141</v>
      </c>
      <c r="AF337" s="12" t="s">
        <v>163</v>
      </c>
      <c r="AG337" s="12" t="s">
        <v>164</v>
      </c>
      <c r="AH337" s="12" t="s">
        <v>1038</v>
      </c>
      <c r="AJ337" s="14">
        <v>18072</v>
      </c>
      <c r="AK337" s="14" t="s">
        <v>632</v>
      </c>
    </row>
    <row r="338" spans="6:37">
      <c r="F338" s="45">
        <v>51250</v>
      </c>
      <c r="G338" s="12" t="s">
        <v>117</v>
      </c>
      <c r="R338" s="14">
        <v>10957</v>
      </c>
      <c r="S338" s="14" t="s">
        <v>491</v>
      </c>
      <c r="T338" s="12" t="s">
        <v>111</v>
      </c>
      <c r="U338" s="15" t="str">
        <f t="shared" si="11"/>
        <v>Arch Re - BO/TP/Underwriting S - QLY</v>
      </c>
      <c r="V338" s="12" t="s">
        <v>112</v>
      </c>
      <c r="W338" s="12" t="s">
        <v>113</v>
      </c>
      <c r="X338" s="12" t="s">
        <v>114</v>
      </c>
      <c r="Y338" s="12" t="s">
        <v>1038</v>
      </c>
      <c r="AA338" s="14">
        <v>12095</v>
      </c>
      <c r="AB338" s="14" t="s">
        <v>513</v>
      </c>
      <c r="AC338" s="12" t="s">
        <v>185</v>
      </c>
      <c r="AD338" s="15" t="str">
        <f t="shared" si="12"/>
        <v>Humana Inc_DCAV - TPS</v>
      </c>
      <c r="AE338" s="12" t="s">
        <v>141</v>
      </c>
      <c r="AF338" s="12" t="s">
        <v>163</v>
      </c>
      <c r="AG338" s="12" t="s">
        <v>164</v>
      </c>
      <c r="AH338" s="12" t="s">
        <v>1038</v>
      </c>
      <c r="AJ338" s="14">
        <v>18073</v>
      </c>
      <c r="AK338" s="14" t="s">
        <v>633</v>
      </c>
    </row>
    <row r="339" spans="6:37">
      <c r="F339" s="45">
        <v>51251</v>
      </c>
      <c r="G339" s="12" t="s">
        <v>117</v>
      </c>
      <c r="R339" s="14">
        <v>10957</v>
      </c>
      <c r="S339" s="14" t="s">
        <v>491</v>
      </c>
      <c r="T339" s="12" t="s">
        <v>196</v>
      </c>
      <c r="U339" s="15" t="str">
        <f t="shared" si="11"/>
        <v>Arch Re - BO/TP/Underwriting S - SUT</v>
      </c>
      <c r="V339" s="12" t="s">
        <v>126</v>
      </c>
      <c r="W339" s="12" t="s">
        <v>163</v>
      </c>
      <c r="X339" s="12" t="s">
        <v>164</v>
      </c>
      <c r="Y339" s="12" t="s">
        <v>1038</v>
      </c>
      <c r="AA339" s="14">
        <v>12095</v>
      </c>
      <c r="AB339" s="14" t="s">
        <v>513</v>
      </c>
      <c r="AC339" s="12" t="s">
        <v>208</v>
      </c>
      <c r="AD339" s="15" t="str">
        <f t="shared" si="12"/>
        <v>Humana Inc_DCAV - TTR</v>
      </c>
      <c r="AE339" s="12" t="s">
        <v>118</v>
      </c>
      <c r="AF339" s="12" t="s">
        <v>204</v>
      </c>
      <c r="AG339" s="12" t="s">
        <v>205</v>
      </c>
      <c r="AH339" s="12" t="s">
        <v>1038</v>
      </c>
      <c r="AJ339" s="14">
        <v>18075</v>
      </c>
      <c r="AK339" s="14" t="s">
        <v>1062</v>
      </c>
    </row>
    <row r="340" spans="6:37">
      <c r="F340" s="45">
        <v>51252</v>
      </c>
      <c r="G340" s="12" t="s">
        <v>117</v>
      </c>
      <c r="R340" s="14">
        <v>10957</v>
      </c>
      <c r="S340" s="14" t="s">
        <v>491</v>
      </c>
      <c r="T340" s="12" t="s">
        <v>185</v>
      </c>
      <c r="U340" s="15" t="str">
        <f t="shared" si="11"/>
        <v>Arch Re - BO/TP/Underwriting S - TPS</v>
      </c>
      <c r="V340" s="12" t="s">
        <v>126</v>
      </c>
      <c r="W340" s="12" t="s">
        <v>163</v>
      </c>
      <c r="X340" s="12" t="s">
        <v>164</v>
      </c>
      <c r="Y340" s="12" t="s">
        <v>1038</v>
      </c>
      <c r="AA340" s="14">
        <v>12097</v>
      </c>
      <c r="AB340" s="14" t="s">
        <v>515</v>
      </c>
      <c r="AC340" s="12" t="s">
        <v>116</v>
      </c>
      <c r="AD340" s="15" t="str">
        <f t="shared" si="12"/>
        <v>Humana Inc_Recredentialing - PRD</v>
      </c>
      <c r="AE340" s="12" t="s">
        <v>141</v>
      </c>
      <c r="AF340" s="12" t="s">
        <v>163</v>
      </c>
      <c r="AG340" s="12" t="s">
        <v>164</v>
      </c>
      <c r="AH340" s="12" t="s">
        <v>1038</v>
      </c>
      <c r="AJ340" s="14">
        <v>18077</v>
      </c>
      <c r="AK340" s="14" t="s">
        <v>634</v>
      </c>
    </row>
    <row r="341" spans="6:37">
      <c r="F341" s="45">
        <v>51255</v>
      </c>
      <c r="G341" s="12" t="s">
        <v>117</v>
      </c>
      <c r="R341" s="14">
        <v>10949</v>
      </c>
      <c r="S341" s="14" t="s">
        <v>274</v>
      </c>
      <c r="T341" s="12" t="s">
        <v>145</v>
      </c>
      <c r="U341" s="15" t="str">
        <f t="shared" si="11"/>
        <v>Arch Re Offshore Tech JC - SUP</v>
      </c>
      <c r="V341" s="12" t="s">
        <v>117</v>
      </c>
      <c r="W341" s="12" t="s">
        <v>117</v>
      </c>
      <c r="X341" s="12" t="s">
        <v>117</v>
      </c>
      <c r="Y341" s="12" t="s">
        <v>1038</v>
      </c>
      <c r="AA341" s="14">
        <v>12097</v>
      </c>
      <c r="AB341" s="14" t="s">
        <v>515</v>
      </c>
      <c r="AC341" s="12" t="s">
        <v>111</v>
      </c>
      <c r="AD341" s="15" t="str">
        <f t="shared" si="12"/>
        <v>Humana Inc_Recredentialing - QLY</v>
      </c>
      <c r="AE341" s="12" t="s">
        <v>118</v>
      </c>
      <c r="AF341" s="12" t="s">
        <v>113</v>
      </c>
      <c r="AG341" s="12" t="s">
        <v>114</v>
      </c>
      <c r="AH341" s="12" t="s">
        <v>1038</v>
      </c>
      <c r="AJ341" s="14">
        <v>20460</v>
      </c>
      <c r="AK341" s="14" t="s">
        <v>637</v>
      </c>
    </row>
    <row r="342" spans="6:37">
      <c r="F342" s="45">
        <v>51256</v>
      </c>
      <c r="G342" s="12" t="s">
        <v>117</v>
      </c>
      <c r="R342" s="14">
        <v>10494</v>
      </c>
      <c r="S342" s="14" t="s">
        <v>248</v>
      </c>
      <c r="T342" s="12" t="s">
        <v>138</v>
      </c>
      <c r="U342" s="15" t="str">
        <f t="shared" si="11"/>
        <v>ARGO - Cash Journal Entries - BOS</v>
      </c>
      <c r="V342" s="12" t="s">
        <v>126</v>
      </c>
      <c r="W342" s="12" t="s">
        <v>163</v>
      </c>
      <c r="X342" s="12" t="s">
        <v>164</v>
      </c>
      <c r="Y342" s="12" t="s">
        <v>1038</v>
      </c>
      <c r="AA342" s="14">
        <v>12097</v>
      </c>
      <c r="AB342" s="14" t="s">
        <v>515</v>
      </c>
      <c r="AC342" s="12" t="s">
        <v>185</v>
      </c>
      <c r="AD342" s="15" t="str">
        <f t="shared" si="12"/>
        <v>Humana Inc_Recredentialing - TPS</v>
      </c>
      <c r="AE342" s="12" t="s">
        <v>141</v>
      </c>
      <c r="AF342" s="12" t="s">
        <v>163</v>
      </c>
      <c r="AG342" s="12" t="s">
        <v>164</v>
      </c>
      <c r="AH342" s="12" t="s">
        <v>1038</v>
      </c>
      <c r="AJ342" s="14">
        <v>20496</v>
      </c>
      <c r="AK342" s="14" t="s">
        <v>439</v>
      </c>
    </row>
    <row r="343" spans="6:37">
      <c r="F343" s="45">
        <v>51257</v>
      </c>
      <c r="G343" s="12" t="s">
        <v>117</v>
      </c>
      <c r="R343" s="14">
        <v>10494</v>
      </c>
      <c r="S343" s="14" t="s">
        <v>248</v>
      </c>
      <c r="T343" s="12" t="s">
        <v>180</v>
      </c>
      <c r="U343" s="15" t="str">
        <f t="shared" si="11"/>
        <v>ARGO - Cash Journal Entries - TMG</v>
      </c>
      <c r="V343" s="12" t="s">
        <v>126</v>
      </c>
      <c r="W343" s="12" t="s">
        <v>163</v>
      </c>
      <c r="X343" s="12" t="s">
        <v>164</v>
      </c>
      <c r="Y343" s="12" t="s">
        <v>1038</v>
      </c>
      <c r="AA343" s="14">
        <v>96726</v>
      </c>
      <c r="AB343" s="14" t="s">
        <v>658</v>
      </c>
      <c r="AC343" s="12" t="s">
        <v>121</v>
      </c>
      <c r="AD343" s="15" t="str">
        <f t="shared" si="12"/>
        <v>IDC Business Finance - F&amp;A</v>
      </c>
      <c r="AE343" s="12" t="s">
        <v>118</v>
      </c>
      <c r="AF343" s="12" t="s">
        <v>122</v>
      </c>
      <c r="AG343" s="12" t="s">
        <v>114</v>
      </c>
      <c r="AH343" s="12" t="s">
        <v>1038</v>
      </c>
      <c r="AJ343" s="14">
        <v>20510</v>
      </c>
      <c r="AK343" s="14" t="s">
        <v>638</v>
      </c>
    </row>
    <row r="344" spans="6:37">
      <c r="F344" s="45">
        <v>51258</v>
      </c>
      <c r="G344" s="12" t="s">
        <v>117</v>
      </c>
      <c r="R344" s="14">
        <v>10494</v>
      </c>
      <c r="S344" s="14" t="s">
        <v>248</v>
      </c>
      <c r="T344" s="12" t="s">
        <v>185</v>
      </c>
      <c r="U344" s="15" t="str">
        <f t="shared" si="11"/>
        <v>ARGO - Cash Journal Entries - TPS</v>
      </c>
      <c r="V344" s="12" t="s">
        <v>126</v>
      </c>
      <c r="W344" s="12" t="s">
        <v>163</v>
      </c>
      <c r="X344" s="12" t="s">
        <v>164</v>
      </c>
      <c r="Y344" s="12" t="s">
        <v>1038</v>
      </c>
      <c r="AA344" s="14">
        <v>96726</v>
      </c>
      <c r="AB344" s="14" t="s">
        <v>658</v>
      </c>
      <c r="AC344" s="12" t="s">
        <v>139</v>
      </c>
      <c r="AD344" s="15" t="str">
        <f t="shared" si="12"/>
        <v>IDC Business Finance - SMGT</v>
      </c>
      <c r="AE344" s="12" t="s">
        <v>118</v>
      </c>
      <c r="AF344" s="12" t="s">
        <v>122</v>
      </c>
      <c r="AG344" s="12" t="s">
        <v>114</v>
      </c>
      <c r="AH344" s="12" t="s">
        <v>1038</v>
      </c>
      <c r="AJ344" s="14">
        <v>20611</v>
      </c>
      <c r="AK344" s="14" t="s">
        <v>639</v>
      </c>
    </row>
    <row r="345" spans="6:37">
      <c r="F345" s="45">
        <v>51260</v>
      </c>
      <c r="G345" s="12" t="s">
        <v>117</v>
      </c>
      <c r="R345" s="14">
        <v>10664</v>
      </c>
      <c r="S345" s="14" t="s">
        <v>296</v>
      </c>
      <c r="T345" s="12" t="s">
        <v>161</v>
      </c>
      <c r="U345" s="15" t="str">
        <f t="shared" si="11"/>
        <v>Argo Rater VBA Excel Support - ECC</v>
      </c>
      <c r="V345" s="12" t="s">
        <v>126</v>
      </c>
      <c r="W345" s="12" t="s">
        <v>163</v>
      </c>
      <c r="X345" s="12" t="s">
        <v>164</v>
      </c>
      <c r="Y345" s="12" t="s">
        <v>1038</v>
      </c>
      <c r="AA345" s="14">
        <v>96726</v>
      </c>
      <c r="AB345" s="14" t="s">
        <v>658</v>
      </c>
      <c r="AC345" s="12" t="s">
        <v>145</v>
      </c>
      <c r="AD345" s="15" t="str">
        <f t="shared" si="12"/>
        <v>IDC Business Finance - SUP</v>
      </c>
      <c r="AE345" s="12" t="s">
        <v>118</v>
      </c>
      <c r="AF345" s="12" t="s">
        <v>122</v>
      </c>
      <c r="AG345" s="12" t="s">
        <v>114</v>
      </c>
      <c r="AH345" s="12" t="s">
        <v>1038</v>
      </c>
      <c r="AJ345" s="14">
        <v>20679</v>
      </c>
      <c r="AK345" s="14" t="s">
        <v>641</v>
      </c>
    </row>
    <row r="346" spans="6:37">
      <c r="F346" s="45">
        <v>51261</v>
      </c>
      <c r="G346" s="12" t="s">
        <v>117</v>
      </c>
      <c r="R346" s="14">
        <v>10664</v>
      </c>
      <c r="S346" s="14" t="s">
        <v>296</v>
      </c>
      <c r="T346" s="12" t="s">
        <v>185</v>
      </c>
      <c r="U346" s="15" t="str">
        <f t="shared" si="11"/>
        <v>Argo Rater VBA Excel Support - TPS</v>
      </c>
      <c r="V346" s="12" t="s">
        <v>126</v>
      </c>
      <c r="W346" s="12" t="s">
        <v>163</v>
      </c>
      <c r="X346" s="12" t="s">
        <v>164</v>
      </c>
      <c r="Y346" s="12" t="s">
        <v>1038</v>
      </c>
      <c r="AA346" s="14">
        <v>93045</v>
      </c>
      <c r="AB346" s="14" t="s">
        <v>662</v>
      </c>
      <c r="AC346" s="12" t="s">
        <v>139</v>
      </c>
      <c r="AD346" s="15" t="str">
        <f t="shared" si="12"/>
        <v>Industry Marketing - SMGT</v>
      </c>
      <c r="AE346" s="12" t="s">
        <v>118</v>
      </c>
      <c r="AF346" s="12" t="s">
        <v>257</v>
      </c>
      <c r="AG346" s="12" t="s">
        <v>114</v>
      </c>
      <c r="AH346" s="12" t="s">
        <v>1038</v>
      </c>
      <c r="AJ346" s="14">
        <v>20717</v>
      </c>
      <c r="AK346" s="14" t="s">
        <v>643</v>
      </c>
    </row>
    <row r="347" spans="6:37">
      <c r="F347" s="45">
        <v>51262</v>
      </c>
      <c r="G347" s="12" t="s">
        <v>117</v>
      </c>
      <c r="R347" s="14">
        <v>10108</v>
      </c>
      <c r="S347" s="14" t="s">
        <v>1045</v>
      </c>
      <c r="T347" s="12" t="s">
        <v>431</v>
      </c>
      <c r="U347" s="15" t="str">
        <f t="shared" si="11"/>
        <v>Argo Surety Claims Admin - AGA</v>
      </c>
      <c r="V347" s="12" t="s">
        <v>126</v>
      </c>
      <c r="W347" s="12" t="s">
        <v>163</v>
      </c>
      <c r="X347" s="12" t="s">
        <v>164</v>
      </c>
      <c r="Y347" s="12" t="s">
        <v>1038</v>
      </c>
      <c r="AA347" s="14">
        <v>93045</v>
      </c>
      <c r="AB347" s="14" t="s">
        <v>662</v>
      </c>
      <c r="AC347" s="12" t="s">
        <v>145</v>
      </c>
      <c r="AD347" s="15" t="str">
        <f t="shared" si="12"/>
        <v>Industry Marketing - SUP</v>
      </c>
      <c r="AE347" s="12" t="s">
        <v>118</v>
      </c>
      <c r="AF347" s="12" t="s">
        <v>257</v>
      </c>
      <c r="AG347" s="12" t="s">
        <v>114</v>
      </c>
      <c r="AH347" s="12" t="s">
        <v>1038</v>
      </c>
      <c r="AJ347" s="14">
        <v>20718</v>
      </c>
      <c r="AK347" s="14" t="s">
        <v>644</v>
      </c>
    </row>
    <row r="348" spans="6:37">
      <c r="F348" s="45">
        <v>51263</v>
      </c>
      <c r="G348" s="12" t="s">
        <v>117</v>
      </c>
      <c r="R348" s="14">
        <v>10937</v>
      </c>
      <c r="S348" s="14" t="s">
        <v>480</v>
      </c>
      <c r="T348" s="12" t="s">
        <v>185</v>
      </c>
      <c r="U348" s="15" t="str">
        <f t="shared" si="11"/>
        <v>Argo UK Actuaries - TPS</v>
      </c>
      <c r="V348" s="12" t="s">
        <v>126</v>
      </c>
      <c r="W348" s="12" t="s">
        <v>163</v>
      </c>
      <c r="X348" s="12" t="s">
        <v>164</v>
      </c>
      <c r="Y348" s="12" t="s">
        <v>1038</v>
      </c>
      <c r="AA348" s="14">
        <v>95501</v>
      </c>
      <c r="AB348" s="14" t="s">
        <v>665</v>
      </c>
      <c r="AC348" s="12" t="s">
        <v>415</v>
      </c>
      <c r="AD348" s="15" t="str">
        <f t="shared" si="12"/>
        <v>Infosec - GTI</v>
      </c>
      <c r="AE348" s="12" t="s">
        <v>118</v>
      </c>
      <c r="AF348" s="12" t="s">
        <v>263</v>
      </c>
      <c r="AG348" s="12" t="s">
        <v>264</v>
      </c>
      <c r="AH348" s="12" t="s">
        <v>1038</v>
      </c>
      <c r="AJ348" s="14">
        <v>21230</v>
      </c>
      <c r="AK348" s="14" t="s">
        <v>645</v>
      </c>
    </row>
    <row r="349" spans="6:37">
      <c r="F349" s="45">
        <v>51268</v>
      </c>
      <c r="G349" s="12" t="s">
        <v>117</v>
      </c>
      <c r="R349" s="14">
        <v>10929</v>
      </c>
      <c r="S349" s="14" t="s">
        <v>472</v>
      </c>
      <c r="T349" s="12" t="s">
        <v>133</v>
      </c>
      <c r="U349" s="15" t="str">
        <f t="shared" si="11"/>
        <v>Argo US – F&amp;A - AMG</v>
      </c>
      <c r="V349" s="12" t="s">
        <v>126</v>
      </c>
      <c r="W349" s="12" t="s">
        <v>163</v>
      </c>
      <c r="X349" s="12" t="s">
        <v>164</v>
      </c>
      <c r="Y349" s="12" t="s">
        <v>1038</v>
      </c>
      <c r="AA349" s="14">
        <v>95501</v>
      </c>
      <c r="AB349" s="14" t="s">
        <v>665</v>
      </c>
      <c r="AC349" s="12" t="s">
        <v>129</v>
      </c>
      <c r="AD349" s="15" t="str">
        <f t="shared" si="12"/>
        <v>Infosec - MGT</v>
      </c>
      <c r="AE349" s="12" t="s">
        <v>118</v>
      </c>
      <c r="AF349" s="12" t="s">
        <v>263</v>
      </c>
      <c r="AG349" s="12" t="s">
        <v>264</v>
      </c>
      <c r="AH349" s="12" t="s">
        <v>1038</v>
      </c>
      <c r="AJ349" s="14">
        <v>21492</v>
      </c>
      <c r="AK349" s="14" t="s">
        <v>646</v>
      </c>
    </row>
    <row r="350" spans="6:37">
      <c r="F350" s="45">
        <v>51270</v>
      </c>
      <c r="G350" s="12" t="s">
        <v>117</v>
      </c>
      <c r="R350" s="14">
        <v>10929</v>
      </c>
      <c r="S350" s="14" t="s">
        <v>472</v>
      </c>
      <c r="T350" s="12" t="s">
        <v>138</v>
      </c>
      <c r="U350" s="15" t="str">
        <f t="shared" si="11"/>
        <v>Argo US – F&amp;A - BOS</v>
      </c>
      <c r="V350" s="12" t="s">
        <v>126</v>
      </c>
      <c r="W350" s="12" t="s">
        <v>163</v>
      </c>
      <c r="X350" s="12" t="s">
        <v>164</v>
      </c>
      <c r="Y350" s="12" t="s">
        <v>1038</v>
      </c>
      <c r="AA350" s="14">
        <v>95501</v>
      </c>
      <c r="AB350" s="14" t="s">
        <v>665</v>
      </c>
      <c r="AC350" s="12" t="s">
        <v>177</v>
      </c>
      <c r="AD350" s="15" t="str">
        <f t="shared" si="12"/>
        <v>Infosec - OPS</v>
      </c>
      <c r="AE350" s="12" t="s">
        <v>118</v>
      </c>
      <c r="AF350" s="12" t="s">
        <v>263</v>
      </c>
      <c r="AG350" s="12" t="s">
        <v>264</v>
      </c>
      <c r="AH350" s="12" t="s">
        <v>1038</v>
      </c>
      <c r="AJ350" s="14">
        <v>23025</v>
      </c>
      <c r="AK350" s="14" t="s">
        <v>647</v>
      </c>
    </row>
    <row r="351" spans="6:37">
      <c r="F351" s="45">
        <v>51271</v>
      </c>
      <c r="G351" s="12" t="s">
        <v>117</v>
      </c>
      <c r="R351" s="14">
        <v>10929</v>
      </c>
      <c r="S351" s="14" t="s">
        <v>472</v>
      </c>
      <c r="T351" s="12" t="s">
        <v>306</v>
      </c>
      <c r="U351" s="15" t="str">
        <f t="shared" si="11"/>
        <v>Argo US – F&amp;A - FAO</v>
      </c>
      <c r="V351" s="12" t="s">
        <v>126</v>
      </c>
      <c r="W351" s="12" t="s">
        <v>163</v>
      </c>
      <c r="X351" s="12" t="s">
        <v>164</v>
      </c>
      <c r="Y351" s="12" t="s">
        <v>1038</v>
      </c>
      <c r="AA351" s="14">
        <v>95501</v>
      </c>
      <c r="AB351" s="14" t="s">
        <v>665</v>
      </c>
      <c r="AC351" s="12" t="s">
        <v>134</v>
      </c>
      <c r="AD351" s="15" t="str">
        <f t="shared" si="12"/>
        <v>Infosec - SEC</v>
      </c>
      <c r="AE351" s="12" t="s">
        <v>118</v>
      </c>
      <c r="AF351" s="12" t="s">
        <v>263</v>
      </c>
      <c r="AG351" s="12" t="s">
        <v>264</v>
      </c>
      <c r="AH351" s="12" t="s">
        <v>1038</v>
      </c>
      <c r="AJ351" s="14">
        <v>25308</v>
      </c>
      <c r="AK351" s="14" t="s">
        <v>648</v>
      </c>
    </row>
    <row r="352" spans="6:37">
      <c r="F352" s="45">
        <v>51275</v>
      </c>
      <c r="G352" s="12" t="s">
        <v>117</v>
      </c>
      <c r="R352" s="14">
        <v>10929</v>
      </c>
      <c r="S352" s="14" t="s">
        <v>472</v>
      </c>
      <c r="T352" s="12" t="s">
        <v>180</v>
      </c>
      <c r="U352" s="15" t="str">
        <f t="shared" si="11"/>
        <v>Argo US – F&amp;A - TMG</v>
      </c>
      <c r="V352" s="12" t="s">
        <v>126</v>
      </c>
      <c r="W352" s="12" t="s">
        <v>163</v>
      </c>
      <c r="X352" s="12" t="s">
        <v>164</v>
      </c>
      <c r="Y352" s="12" t="s">
        <v>1038</v>
      </c>
      <c r="AA352" s="14">
        <v>95501</v>
      </c>
      <c r="AB352" s="14" t="s">
        <v>665</v>
      </c>
      <c r="AC352" s="12" t="s">
        <v>145</v>
      </c>
      <c r="AD352" s="15" t="str">
        <f t="shared" si="12"/>
        <v>Infosec - SUP</v>
      </c>
      <c r="AE352" s="12" t="s">
        <v>118</v>
      </c>
      <c r="AF352" s="12" t="s">
        <v>263</v>
      </c>
      <c r="AG352" s="12" t="s">
        <v>264</v>
      </c>
      <c r="AH352" s="12" t="s">
        <v>1038</v>
      </c>
      <c r="AJ352" s="14">
        <v>25330</v>
      </c>
      <c r="AK352" s="14" t="s">
        <v>649</v>
      </c>
    </row>
    <row r="353" spans="6:37">
      <c r="F353" s="45">
        <v>51276</v>
      </c>
      <c r="G353" s="12" t="s">
        <v>117</v>
      </c>
      <c r="R353" s="14">
        <v>10929</v>
      </c>
      <c r="S353" s="14" t="s">
        <v>472</v>
      </c>
      <c r="T353" s="12" t="s">
        <v>185</v>
      </c>
      <c r="U353" s="15" t="str">
        <f t="shared" si="11"/>
        <v>Argo US – F&amp;A - TPS</v>
      </c>
      <c r="V353" s="12" t="s">
        <v>126</v>
      </c>
      <c r="W353" s="12" t="s">
        <v>163</v>
      </c>
      <c r="X353" s="12" t="s">
        <v>164</v>
      </c>
      <c r="Y353" s="12" t="s">
        <v>1038</v>
      </c>
      <c r="AA353" s="14">
        <v>89007</v>
      </c>
      <c r="AB353" s="14" t="s">
        <v>671</v>
      </c>
      <c r="AC353" s="12" t="s">
        <v>116</v>
      </c>
      <c r="AD353" s="15" t="str">
        <f t="shared" si="12"/>
        <v>Infra cloud transformation - PRD</v>
      </c>
      <c r="AE353" s="12" t="s">
        <v>117</v>
      </c>
      <c r="AF353" s="12" t="s">
        <v>117</v>
      </c>
      <c r="AG353" s="12" t="s">
        <v>117</v>
      </c>
      <c r="AH353" s="12" t="s">
        <v>1038</v>
      </c>
      <c r="AJ353" s="14">
        <v>25497</v>
      </c>
      <c r="AK353" s="14" t="s">
        <v>650</v>
      </c>
    </row>
    <row r="354" spans="6:37">
      <c r="F354" s="45">
        <v>51277</v>
      </c>
      <c r="G354" s="12" t="s">
        <v>117</v>
      </c>
      <c r="R354" s="14">
        <v>10931</v>
      </c>
      <c r="S354" s="14" t="s">
        <v>475</v>
      </c>
      <c r="T354" s="12" t="s">
        <v>431</v>
      </c>
      <c r="U354" s="15" t="str">
        <f t="shared" si="11"/>
        <v>Argo US - Insurance - AGA</v>
      </c>
      <c r="V354" s="12" t="s">
        <v>126</v>
      </c>
      <c r="W354" s="12" t="s">
        <v>163</v>
      </c>
      <c r="X354" s="12" t="s">
        <v>164</v>
      </c>
      <c r="Y354" s="12" t="s">
        <v>1038</v>
      </c>
      <c r="AA354" s="14">
        <v>96101</v>
      </c>
      <c r="AB354" s="14" t="s">
        <v>673</v>
      </c>
      <c r="AC354" s="12" t="s">
        <v>121</v>
      </c>
      <c r="AD354" s="15" t="str">
        <f t="shared" si="12"/>
        <v>Internal Audit - F&amp;A</v>
      </c>
      <c r="AE354" s="12" t="s">
        <v>118</v>
      </c>
      <c r="AF354" s="12" t="s">
        <v>673</v>
      </c>
      <c r="AG354" s="12" t="s">
        <v>114</v>
      </c>
      <c r="AH354" s="12" t="s">
        <v>1038</v>
      </c>
      <c r="AJ354" s="14">
        <v>25575</v>
      </c>
      <c r="AK354" s="14" t="s">
        <v>651</v>
      </c>
    </row>
    <row r="355" spans="6:37">
      <c r="F355" s="45">
        <v>51278</v>
      </c>
      <c r="G355" s="12" t="s">
        <v>117</v>
      </c>
      <c r="R355" s="14">
        <v>10931</v>
      </c>
      <c r="S355" s="14" t="s">
        <v>475</v>
      </c>
      <c r="T355" s="12" t="s">
        <v>719</v>
      </c>
      <c r="U355" s="15" t="str">
        <f t="shared" si="11"/>
        <v>Argo US - Insurance - AGB</v>
      </c>
      <c r="V355" s="12" t="s">
        <v>126</v>
      </c>
      <c r="W355" s="12" t="s">
        <v>163</v>
      </c>
      <c r="X355" s="12" t="s">
        <v>164</v>
      </c>
      <c r="Y355" s="12" t="s">
        <v>1038</v>
      </c>
      <c r="AA355" s="14">
        <v>96101</v>
      </c>
      <c r="AB355" s="14" t="s">
        <v>673</v>
      </c>
      <c r="AC355" s="12" t="s">
        <v>129</v>
      </c>
      <c r="AD355" s="15" t="str">
        <f t="shared" si="12"/>
        <v>Internal Audit - MGT</v>
      </c>
      <c r="AE355" s="12" t="s">
        <v>118</v>
      </c>
      <c r="AF355" s="12" t="s">
        <v>673</v>
      </c>
      <c r="AG355" s="12" t="s">
        <v>114</v>
      </c>
      <c r="AH355" s="12" t="s">
        <v>1038</v>
      </c>
      <c r="AJ355" s="14">
        <v>25608</v>
      </c>
      <c r="AK355" s="14" t="s">
        <v>652</v>
      </c>
    </row>
    <row r="356" spans="6:37">
      <c r="F356" s="45">
        <v>51279</v>
      </c>
      <c r="G356" s="12" t="s">
        <v>117</v>
      </c>
      <c r="R356" s="14">
        <v>10931</v>
      </c>
      <c r="S356" s="14" t="s">
        <v>475</v>
      </c>
      <c r="T356" s="12" t="s">
        <v>721</v>
      </c>
      <c r="U356" s="15" t="str">
        <f t="shared" si="11"/>
        <v>Argo US - Insurance - AGC</v>
      </c>
      <c r="V356" s="12" t="s">
        <v>126</v>
      </c>
      <c r="W356" s="12" t="s">
        <v>163</v>
      </c>
      <c r="X356" s="12" t="s">
        <v>164</v>
      </c>
      <c r="Y356" s="12" t="s">
        <v>1038</v>
      </c>
      <c r="AA356" s="14">
        <v>96101</v>
      </c>
      <c r="AB356" s="14" t="s">
        <v>673</v>
      </c>
      <c r="AC356" s="12" t="s">
        <v>145</v>
      </c>
      <c r="AD356" s="15" t="str">
        <f t="shared" si="12"/>
        <v>Internal Audit - SUP</v>
      </c>
      <c r="AE356" s="12" t="s">
        <v>118</v>
      </c>
      <c r="AF356" s="12" t="s">
        <v>673</v>
      </c>
      <c r="AG356" s="12" t="s">
        <v>114</v>
      </c>
      <c r="AH356" s="12" t="s">
        <v>1038</v>
      </c>
      <c r="AJ356" s="14">
        <v>27110</v>
      </c>
      <c r="AK356" s="14" t="s">
        <v>653</v>
      </c>
    </row>
    <row r="357" spans="6:37">
      <c r="F357" s="45">
        <v>51281</v>
      </c>
      <c r="G357" s="12" t="s">
        <v>117</v>
      </c>
      <c r="R357" s="14">
        <v>10931</v>
      </c>
      <c r="S357" s="14" t="s">
        <v>475</v>
      </c>
      <c r="T357" s="12" t="s">
        <v>492</v>
      </c>
      <c r="U357" s="15" t="str">
        <f t="shared" si="11"/>
        <v>Argo US - Insurance - AGD</v>
      </c>
      <c r="V357" s="12" t="s">
        <v>126</v>
      </c>
      <c r="W357" s="12" t="s">
        <v>163</v>
      </c>
      <c r="X357" s="12" t="s">
        <v>164</v>
      </c>
      <c r="Y357" s="12" t="s">
        <v>1038</v>
      </c>
      <c r="AA357" s="14">
        <v>96101</v>
      </c>
      <c r="AB357" s="14" t="s">
        <v>673</v>
      </c>
      <c r="AC357" s="12" t="s">
        <v>180</v>
      </c>
      <c r="AD357" s="15" t="str">
        <f t="shared" si="12"/>
        <v>Internal Audit - TMG</v>
      </c>
      <c r="AE357" s="12" t="s">
        <v>118</v>
      </c>
      <c r="AF357" s="12" t="s">
        <v>673</v>
      </c>
      <c r="AG357" s="12" t="s">
        <v>114</v>
      </c>
      <c r="AH357" s="12" t="s">
        <v>1038</v>
      </c>
      <c r="AJ357" s="14">
        <v>27150</v>
      </c>
      <c r="AK357" s="14" t="s">
        <v>654</v>
      </c>
    </row>
    <row r="358" spans="6:37">
      <c r="F358" s="45">
        <v>51282</v>
      </c>
      <c r="G358" s="12" t="s">
        <v>117</v>
      </c>
      <c r="R358" s="14">
        <v>10931</v>
      </c>
      <c r="S358" s="14" t="s">
        <v>475</v>
      </c>
      <c r="T358" s="12" t="s">
        <v>133</v>
      </c>
      <c r="U358" s="15" t="str">
        <f t="shared" si="11"/>
        <v>Argo US - Insurance - AMG</v>
      </c>
      <c r="V358" s="12" t="s">
        <v>126</v>
      </c>
      <c r="W358" s="12" t="s">
        <v>163</v>
      </c>
      <c r="X358" s="12" t="s">
        <v>164</v>
      </c>
      <c r="Y358" s="12" t="s">
        <v>1038</v>
      </c>
      <c r="AA358" s="14">
        <v>95105</v>
      </c>
      <c r="AB358" s="14" t="s">
        <v>678</v>
      </c>
      <c r="AC358" s="12" t="s">
        <v>415</v>
      </c>
      <c r="AD358" s="15" t="str">
        <f t="shared" si="12"/>
        <v>IT Build-out - GTI</v>
      </c>
      <c r="AE358" s="12" t="s">
        <v>118</v>
      </c>
      <c r="AF358" s="12" t="s">
        <v>263</v>
      </c>
      <c r="AG358" s="12" t="s">
        <v>264</v>
      </c>
      <c r="AH358" s="12" t="s">
        <v>1038</v>
      </c>
      <c r="AJ358" s="14">
        <v>28076</v>
      </c>
      <c r="AK358" s="14" t="s">
        <v>655</v>
      </c>
    </row>
    <row r="359" spans="6:37">
      <c r="F359" s="45">
        <v>51285</v>
      </c>
      <c r="G359" s="12" t="s">
        <v>117</v>
      </c>
      <c r="R359" s="14">
        <v>10931</v>
      </c>
      <c r="S359" s="14" t="s">
        <v>475</v>
      </c>
      <c r="T359" s="12" t="s">
        <v>144</v>
      </c>
      <c r="U359" s="15" t="str">
        <f t="shared" si="11"/>
        <v>Argo US - Insurance - CCOD</v>
      </c>
      <c r="V359" s="12" t="s">
        <v>126</v>
      </c>
      <c r="W359" s="12" t="s">
        <v>163</v>
      </c>
      <c r="X359" s="12" t="s">
        <v>164</v>
      </c>
      <c r="Y359" s="12" t="s">
        <v>1038</v>
      </c>
      <c r="AA359" s="14">
        <v>95105</v>
      </c>
      <c r="AB359" s="14" t="s">
        <v>678</v>
      </c>
      <c r="AC359" s="12" t="s">
        <v>145</v>
      </c>
      <c r="AD359" s="15" t="str">
        <f t="shared" si="12"/>
        <v>IT Build-out - SUP</v>
      </c>
      <c r="AE359" s="12" t="s">
        <v>118</v>
      </c>
      <c r="AF359" s="12" t="s">
        <v>263</v>
      </c>
      <c r="AG359" s="12" t="s">
        <v>264</v>
      </c>
      <c r="AH359" s="12" t="s">
        <v>1038</v>
      </c>
      <c r="AJ359" s="14">
        <v>28086</v>
      </c>
      <c r="AK359" s="14" t="s">
        <v>656</v>
      </c>
    </row>
    <row r="360" spans="6:37">
      <c r="F360" s="45">
        <v>51286</v>
      </c>
      <c r="G360" s="12" t="s">
        <v>117</v>
      </c>
      <c r="R360" s="14">
        <v>10931</v>
      </c>
      <c r="S360" s="14" t="s">
        <v>475</v>
      </c>
      <c r="T360" s="12" t="s">
        <v>150</v>
      </c>
      <c r="U360" s="15" t="str">
        <f t="shared" si="11"/>
        <v>Argo US - Insurance - CCS</v>
      </c>
      <c r="V360" s="12" t="s">
        <v>126</v>
      </c>
      <c r="W360" s="12" t="s">
        <v>163</v>
      </c>
      <c r="X360" s="12" t="s">
        <v>164</v>
      </c>
      <c r="Y360" s="12" t="s">
        <v>1038</v>
      </c>
      <c r="AA360" s="14">
        <v>95107</v>
      </c>
      <c r="AB360" s="14" t="s">
        <v>681</v>
      </c>
      <c r="AC360" s="12" t="s">
        <v>415</v>
      </c>
      <c r="AD360" s="15" t="str">
        <f t="shared" si="12"/>
        <v>IT Service Excellence - GTI</v>
      </c>
      <c r="AE360" s="12" t="s">
        <v>118</v>
      </c>
      <c r="AF360" s="12" t="s">
        <v>263</v>
      </c>
      <c r="AG360" s="12" t="s">
        <v>264</v>
      </c>
      <c r="AH360" s="12" t="s">
        <v>1038</v>
      </c>
      <c r="AJ360" s="14">
        <v>33002</v>
      </c>
      <c r="AK360" s="14" t="s">
        <v>272</v>
      </c>
    </row>
    <row r="361" spans="6:37">
      <c r="F361" s="45">
        <v>51288</v>
      </c>
      <c r="G361" s="12" t="s">
        <v>117</v>
      </c>
      <c r="R361" s="14">
        <v>10931</v>
      </c>
      <c r="S361" s="14" t="s">
        <v>475</v>
      </c>
      <c r="T361" s="12" t="s">
        <v>171</v>
      </c>
      <c r="U361" s="15" t="str">
        <f t="shared" si="11"/>
        <v>Argo US - Insurance - ETE</v>
      </c>
      <c r="V361" s="12" t="s">
        <v>126</v>
      </c>
      <c r="W361" s="12" t="s">
        <v>163</v>
      </c>
      <c r="X361" s="12" t="s">
        <v>164</v>
      </c>
      <c r="Y361" s="12" t="s">
        <v>1038</v>
      </c>
      <c r="AA361" s="14">
        <v>95107</v>
      </c>
      <c r="AB361" s="14" t="s">
        <v>681</v>
      </c>
      <c r="AC361" s="12" t="s">
        <v>129</v>
      </c>
      <c r="AD361" s="15" t="str">
        <f t="shared" si="12"/>
        <v>IT Service Excellence - MGT</v>
      </c>
      <c r="AE361" s="12" t="s">
        <v>118</v>
      </c>
      <c r="AF361" s="12" t="s">
        <v>263</v>
      </c>
      <c r="AG361" s="12" t="s">
        <v>264</v>
      </c>
      <c r="AH361" s="12" t="s">
        <v>1038</v>
      </c>
      <c r="AJ361" s="14">
        <v>33003</v>
      </c>
      <c r="AK361" s="14" t="s">
        <v>659</v>
      </c>
    </row>
    <row r="362" spans="6:37">
      <c r="F362" s="45">
        <v>51289</v>
      </c>
      <c r="G362" s="12" t="s">
        <v>117</v>
      </c>
      <c r="R362" s="14">
        <v>10931</v>
      </c>
      <c r="S362" s="14" t="s">
        <v>475</v>
      </c>
      <c r="T362" s="12" t="s">
        <v>129</v>
      </c>
      <c r="U362" s="15" t="str">
        <f t="shared" si="11"/>
        <v>Argo US - Insurance - MGT</v>
      </c>
      <c r="V362" s="12" t="s">
        <v>126</v>
      </c>
      <c r="W362" s="12" t="s">
        <v>163</v>
      </c>
      <c r="X362" s="12" t="s">
        <v>164</v>
      </c>
      <c r="Y362" s="12" t="s">
        <v>1038</v>
      </c>
      <c r="AA362" s="14">
        <v>95107</v>
      </c>
      <c r="AB362" s="14" t="s">
        <v>681</v>
      </c>
      <c r="AC362" s="12" t="s">
        <v>177</v>
      </c>
      <c r="AD362" s="15" t="str">
        <f t="shared" si="12"/>
        <v>IT Service Excellence - OPS</v>
      </c>
      <c r="AE362" s="12" t="s">
        <v>118</v>
      </c>
      <c r="AF362" s="12" t="s">
        <v>263</v>
      </c>
      <c r="AG362" s="12" t="s">
        <v>264</v>
      </c>
      <c r="AH362" s="12" t="s">
        <v>1038</v>
      </c>
      <c r="AJ362" s="14">
        <v>33011</v>
      </c>
      <c r="AK362" s="14" t="s">
        <v>660</v>
      </c>
    </row>
    <row r="363" spans="6:37">
      <c r="F363" s="45">
        <v>51290</v>
      </c>
      <c r="G363" s="12" t="s">
        <v>117</v>
      </c>
      <c r="R363" s="14">
        <v>10931</v>
      </c>
      <c r="S363" s="14" t="s">
        <v>475</v>
      </c>
      <c r="T363" s="12" t="s">
        <v>177</v>
      </c>
      <c r="U363" s="15" t="str">
        <f t="shared" si="11"/>
        <v>Argo US - Insurance - OPS</v>
      </c>
      <c r="V363" s="12" t="s">
        <v>126</v>
      </c>
      <c r="W363" s="12" t="s">
        <v>163</v>
      </c>
      <c r="X363" s="12" t="s">
        <v>164</v>
      </c>
      <c r="Y363" s="12" t="s">
        <v>1038</v>
      </c>
      <c r="AA363" s="14">
        <v>95107</v>
      </c>
      <c r="AB363" s="14" t="s">
        <v>681</v>
      </c>
      <c r="AC363" s="12" t="s">
        <v>134</v>
      </c>
      <c r="AD363" s="15" t="str">
        <f t="shared" si="12"/>
        <v>IT Service Excellence - SEC</v>
      </c>
      <c r="AE363" s="12" t="s">
        <v>118</v>
      </c>
      <c r="AF363" s="12" t="s">
        <v>263</v>
      </c>
      <c r="AG363" s="12" t="s">
        <v>264</v>
      </c>
      <c r="AH363" s="12" t="s">
        <v>1038</v>
      </c>
      <c r="AJ363" s="14">
        <v>33015</v>
      </c>
      <c r="AK363" s="14" t="s">
        <v>1060</v>
      </c>
    </row>
    <row r="364" spans="6:37">
      <c r="F364" s="45">
        <v>51291</v>
      </c>
      <c r="G364" s="12" t="s">
        <v>117</v>
      </c>
      <c r="R364" s="14">
        <v>10931</v>
      </c>
      <c r="S364" s="14" t="s">
        <v>475</v>
      </c>
      <c r="T364" s="12" t="s">
        <v>547</v>
      </c>
      <c r="U364" s="15" t="str">
        <f t="shared" si="11"/>
        <v>Argo US - Insurance - PHR</v>
      </c>
      <c r="V364" s="12" t="s">
        <v>126</v>
      </c>
      <c r="W364" s="12" t="s">
        <v>163</v>
      </c>
      <c r="X364" s="12" t="s">
        <v>164</v>
      </c>
      <c r="Y364" s="12" t="s">
        <v>1038</v>
      </c>
      <c r="AA364" s="14">
        <v>95107</v>
      </c>
      <c r="AB364" s="14" t="s">
        <v>681</v>
      </c>
      <c r="AC364" s="12" t="s">
        <v>139</v>
      </c>
      <c r="AD364" s="15" t="str">
        <f t="shared" si="12"/>
        <v>IT Service Excellence - SMGT</v>
      </c>
      <c r="AE364" s="12" t="s">
        <v>118</v>
      </c>
      <c r="AF364" s="12" t="s">
        <v>263</v>
      </c>
      <c r="AG364" s="12" t="s">
        <v>264</v>
      </c>
      <c r="AH364" s="12" t="s">
        <v>1038</v>
      </c>
      <c r="AJ364" s="14">
        <v>40053</v>
      </c>
      <c r="AK364" s="14" t="s">
        <v>661</v>
      </c>
    </row>
    <row r="365" spans="6:37">
      <c r="F365" s="45">
        <v>51292</v>
      </c>
      <c r="G365" s="12" t="s">
        <v>117</v>
      </c>
      <c r="R365" s="14">
        <v>10931</v>
      </c>
      <c r="S365" s="14" t="s">
        <v>475</v>
      </c>
      <c r="T365" s="12" t="s">
        <v>116</v>
      </c>
      <c r="U365" s="15" t="str">
        <f t="shared" si="11"/>
        <v>Argo US - Insurance - PRD</v>
      </c>
      <c r="V365" s="12" t="s">
        <v>126</v>
      </c>
      <c r="W365" s="12" t="s">
        <v>163</v>
      </c>
      <c r="X365" s="12" t="s">
        <v>164</v>
      </c>
      <c r="Y365" s="12" t="s">
        <v>1038</v>
      </c>
      <c r="AA365" s="14">
        <v>95107</v>
      </c>
      <c r="AB365" s="14" t="s">
        <v>681</v>
      </c>
      <c r="AC365" s="12" t="s">
        <v>145</v>
      </c>
      <c r="AD365" s="15" t="str">
        <f t="shared" si="12"/>
        <v>IT Service Excellence - SUP</v>
      </c>
      <c r="AE365" s="12" t="s">
        <v>118</v>
      </c>
      <c r="AF365" s="12" t="s">
        <v>263</v>
      </c>
      <c r="AG365" s="12" t="s">
        <v>264</v>
      </c>
      <c r="AH365" s="12" t="s">
        <v>1038</v>
      </c>
      <c r="AJ365" s="14">
        <v>40059</v>
      </c>
      <c r="AK365" s="14" t="s">
        <v>663</v>
      </c>
    </row>
    <row r="366" spans="6:37">
      <c r="F366" s="45">
        <v>51293</v>
      </c>
      <c r="G366" s="12" t="s">
        <v>117</v>
      </c>
      <c r="R366" s="14">
        <v>10931</v>
      </c>
      <c r="S366" s="14" t="s">
        <v>475</v>
      </c>
      <c r="T366" s="12" t="s">
        <v>111</v>
      </c>
      <c r="U366" s="15" t="str">
        <f t="shared" si="11"/>
        <v>Argo US - Insurance - QLY</v>
      </c>
      <c r="V366" s="12" t="s">
        <v>112</v>
      </c>
      <c r="W366" s="12" t="s">
        <v>113</v>
      </c>
      <c r="X366" s="12" t="s">
        <v>114</v>
      </c>
      <c r="Y366" s="12" t="s">
        <v>1038</v>
      </c>
      <c r="AA366" s="14">
        <v>95107</v>
      </c>
      <c r="AB366" s="14" t="s">
        <v>681</v>
      </c>
      <c r="AC366" s="12" t="s">
        <v>180</v>
      </c>
      <c r="AD366" s="15" t="str">
        <f t="shared" si="12"/>
        <v>IT Service Excellence - TMG</v>
      </c>
      <c r="AE366" s="12" t="s">
        <v>118</v>
      </c>
      <c r="AF366" s="12" t="s">
        <v>263</v>
      </c>
      <c r="AG366" s="12" t="s">
        <v>264</v>
      </c>
      <c r="AH366" s="12" t="s">
        <v>1038</v>
      </c>
      <c r="AJ366" s="14">
        <v>40061</v>
      </c>
      <c r="AK366" s="14" t="s">
        <v>664</v>
      </c>
    </row>
    <row r="367" spans="6:37">
      <c r="F367" s="45">
        <v>51294</v>
      </c>
      <c r="G367" s="12" t="s">
        <v>117</v>
      </c>
      <c r="R367" s="14">
        <v>10931</v>
      </c>
      <c r="S367" s="14" t="s">
        <v>475</v>
      </c>
      <c r="T367" s="12" t="s">
        <v>119</v>
      </c>
      <c r="U367" s="15" t="str">
        <f t="shared" si="11"/>
        <v>Argo US - Insurance - SQM</v>
      </c>
      <c r="V367" s="12" t="s">
        <v>112</v>
      </c>
      <c r="W367" s="12" t="s">
        <v>113</v>
      </c>
      <c r="X367" s="12" t="s">
        <v>114</v>
      </c>
      <c r="Y367" s="12" t="s">
        <v>1038</v>
      </c>
      <c r="AA367" s="14">
        <v>91402</v>
      </c>
      <c r="AB367" s="14" t="s">
        <v>687</v>
      </c>
      <c r="AC367" s="12" t="s">
        <v>688</v>
      </c>
      <c r="AD367" s="15" t="str">
        <f t="shared" si="12"/>
        <v>IT Services Cloud - Investment - GSi</v>
      </c>
      <c r="AE367" s="12" t="s">
        <v>117</v>
      </c>
      <c r="AF367" s="12" t="s">
        <v>117</v>
      </c>
      <c r="AG367" s="12" t="s">
        <v>117</v>
      </c>
      <c r="AH367" s="12" t="s">
        <v>1038</v>
      </c>
      <c r="AJ367" s="14">
        <v>40063</v>
      </c>
      <c r="AK367" s="14" t="s">
        <v>666</v>
      </c>
    </row>
    <row r="368" spans="6:37">
      <c r="F368" s="45">
        <v>51295</v>
      </c>
      <c r="G368" s="12" t="s">
        <v>117</v>
      </c>
      <c r="R368" s="14">
        <v>10931</v>
      </c>
      <c r="S368" s="14" t="s">
        <v>475</v>
      </c>
      <c r="T368" s="12" t="s">
        <v>196</v>
      </c>
      <c r="U368" s="15" t="str">
        <f t="shared" si="11"/>
        <v>Argo US - Insurance - SUT</v>
      </c>
      <c r="V368" s="12" t="s">
        <v>126</v>
      </c>
      <c r="W368" s="12" t="s">
        <v>163</v>
      </c>
      <c r="X368" s="12" t="s">
        <v>164</v>
      </c>
      <c r="Y368" s="12" t="s">
        <v>1038</v>
      </c>
      <c r="AA368" s="14">
        <v>91402</v>
      </c>
      <c r="AB368" s="14" t="s">
        <v>687</v>
      </c>
      <c r="AC368" s="12" t="s">
        <v>129</v>
      </c>
      <c r="AD368" s="15" t="str">
        <f t="shared" si="12"/>
        <v>IT Services Cloud - Investment - MGT</v>
      </c>
      <c r="AE368" s="12" t="s">
        <v>117</v>
      </c>
      <c r="AF368" s="12" t="s">
        <v>117</v>
      </c>
      <c r="AG368" s="12" t="s">
        <v>117</v>
      </c>
      <c r="AH368" s="12" t="s">
        <v>1038</v>
      </c>
      <c r="AJ368" s="14">
        <v>40065</v>
      </c>
      <c r="AK368" s="14" t="s">
        <v>667</v>
      </c>
    </row>
    <row r="369" spans="6:37">
      <c r="F369" s="45">
        <v>51298</v>
      </c>
      <c r="G369" s="12" t="s">
        <v>117</v>
      </c>
      <c r="R369" s="14">
        <v>10931</v>
      </c>
      <c r="S369" s="14" t="s">
        <v>475</v>
      </c>
      <c r="T369" s="12" t="s">
        <v>180</v>
      </c>
      <c r="U369" s="15" t="str">
        <f t="shared" si="11"/>
        <v>Argo US - Insurance - TMG</v>
      </c>
      <c r="V369" s="12" t="s">
        <v>126</v>
      </c>
      <c r="W369" s="12" t="s">
        <v>163</v>
      </c>
      <c r="X369" s="12" t="s">
        <v>164</v>
      </c>
      <c r="Y369" s="12" t="s">
        <v>1038</v>
      </c>
      <c r="AA369" s="14">
        <v>91402</v>
      </c>
      <c r="AB369" s="14" t="s">
        <v>687</v>
      </c>
      <c r="AC369" s="12" t="s">
        <v>145</v>
      </c>
      <c r="AD369" s="15" t="str">
        <f t="shared" si="12"/>
        <v>IT Services Cloud - Investment - SUP</v>
      </c>
      <c r="AE369" s="12" t="s">
        <v>117</v>
      </c>
      <c r="AF369" s="12" t="s">
        <v>117</v>
      </c>
      <c r="AG369" s="12" t="s">
        <v>117</v>
      </c>
      <c r="AH369" s="12" t="s">
        <v>1038</v>
      </c>
      <c r="AJ369" s="14">
        <v>40073</v>
      </c>
      <c r="AK369" s="14" t="s">
        <v>668</v>
      </c>
    </row>
    <row r="370" spans="6:37">
      <c r="F370" s="45">
        <v>51299</v>
      </c>
      <c r="G370" s="12" t="s">
        <v>117</v>
      </c>
      <c r="R370" s="14">
        <v>10931</v>
      </c>
      <c r="S370" s="14" t="s">
        <v>475</v>
      </c>
      <c r="T370" s="12" t="s">
        <v>185</v>
      </c>
      <c r="U370" s="15" t="str">
        <f t="shared" si="11"/>
        <v>Argo US - Insurance - TPS</v>
      </c>
      <c r="V370" s="12" t="s">
        <v>126</v>
      </c>
      <c r="W370" s="12" t="s">
        <v>163</v>
      </c>
      <c r="X370" s="12" t="s">
        <v>164</v>
      </c>
      <c r="Y370" s="12" t="s">
        <v>1038</v>
      </c>
      <c r="AA370" s="14">
        <v>95109</v>
      </c>
      <c r="AB370" s="14" t="s">
        <v>692</v>
      </c>
      <c r="AC370" s="12" t="s">
        <v>415</v>
      </c>
      <c r="AD370" s="15" t="str">
        <f t="shared" si="12"/>
        <v>IT-BRM - GTI</v>
      </c>
      <c r="AE370" s="12" t="s">
        <v>118</v>
      </c>
      <c r="AF370" s="12" t="s">
        <v>263</v>
      </c>
      <c r="AG370" s="12" t="s">
        <v>264</v>
      </c>
      <c r="AH370" s="12" t="s">
        <v>1038</v>
      </c>
      <c r="AJ370" s="14">
        <v>40096</v>
      </c>
      <c r="AK370" s="14" t="s">
        <v>669</v>
      </c>
    </row>
    <row r="371" spans="6:37">
      <c r="F371" s="45">
        <v>51300</v>
      </c>
      <c r="G371" s="12" t="s">
        <v>117</v>
      </c>
      <c r="R371" s="14">
        <v>10931</v>
      </c>
      <c r="S371" s="14" t="s">
        <v>475</v>
      </c>
      <c r="T371" s="12" t="s">
        <v>203</v>
      </c>
      <c r="U371" s="15" t="str">
        <f t="shared" si="11"/>
        <v>Argo US - Insurance - TRG</v>
      </c>
      <c r="V371" s="12" t="s">
        <v>112</v>
      </c>
      <c r="W371" s="12" t="s">
        <v>204</v>
      </c>
      <c r="X371" s="12" t="s">
        <v>205</v>
      </c>
      <c r="Y371" s="12" t="s">
        <v>1038</v>
      </c>
      <c r="AA371" s="14">
        <v>95109</v>
      </c>
      <c r="AB371" s="14" t="s">
        <v>692</v>
      </c>
      <c r="AC371" s="12" t="s">
        <v>129</v>
      </c>
      <c r="AD371" s="15" t="str">
        <f t="shared" si="12"/>
        <v>IT-BRM - MGT</v>
      </c>
      <c r="AE371" s="12" t="s">
        <v>118</v>
      </c>
      <c r="AF371" s="12" t="s">
        <v>263</v>
      </c>
      <c r="AG371" s="12" t="s">
        <v>264</v>
      </c>
      <c r="AH371" s="12" t="s">
        <v>1038</v>
      </c>
      <c r="AJ371" s="14">
        <v>40097</v>
      </c>
      <c r="AK371" s="14" t="s">
        <v>670</v>
      </c>
    </row>
    <row r="372" spans="6:37">
      <c r="F372" s="45">
        <v>51301</v>
      </c>
      <c r="G372" s="12" t="s">
        <v>117</v>
      </c>
      <c r="R372" s="14">
        <v>10931</v>
      </c>
      <c r="S372" s="14" t="s">
        <v>475</v>
      </c>
      <c r="T372" s="12" t="s">
        <v>208</v>
      </c>
      <c r="U372" s="15" t="str">
        <f t="shared" si="11"/>
        <v>Argo US - Insurance - TTR</v>
      </c>
      <c r="V372" s="12" t="s">
        <v>112</v>
      </c>
      <c r="W372" s="12" t="s">
        <v>204</v>
      </c>
      <c r="X372" s="12" t="s">
        <v>205</v>
      </c>
      <c r="Y372" s="12" t="s">
        <v>1038</v>
      </c>
      <c r="AA372" s="14">
        <v>95109</v>
      </c>
      <c r="AB372" s="14" t="s">
        <v>692</v>
      </c>
      <c r="AC372" s="12" t="s">
        <v>111</v>
      </c>
      <c r="AD372" s="15" t="str">
        <f t="shared" si="12"/>
        <v>IT-BRM - QLY</v>
      </c>
      <c r="AE372" s="12" t="s">
        <v>118</v>
      </c>
      <c r="AF372" s="12" t="s">
        <v>263</v>
      </c>
      <c r="AG372" s="12" t="s">
        <v>264</v>
      </c>
      <c r="AH372" s="12" t="s">
        <v>1038</v>
      </c>
      <c r="AJ372" s="14">
        <v>40102</v>
      </c>
      <c r="AK372" s="14" t="s">
        <v>672</v>
      </c>
    </row>
    <row r="373" spans="6:37">
      <c r="F373" s="45">
        <v>51306</v>
      </c>
      <c r="G373" s="12" t="s">
        <v>117</v>
      </c>
      <c r="R373" s="14">
        <v>12621</v>
      </c>
      <c r="S373" s="14" t="s">
        <v>276</v>
      </c>
      <c r="T373" s="12" t="s">
        <v>116</v>
      </c>
      <c r="U373" s="15" t="str">
        <f t="shared" si="11"/>
        <v>Arkansas - Report Development - PRD</v>
      </c>
      <c r="V373" s="12" t="s">
        <v>117</v>
      </c>
      <c r="W373" s="12" t="s">
        <v>117</v>
      </c>
      <c r="X373" s="12" t="s">
        <v>117</v>
      </c>
      <c r="Y373" s="12" t="s">
        <v>1038</v>
      </c>
      <c r="AA373" s="14">
        <v>95109</v>
      </c>
      <c r="AB373" s="14" t="s">
        <v>692</v>
      </c>
      <c r="AC373" s="12" t="s">
        <v>145</v>
      </c>
      <c r="AD373" s="15" t="str">
        <f t="shared" si="12"/>
        <v>IT-BRM - SUP</v>
      </c>
      <c r="AE373" s="12" t="s">
        <v>118</v>
      </c>
      <c r="AF373" s="12" t="s">
        <v>263</v>
      </c>
      <c r="AG373" s="12" t="s">
        <v>264</v>
      </c>
      <c r="AH373" s="12" t="s">
        <v>1038</v>
      </c>
      <c r="AJ373" s="14">
        <v>40134</v>
      </c>
      <c r="AK373" s="14" t="s">
        <v>674</v>
      </c>
    </row>
    <row r="374" spans="6:37">
      <c r="F374" s="45">
        <v>51311</v>
      </c>
      <c r="G374" s="12" t="s">
        <v>117</v>
      </c>
      <c r="R374" s="14">
        <v>51595</v>
      </c>
      <c r="S374" s="14" t="s">
        <v>1063</v>
      </c>
      <c r="T374" s="12" t="s">
        <v>116</v>
      </c>
      <c r="U374" s="15" t="str">
        <f t="shared" si="11"/>
        <v>Astec Automate Mundane - PRD</v>
      </c>
      <c r="V374" s="12" t="s">
        <v>104</v>
      </c>
      <c r="W374" s="12" t="s">
        <v>117</v>
      </c>
      <c r="X374" s="12" t="s">
        <v>117</v>
      </c>
      <c r="Y374" s="12" t="s">
        <v>1038</v>
      </c>
      <c r="AA374" s="14">
        <v>91030</v>
      </c>
      <c r="AB374" s="14" t="s">
        <v>696</v>
      </c>
      <c r="AC374" s="12" t="s">
        <v>116</v>
      </c>
      <c r="AD374" s="15" t="str">
        <f t="shared" si="12"/>
        <v>IT-BU Overhead - PRD</v>
      </c>
      <c r="AE374" s="12" t="s">
        <v>117</v>
      </c>
      <c r="AF374" s="12" t="s">
        <v>117</v>
      </c>
      <c r="AG374" s="12" t="s">
        <v>117</v>
      </c>
      <c r="AH374" s="12" t="s">
        <v>1038</v>
      </c>
      <c r="AJ374" s="14">
        <v>40138</v>
      </c>
      <c r="AK374" s="14" t="s">
        <v>675</v>
      </c>
    </row>
    <row r="375" spans="6:37">
      <c r="F375" s="45">
        <v>51312</v>
      </c>
      <c r="G375" s="12" t="s">
        <v>117</v>
      </c>
      <c r="R375" s="14">
        <v>51063</v>
      </c>
      <c r="S375" s="14" t="s">
        <v>695</v>
      </c>
      <c r="T375" s="12" t="s">
        <v>116</v>
      </c>
      <c r="U375" s="15" t="str">
        <f t="shared" si="11"/>
        <v>ASTEC-2208-2508-QE-OracleSaaS - PRD</v>
      </c>
      <c r="V375" s="12" t="s">
        <v>117</v>
      </c>
      <c r="W375" s="12" t="s">
        <v>117</v>
      </c>
      <c r="X375" s="12" t="s">
        <v>117</v>
      </c>
      <c r="Y375" s="12" t="s">
        <v>1038</v>
      </c>
      <c r="AA375" s="14">
        <v>91030</v>
      </c>
      <c r="AB375" s="14" t="s">
        <v>696</v>
      </c>
      <c r="AC375" s="12" t="s">
        <v>145</v>
      </c>
      <c r="AD375" s="15" t="str">
        <f t="shared" si="12"/>
        <v>IT-BU Overhead - SUP</v>
      </c>
      <c r="AE375" s="12" t="s">
        <v>117</v>
      </c>
      <c r="AF375" s="12" t="s">
        <v>117</v>
      </c>
      <c r="AG375" s="12" t="s">
        <v>117</v>
      </c>
      <c r="AH375" s="12" t="s">
        <v>1038</v>
      </c>
      <c r="AJ375" s="14">
        <v>40145</v>
      </c>
      <c r="AK375" s="14" t="s">
        <v>676</v>
      </c>
    </row>
    <row r="376" spans="6:37">
      <c r="F376" s="45">
        <v>51314</v>
      </c>
      <c r="G376" s="12" t="s">
        <v>117</v>
      </c>
      <c r="R376" s="14">
        <v>51423</v>
      </c>
      <c r="S376" s="14" t="s">
        <v>783</v>
      </c>
      <c r="T376" s="12" t="s">
        <v>116</v>
      </c>
      <c r="U376" s="15" t="str">
        <f t="shared" si="11"/>
        <v>ASTEC-2301-2302-Product-Routin - PRD</v>
      </c>
      <c r="V376" s="12" t="s">
        <v>117</v>
      </c>
      <c r="W376" s="12" t="s">
        <v>117</v>
      </c>
      <c r="X376" s="12" t="s">
        <v>117</v>
      </c>
      <c r="Y376" s="12" t="s">
        <v>1038</v>
      </c>
      <c r="AA376" s="14">
        <v>12474</v>
      </c>
      <c r="AB376" s="14" t="s">
        <v>562</v>
      </c>
      <c r="AC376" s="12" t="s">
        <v>116</v>
      </c>
      <c r="AD376" s="15" t="str">
        <f t="shared" si="12"/>
        <v>Jauhar - RCM Services - PRD</v>
      </c>
      <c r="AE376" s="12" t="s">
        <v>154</v>
      </c>
      <c r="AF376" s="12" t="s">
        <v>163</v>
      </c>
      <c r="AG376" s="12" t="s">
        <v>164</v>
      </c>
      <c r="AH376" s="12" t="s">
        <v>1038</v>
      </c>
      <c r="AJ376" s="14">
        <v>40170</v>
      </c>
      <c r="AK376" s="14" t="s">
        <v>677</v>
      </c>
    </row>
    <row r="377" spans="6:37">
      <c r="F377" s="45">
        <v>51315</v>
      </c>
      <c r="G377" s="12" t="s">
        <v>117</v>
      </c>
      <c r="R377" s="14">
        <v>51069</v>
      </c>
      <c r="S377" s="14" t="s">
        <v>1064</v>
      </c>
      <c r="T377" s="12" t="s">
        <v>116</v>
      </c>
      <c r="U377" s="15" t="str">
        <f t="shared" si="11"/>
        <v>ASTEC23052605AutomateOracl - PRD</v>
      </c>
      <c r="V377" s="12" t="s">
        <v>117</v>
      </c>
      <c r="W377" s="12" t="s">
        <v>117</v>
      </c>
      <c r="X377" s="12" t="s">
        <v>117</v>
      </c>
      <c r="Y377" s="12" t="s">
        <v>1038</v>
      </c>
      <c r="AA377" s="14">
        <v>12474</v>
      </c>
      <c r="AB377" s="14" t="s">
        <v>562</v>
      </c>
      <c r="AC377" s="12" t="s">
        <v>332</v>
      </c>
      <c r="AD377" s="15" t="str">
        <f t="shared" si="12"/>
        <v>Jauhar - RCM Services - RCF</v>
      </c>
      <c r="AE377" s="12" t="s">
        <v>154</v>
      </c>
      <c r="AF377" s="12" t="s">
        <v>163</v>
      </c>
      <c r="AG377" s="12" t="s">
        <v>164</v>
      </c>
      <c r="AH377" s="12" t="s">
        <v>1038</v>
      </c>
      <c r="AJ377" s="14">
        <v>40184</v>
      </c>
      <c r="AK377" s="14" t="s">
        <v>679</v>
      </c>
    </row>
    <row r="378" spans="6:37">
      <c r="F378" s="45">
        <v>51316</v>
      </c>
      <c r="G378" s="12" t="s">
        <v>117</v>
      </c>
      <c r="R378" s="14">
        <v>10121</v>
      </c>
      <c r="S378" s="14" t="s">
        <v>1049</v>
      </c>
      <c r="T378" s="12" t="s">
        <v>185</v>
      </c>
      <c r="U378" s="15" t="str">
        <f t="shared" si="11"/>
        <v>AT T-AP Vendor Data Cleansing - TPS</v>
      </c>
      <c r="V378" s="12" t="s">
        <v>126</v>
      </c>
      <c r="W378" s="12" t="s">
        <v>163</v>
      </c>
      <c r="X378" s="12" t="s">
        <v>164</v>
      </c>
      <c r="Y378" s="12" t="s">
        <v>1038</v>
      </c>
      <c r="AA378" s="14">
        <v>12474</v>
      </c>
      <c r="AB378" s="14" t="s">
        <v>562</v>
      </c>
      <c r="AC378" s="12" t="s">
        <v>185</v>
      </c>
      <c r="AD378" s="15" t="str">
        <f t="shared" si="12"/>
        <v>Jauhar - RCM Services - TPS</v>
      </c>
      <c r="AE378" s="12" t="s">
        <v>154</v>
      </c>
      <c r="AF378" s="12" t="s">
        <v>163</v>
      </c>
      <c r="AG378" s="12" t="s">
        <v>164</v>
      </c>
      <c r="AH378" s="12" t="s">
        <v>1038</v>
      </c>
      <c r="AJ378" s="14">
        <v>40203</v>
      </c>
      <c r="AK378" s="14" t="s">
        <v>680</v>
      </c>
    </row>
    <row r="379" spans="6:37">
      <c r="F379" s="45">
        <v>51320</v>
      </c>
      <c r="G379" s="12" t="s">
        <v>117</v>
      </c>
      <c r="R379" s="14">
        <v>10760</v>
      </c>
      <c r="S379" s="14" t="s">
        <v>364</v>
      </c>
      <c r="T379" s="12" t="s">
        <v>133</v>
      </c>
      <c r="U379" s="15" t="str">
        <f t="shared" si="11"/>
        <v>AT&amp;T Broadband Chat - Cochin - AMG</v>
      </c>
      <c r="V379" s="12" t="s">
        <v>126</v>
      </c>
      <c r="W379" s="12" t="s">
        <v>360</v>
      </c>
      <c r="X379" s="12" t="s">
        <v>361</v>
      </c>
      <c r="Y379" s="12" t="s">
        <v>1038</v>
      </c>
      <c r="AA379" s="14">
        <v>12359</v>
      </c>
      <c r="AB379" s="14" t="s">
        <v>535</v>
      </c>
      <c r="AC379" s="12" t="s">
        <v>230</v>
      </c>
      <c r="AD379" s="15" t="str">
        <f t="shared" si="12"/>
        <v>Jefferson University-ED Coding - PRSP</v>
      </c>
      <c r="AE379" s="12" t="s">
        <v>159</v>
      </c>
      <c r="AF379" s="12" t="s">
        <v>237</v>
      </c>
      <c r="AG379" s="12" t="s">
        <v>238</v>
      </c>
      <c r="AH379" s="12" t="s">
        <v>1038</v>
      </c>
      <c r="AJ379" s="14">
        <v>40208</v>
      </c>
      <c r="AK379" s="14" t="s">
        <v>682</v>
      </c>
    </row>
    <row r="380" spans="6:37">
      <c r="F380" s="45">
        <v>51322</v>
      </c>
      <c r="G380" s="12" t="s">
        <v>117</v>
      </c>
      <c r="R380" s="14">
        <v>10760</v>
      </c>
      <c r="S380" s="14" t="s">
        <v>364</v>
      </c>
      <c r="T380" s="12" t="s">
        <v>398</v>
      </c>
      <c r="U380" s="15" t="str">
        <f t="shared" si="11"/>
        <v>AT&amp;T Broadband Chat - Cochin - CBK</v>
      </c>
      <c r="V380" s="12" t="s">
        <v>126</v>
      </c>
      <c r="W380" s="12" t="s">
        <v>360</v>
      </c>
      <c r="X380" s="12" t="s">
        <v>361</v>
      </c>
      <c r="Y380" s="12" t="s">
        <v>1038</v>
      </c>
      <c r="AA380" s="14">
        <v>12359</v>
      </c>
      <c r="AB380" s="14" t="s">
        <v>535</v>
      </c>
      <c r="AC380" s="12" t="s">
        <v>145</v>
      </c>
      <c r="AD380" s="15" t="str">
        <f t="shared" si="12"/>
        <v>Jefferson University-ED Coding - SUP</v>
      </c>
      <c r="AE380" s="12" t="s">
        <v>159</v>
      </c>
      <c r="AF380" s="12" t="s">
        <v>237</v>
      </c>
      <c r="AG380" s="12" t="s">
        <v>238</v>
      </c>
      <c r="AH380" s="12" t="s">
        <v>1038</v>
      </c>
      <c r="AJ380" s="14">
        <v>40224</v>
      </c>
      <c r="AK380" s="14" t="s">
        <v>683</v>
      </c>
    </row>
    <row r="381" spans="6:37">
      <c r="F381" s="45">
        <v>51323</v>
      </c>
      <c r="G381" s="12" t="s">
        <v>117</v>
      </c>
      <c r="R381" s="14">
        <v>10760</v>
      </c>
      <c r="S381" s="14" t="s">
        <v>364</v>
      </c>
      <c r="T381" s="12" t="s">
        <v>908</v>
      </c>
      <c r="U381" s="15" t="str">
        <f t="shared" si="11"/>
        <v>AT&amp;T Broadband Chat - Cochin - DTANLY</v>
      </c>
      <c r="V381" s="12" t="s">
        <v>126</v>
      </c>
      <c r="W381" s="12" t="s">
        <v>360</v>
      </c>
      <c r="X381" s="12" t="s">
        <v>361</v>
      </c>
      <c r="Y381" s="12" t="s">
        <v>1038</v>
      </c>
      <c r="AA381" s="14">
        <v>12359</v>
      </c>
      <c r="AB381" s="14" t="s">
        <v>535</v>
      </c>
      <c r="AC381" s="12" t="s">
        <v>180</v>
      </c>
      <c r="AD381" s="15" t="str">
        <f t="shared" si="12"/>
        <v>Jefferson University-ED Coding - TMG</v>
      </c>
      <c r="AE381" s="12" t="s">
        <v>159</v>
      </c>
      <c r="AF381" s="12" t="s">
        <v>237</v>
      </c>
      <c r="AG381" s="12" t="s">
        <v>238</v>
      </c>
      <c r="AH381" s="12" t="s">
        <v>1038</v>
      </c>
      <c r="AJ381" s="14">
        <v>40225</v>
      </c>
      <c r="AK381" s="14" t="s">
        <v>684</v>
      </c>
    </row>
    <row r="382" spans="6:37">
      <c r="F382" s="45">
        <v>51324</v>
      </c>
      <c r="G382" s="12" t="s">
        <v>117</v>
      </c>
      <c r="R382" s="14">
        <v>10760</v>
      </c>
      <c r="S382" s="14" t="s">
        <v>364</v>
      </c>
      <c r="T382" s="12" t="s">
        <v>171</v>
      </c>
      <c r="U382" s="15" t="str">
        <f t="shared" si="11"/>
        <v>AT&amp;T Broadband Chat - Cochin - ETE</v>
      </c>
      <c r="V382" s="12" t="s">
        <v>126</v>
      </c>
      <c r="W382" s="12" t="s">
        <v>360</v>
      </c>
      <c r="X382" s="12" t="s">
        <v>361</v>
      </c>
      <c r="Y382" s="12" t="s">
        <v>1038</v>
      </c>
      <c r="AA382" s="14">
        <v>12359</v>
      </c>
      <c r="AB382" s="14" t="s">
        <v>535</v>
      </c>
      <c r="AC382" s="12" t="s">
        <v>185</v>
      </c>
      <c r="AD382" s="15" t="str">
        <f t="shared" si="12"/>
        <v>Jefferson University-ED Coding - TPS</v>
      </c>
      <c r="AE382" s="12" t="s">
        <v>159</v>
      </c>
      <c r="AF382" s="12" t="s">
        <v>237</v>
      </c>
      <c r="AG382" s="12" t="s">
        <v>238</v>
      </c>
      <c r="AH382" s="12" t="s">
        <v>1038</v>
      </c>
      <c r="AJ382" s="14">
        <v>40251</v>
      </c>
      <c r="AK382" s="14" t="s">
        <v>201</v>
      </c>
    </row>
    <row r="383" spans="6:37">
      <c r="F383" s="45">
        <v>51325</v>
      </c>
      <c r="G383" s="12" t="s">
        <v>117</v>
      </c>
      <c r="R383" s="14">
        <v>10760</v>
      </c>
      <c r="S383" s="14" t="s">
        <v>364</v>
      </c>
      <c r="T383" s="12" t="s">
        <v>116</v>
      </c>
      <c r="U383" s="15" t="str">
        <f t="shared" si="11"/>
        <v>AT&amp;T Broadband Chat - Cochin - PRD</v>
      </c>
      <c r="V383" s="12" t="s">
        <v>126</v>
      </c>
      <c r="W383" s="12" t="s">
        <v>360</v>
      </c>
      <c r="X383" s="12" t="s">
        <v>361</v>
      </c>
      <c r="Y383" s="12" t="s">
        <v>1038</v>
      </c>
      <c r="AA383" s="14">
        <v>21230</v>
      </c>
      <c r="AB383" s="14" t="s">
        <v>645</v>
      </c>
      <c r="AC383" s="12" t="s">
        <v>185</v>
      </c>
      <c r="AD383" s="15" t="str">
        <f t="shared" si="12"/>
        <v>LAC RCM - TPS</v>
      </c>
      <c r="AE383" s="12" t="s">
        <v>148</v>
      </c>
      <c r="AF383" s="12" t="s">
        <v>163</v>
      </c>
      <c r="AG383" s="12" t="s">
        <v>164</v>
      </c>
      <c r="AH383" s="12" t="s">
        <v>1038</v>
      </c>
      <c r="AJ383" s="14">
        <v>51001</v>
      </c>
      <c r="AK383" s="14" t="s">
        <v>685</v>
      </c>
    </row>
    <row r="384" spans="6:37">
      <c r="F384" s="45">
        <v>51326</v>
      </c>
      <c r="G384" s="12" t="s">
        <v>117</v>
      </c>
      <c r="R384" s="14">
        <v>10760</v>
      </c>
      <c r="S384" s="14" t="s">
        <v>364</v>
      </c>
      <c r="T384" s="12" t="s">
        <v>111</v>
      </c>
      <c r="U384" s="15" t="str">
        <f t="shared" si="11"/>
        <v>AT&amp;T Broadband Chat - Cochin - QLY</v>
      </c>
      <c r="V384" s="12" t="s">
        <v>112</v>
      </c>
      <c r="W384" s="12" t="s">
        <v>113</v>
      </c>
      <c r="X384" s="12" t="s">
        <v>114</v>
      </c>
      <c r="Y384" s="12" t="s">
        <v>1038</v>
      </c>
      <c r="AA384" s="14">
        <v>96200</v>
      </c>
      <c r="AB384" s="14" t="s">
        <v>707</v>
      </c>
      <c r="AC384" s="12" t="s">
        <v>133</v>
      </c>
      <c r="AD384" s="15" t="str">
        <f t="shared" si="12"/>
        <v>Legal/ secretarial - AMG</v>
      </c>
      <c r="AE384" s="12" t="s">
        <v>118</v>
      </c>
      <c r="AF384" s="12" t="s">
        <v>708</v>
      </c>
      <c r="AG384" s="12" t="s">
        <v>114</v>
      </c>
      <c r="AH384" s="12" t="s">
        <v>1038</v>
      </c>
      <c r="AJ384" s="14">
        <v>51003</v>
      </c>
      <c r="AK384" s="14" t="s">
        <v>115</v>
      </c>
    </row>
    <row r="385" spans="6:37">
      <c r="F385" s="45">
        <v>51327</v>
      </c>
      <c r="G385" s="12" t="s">
        <v>117</v>
      </c>
      <c r="R385" s="14">
        <v>10760</v>
      </c>
      <c r="S385" s="14" t="s">
        <v>364</v>
      </c>
      <c r="T385" s="12" t="s">
        <v>172</v>
      </c>
      <c r="U385" s="15" t="str">
        <f t="shared" si="11"/>
        <v>AT&amp;T Broadband Chat - Cochin - SME</v>
      </c>
      <c r="V385" s="12" t="s">
        <v>126</v>
      </c>
      <c r="W385" s="12" t="s">
        <v>360</v>
      </c>
      <c r="X385" s="12" t="s">
        <v>361</v>
      </c>
      <c r="Y385" s="12" t="s">
        <v>1038</v>
      </c>
      <c r="AA385" s="14">
        <v>96200</v>
      </c>
      <c r="AB385" s="14" t="s">
        <v>707</v>
      </c>
      <c r="AC385" s="12" t="s">
        <v>121</v>
      </c>
      <c r="AD385" s="15" t="str">
        <f t="shared" si="12"/>
        <v>Legal/ secretarial - F&amp;A</v>
      </c>
      <c r="AE385" s="12" t="s">
        <v>118</v>
      </c>
      <c r="AF385" s="12" t="s">
        <v>708</v>
      </c>
      <c r="AG385" s="12" t="s">
        <v>114</v>
      </c>
      <c r="AH385" s="12" t="s">
        <v>1038</v>
      </c>
      <c r="AJ385" s="14">
        <v>51004</v>
      </c>
      <c r="AK385" s="14" t="s">
        <v>686</v>
      </c>
    </row>
    <row r="386" spans="6:37">
      <c r="F386" s="45">
        <v>51328</v>
      </c>
      <c r="G386" s="12" t="s">
        <v>117</v>
      </c>
      <c r="R386" s="14">
        <v>10760</v>
      </c>
      <c r="S386" s="14" t="s">
        <v>364</v>
      </c>
      <c r="T386" s="12" t="s">
        <v>119</v>
      </c>
      <c r="U386" s="15" t="str">
        <f t="shared" si="11"/>
        <v>AT&amp;T Broadband Chat - Cochin - SQM</v>
      </c>
      <c r="V386" s="12" t="s">
        <v>112</v>
      </c>
      <c r="W386" s="12" t="s">
        <v>113</v>
      </c>
      <c r="X386" s="12" t="s">
        <v>114</v>
      </c>
      <c r="Y386" s="12" t="s">
        <v>1038</v>
      </c>
      <c r="AA386" s="14">
        <v>96200</v>
      </c>
      <c r="AB386" s="14" t="s">
        <v>707</v>
      </c>
      <c r="AC386" s="12" t="s">
        <v>129</v>
      </c>
      <c r="AD386" s="15" t="str">
        <f t="shared" si="12"/>
        <v>Legal/ secretarial - MGT</v>
      </c>
      <c r="AE386" s="12" t="s">
        <v>118</v>
      </c>
      <c r="AF386" s="12" t="s">
        <v>708</v>
      </c>
      <c r="AG386" s="12" t="s">
        <v>114</v>
      </c>
      <c r="AH386" s="12" t="s">
        <v>1038</v>
      </c>
      <c r="AJ386" s="14">
        <v>51008</v>
      </c>
      <c r="AK386" s="14" t="s">
        <v>689</v>
      </c>
    </row>
    <row r="387" spans="6:37">
      <c r="F387" s="45">
        <v>51329</v>
      </c>
      <c r="G387" s="12" t="s">
        <v>117</v>
      </c>
      <c r="R387" s="14">
        <v>10760</v>
      </c>
      <c r="S387" s="14" t="s">
        <v>364</v>
      </c>
      <c r="T387" s="12" t="s">
        <v>145</v>
      </c>
      <c r="U387" s="15" t="str">
        <f t="shared" ref="U387:U450" si="13">S387&amp;" - "&amp;T387</f>
        <v>AT&amp;T Broadband Chat - Cochin - SUP</v>
      </c>
      <c r="V387" s="12" t="s">
        <v>126</v>
      </c>
      <c r="W387" s="12" t="s">
        <v>360</v>
      </c>
      <c r="X387" s="12" t="s">
        <v>361</v>
      </c>
      <c r="Y387" s="12" t="s">
        <v>1038</v>
      </c>
      <c r="AA387" s="14">
        <v>96200</v>
      </c>
      <c r="AB387" s="14" t="s">
        <v>707</v>
      </c>
      <c r="AC387" s="12" t="s">
        <v>145</v>
      </c>
      <c r="AD387" s="15" t="str">
        <f t="shared" ref="AD387:AD450" si="14">AB387&amp;" - "&amp;AC387</f>
        <v>Legal/ secretarial - SUP</v>
      </c>
      <c r="AE387" s="12" t="s">
        <v>118</v>
      </c>
      <c r="AF387" s="12" t="s">
        <v>708</v>
      </c>
      <c r="AG387" s="12" t="s">
        <v>114</v>
      </c>
      <c r="AH387" s="12" t="s">
        <v>1038</v>
      </c>
      <c r="AJ387" s="14">
        <v>51009</v>
      </c>
      <c r="AK387" s="14" t="s">
        <v>1039</v>
      </c>
    </row>
    <row r="388" spans="6:37">
      <c r="F388" s="45">
        <v>51330</v>
      </c>
      <c r="G388" s="12" t="s">
        <v>117</v>
      </c>
      <c r="R388" s="14">
        <v>10760</v>
      </c>
      <c r="S388" s="14" t="s">
        <v>364</v>
      </c>
      <c r="T388" s="12" t="s">
        <v>180</v>
      </c>
      <c r="U388" s="15" t="str">
        <f t="shared" si="13"/>
        <v>AT&amp;T Broadband Chat - Cochin - TMG</v>
      </c>
      <c r="V388" s="12" t="s">
        <v>126</v>
      </c>
      <c r="W388" s="12" t="s">
        <v>360</v>
      </c>
      <c r="X388" s="12" t="s">
        <v>361</v>
      </c>
      <c r="Y388" s="12" t="s">
        <v>1038</v>
      </c>
      <c r="AA388" s="14">
        <v>92103</v>
      </c>
      <c r="AB388" s="14" t="s">
        <v>713</v>
      </c>
      <c r="AC388" s="12" t="s">
        <v>145</v>
      </c>
      <c r="AD388" s="15" t="str">
        <f t="shared" si="14"/>
        <v>Logistics &amp;Transportation - GM - SUP</v>
      </c>
      <c r="AE388" s="12" t="s">
        <v>118</v>
      </c>
      <c r="AF388" s="12" t="s">
        <v>518</v>
      </c>
      <c r="AG388" s="12" t="s">
        <v>350</v>
      </c>
      <c r="AH388" s="12" t="s">
        <v>1038</v>
      </c>
      <c r="AJ388" s="14">
        <v>51026</v>
      </c>
      <c r="AK388" s="14" t="s">
        <v>1065</v>
      </c>
    </row>
    <row r="389" spans="6:37">
      <c r="F389" s="45">
        <v>51332</v>
      </c>
      <c r="G389" s="12" t="s">
        <v>117</v>
      </c>
      <c r="R389" s="14">
        <v>10760</v>
      </c>
      <c r="S389" s="14" t="s">
        <v>364</v>
      </c>
      <c r="T389" s="12" t="s">
        <v>203</v>
      </c>
      <c r="U389" s="15" t="str">
        <f t="shared" si="13"/>
        <v>AT&amp;T Broadband Chat - Cochin - TRG</v>
      </c>
      <c r="V389" s="12" t="s">
        <v>112</v>
      </c>
      <c r="W389" s="12" t="s">
        <v>204</v>
      </c>
      <c r="X389" s="12" t="s">
        <v>205</v>
      </c>
      <c r="Y389" s="12" t="s">
        <v>1038</v>
      </c>
      <c r="AA389" s="14">
        <v>92203</v>
      </c>
      <c r="AB389" s="14" t="s">
        <v>715</v>
      </c>
      <c r="AC389" s="12" t="s">
        <v>129</v>
      </c>
      <c r="AD389" s="15" t="str">
        <f t="shared" si="14"/>
        <v>LOGISTICS &amp;TRANSPORTATION -SGA - MGT</v>
      </c>
      <c r="AE389" s="12" t="s">
        <v>118</v>
      </c>
      <c r="AF389" s="12" t="s">
        <v>518</v>
      </c>
      <c r="AG389" s="12" t="s">
        <v>350</v>
      </c>
      <c r="AH389" s="12" t="s">
        <v>1038</v>
      </c>
      <c r="AJ389" s="14">
        <v>51041</v>
      </c>
      <c r="AK389" s="14" t="s">
        <v>690</v>
      </c>
    </row>
    <row r="390" spans="6:37">
      <c r="F390" s="45">
        <v>51333</v>
      </c>
      <c r="G390" s="12" t="s">
        <v>117</v>
      </c>
      <c r="R390" s="14">
        <v>10760</v>
      </c>
      <c r="S390" s="14" t="s">
        <v>364</v>
      </c>
      <c r="T390" s="12" t="s">
        <v>208</v>
      </c>
      <c r="U390" s="15" t="str">
        <f t="shared" si="13"/>
        <v>AT&amp;T Broadband Chat - Cochin - TTR</v>
      </c>
      <c r="V390" s="12" t="s">
        <v>112</v>
      </c>
      <c r="W390" s="12" t="s">
        <v>204</v>
      </c>
      <c r="X390" s="12" t="s">
        <v>205</v>
      </c>
      <c r="Y390" s="12" t="s">
        <v>1038</v>
      </c>
      <c r="AA390" s="14">
        <v>92203</v>
      </c>
      <c r="AB390" s="14" t="s">
        <v>715</v>
      </c>
      <c r="AC390" s="12" t="s">
        <v>145</v>
      </c>
      <c r="AD390" s="15" t="str">
        <f t="shared" si="14"/>
        <v>LOGISTICS &amp;TRANSPORTATION -SGA - SUP</v>
      </c>
      <c r="AE390" s="12" t="s">
        <v>118</v>
      </c>
      <c r="AF390" s="12" t="s">
        <v>518</v>
      </c>
      <c r="AG390" s="12" t="s">
        <v>350</v>
      </c>
      <c r="AH390" s="12" t="s">
        <v>1038</v>
      </c>
      <c r="AJ390" s="14">
        <v>51047</v>
      </c>
      <c r="AK390" s="14" t="s">
        <v>691</v>
      </c>
    </row>
    <row r="391" spans="6:37">
      <c r="F391" s="45">
        <v>51334</v>
      </c>
      <c r="G391" s="12" t="s">
        <v>117</v>
      </c>
      <c r="R391" s="14">
        <v>10524</v>
      </c>
      <c r="S391" s="14" t="s">
        <v>269</v>
      </c>
      <c r="T391" s="12" t="s">
        <v>171</v>
      </c>
      <c r="U391" s="15" t="str">
        <f t="shared" si="13"/>
        <v>AT&amp;T DDAC - Airoli - ETE</v>
      </c>
      <c r="V391" s="12" t="s">
        <v>126</v>
      </c>
      <c r="W391" s="12" t="s">
        <v>163</v>
      </c>
      <c r="X391" s="12" t="s">
        <v>164</v>
      </c>
      <c r="Y391" s="12" t="s">
        <v>1038</v>
      </c>
      <c r="AA391" s="35">
        <v>10120</v>
      </c>
      <c r="AB391" s="32" t="s">
        <v>1048</v>
      </c>
      <c r="AC391" s="12" t="s">
        <v>145</v>
      </c>
      <c r="AD391" s="15" t="str">
        <f t="shared" si="14"/>
        <v>LSC GBS  Robility - SUP</v>
      </c>
      <c r="AE391" s="12" t="s">
        <v>118</v>
      </c>
      <c r="AF391" s="12" t="s">
        <v>117</v>
      </c>
      <c r="AG391" s="12" t="s">
        <v>117</v>
      </c>
      <c r="AH391" s="12" t="s">
        <v>1038</v>
      </c>
      <c r="AJ391" s="14">
        <v>51055</v>
      </c>
      <c r="AK391" s="14" t="s">
        <v>693</v>
      </c>
    </row>
    <row r="392" spans="6:37">
      <c r="F392" s="45">
        <v>51339</v>
      </c>
      <c r="G392" s="12" t="s">
        <v>117</v>
      </c>
      <c r="R392" s="14">
        <v>10524</v>
      </c>
      <c r="S392" s="14" t="s">
        <v>269</v>
      </c>
      <c r="T392" s="12" t="s">
        <v>145</v>
      </c>
      <c r="U392" s="15" t="str">
        <f t="shared" si="13"/>
        <v>AT&amp;T DDAC - Airoli - SUP</v>
      </c>
      <c r="V392" s="12" t="s">
        <v>126</v>
      </c>
      <c r="W392" s="12" t="s">
        <v>163</v>
      </c>
      <c r="X392" s="12" t="s">
        <v>164</v>
      </c>
      <c r="Y392" s="12" t="s">
        <v>1038</v>
      </c>
      <c r="AA392" s="14">
        <v>12499</v>
      </c>
      <c r="AB392" s="14" t="s">
        <v>566</v>
      </c>
      <c r="AC392" s="12" t="s">
        <v>145</v>
      </c>
      <c r="AD392" s="15" t="str">
        <f t="shared" si="14"/>
        <v>Maimonides - Coding - SUP</v>
      </c>
      <c r="AE392" s="12" t="s">
        <v>159</v>
      </c>
      <c r="AF392" s="12" t="s">
        <v>237</v>
      </c>
      <c r="AG392" s="12" t="s">
        <v>238</v>
      </c>
      <c r="AH392" s="12" t="s">
        <v>1038</v>
      </c>
      <c r="AJ392" s="14">
        <v>51056</v>
      </c>
      <c r="AK392" s="14" t="s">
        <v>221</v>
      </c>
    </row>
    <row r="393" spans="6:37">
      <c r="F393" s="45">
        <v>51340</v>
      </c>
      <c r="G393" s="12" t="s">
        <v>117</v>
      </c>
      <c r="R393" s="14">
        <v>10524</v>
      </c>
      <c r="S393" s="14" t="s">
        <v>269</v>
      </c>
      <c r="T393" s="12" t="s">
        <v>180</v>
      </c>
      <c r="U393" s="15" t="str">
        <f t="shared" si="13"/>
        <v>AT&amp;T DDAC - Airoli - TMG</v>
      </c>
      <c r="V393" s="12" t="s">
        <v>126</v>
      </c>
      <c r="W393" s="12" t="s">
        <v>163</v>
      </c>
      <c r="X393" s="12" t="s">
        <v>164</v>
      </c>
      <c r="Y393" s="12" t="s">
        <v>1038</v>
      </c>
      <c r="AA393" s="14">
        <v>12499</v>
      </c>
      <c r="AB393" s="14" t="s">
        <v>566</v>
      </c>
      <c r="AC393" s="12" t="s">
        <v>185</v>
      </c>
      <c r="AD393" s="15" t="str">
        <f t="shared" si="14"/>
        <v>Maimonides - Coding - TPS</v>
      </c>
      <c r="AE393" s="12" t="s">
        <v>159</v>
      </c>
      <c r="AF393" s="12" t="s">
        <v>237</v>
      </c>
      <c r="AG393" s="12" t="s">
        <v>238</v>
      </c>
      <c r="AH393" s="12" t="s">
        <v>1038</v>
      </c>
      <c r="AJ393" s="14">
        <v>51058</v>
      </c>
      <c r="AK393" s="14" t="s">
        <v>694</v>
      </c>
    </row>
    <row r="394" spans="6:37">
      <c r="F394" s="45">
        <v>51341</v>
      </c>
      <c r="G394" s="12" t="s">
        <v>117</v>
      </c>
      <c r="R394" s="14">
        <v>10524</v>
      </c>
      <c r="S394" s="14" t="s">
        <v>269</v>
      </c>
      <c r="T394" s="12" t="s">
        <v>185</v>
      </c>
      <c r="U394" s="15" t="str">
        <f t="shared" si="13"/>
        <v>AT&amp;T DDAC - Airoli - TPS</v>
      </c>
      <c r="V394" s="12" t="s">
        <v>126</v>
      </c>
      <c r="W394" s="12" t="s">
        <v>163</v>
      </c>
      <c r="X394" s="12" t="s">
        <v>164</v>
      </c>
      <c r="Y394" s="12" t="s">
        <v>1038</v>
      </c>
      <c r="AA394" s="14">
        <v>12307</v>
      </c>
      <c r="AB394" s="14" t="s">
        <v>528</v>
      </c>
      <c r="AC394" s="12" t="s">
        <v>177</v>
      </c>
      <c r="AD394" s="15" t="str">
        <f t="shared" si="14"/>
        <v>Mercy Health - Credit Balance - OPS</v>
      </c>
      <c r="AE394" s="12" t="s">
        <v>154</v>
      </c>
      <c r="AF394" s="12" t="s">
        <v>163</v>
      </c>
      <c r="AG394" s="12" t="s">
        <v>164</v>
      </c>
      <c r="AH394" s="12" t="s">
        <v>1038</v>
      </c>
      <c r="AJ394" s="14">
        <v>51063</v>
      </c>
      <c r="AK394" s="14" t="s">
        <v>695</v>
      </c>
    </row>
    <row r="395" spans="6:37">
      <c r="F395" s="45">
        <v>51342</v>
      </c>
      <c r="G395" s="12" t="s">
        <v>117</v>
      </c>
      <c r="R395" s="14">
        <v>10705</v>
      </c>
      <c r="S395" s="14" t="s">
        <v>320</v>
      </c>
      <c r="T395" s="12" t="s">
        <v>133</v>
      </c>
      <c r="U395" s="15" t="str">
        <f t="shared" si="13"/>
        <v>AT&amp;T TV Service Chat - Chennai - AMG</v>
      </c>
      <c r="V395" s="12" t="s">
        <v>126</v>
      </c>
      <c r="W395" s="12" t="s">
        <v>178</v>
      </c>
      <c r="X395" s="12" t="s">
        <v>128</v>
      </c>
      <c r="Y395" s="12" t="s">
        <v>1038</v>
      </c>
      <c r="AA395" s="14">
        <v>12307</v>
      </c>
      <c r="AB395" s="14" t="s">
        <v>528</v>
      </c>
      <c r="AC395" s="12" t="s">
        <v>185</v>
      </c>
      <c r="AD395" s="15" t="str">
        <f t="shared" si="14"/>
        <v>Mercy Health - Credit Balance - TPS</v>
      </c>
      <c r="AE395" s="12" t="s">
        <v>154</v>
      </c>
      <c r="AF395" s="12" t="s">
        <v>163</v>
      </c>
      <c r="AG395" s="12" t="s">
        <v>164</v>
      </c>
      <c r="AH395" s="12" t="s">
        <v>1038</v>
      </c>
      <c r="AJ395" s="14">
        <v>51069</v>
      </c>
      <c r="AK395" s="14" t="s">
        <v>1064</v>
      </c>
    </row>
    <row r="396" spans="6:37">
      <c r="F396" s="45">
        <v>51344</v>
      </c>
      <c r="G396" s="12" t="s">
        <v>117</v>
      </c>
      <c r="R396" s="14">
        <v>10705</v>
      </c>
      <c r="S396" s="14" t="s">
        <v>320</v>
      </c>
      <c r="T396" s="12" t="s">
        <v>150</v>
      </c>
      <c r="U396" s="15" t="str">
        <f t="shared" si="13"/>
        <v>AT&amp;T TV Service Chat - Chennai - CCS</v>
      </c>
      <c r="V396" s="12" t="s">
        <v>126</v>
      </c>
      <c r="W396" s="12" t="s">
        <v>178</v>
      </c>
      <c r="X396" s="12" t="s">
        <v>128</v>
      </c>
      <c r="Y396" s="12" t="s">
        <v>1038</v>
      </c>
      <c r="AA396" s="14">
        <v>12305</v>
      </c>
      <c r="AB396" s="14" t="s">
        <v>526</v>
      </c>
      <c r="AC396" s="12" t="s">
        <v>133</v>
      </c>
      <c r="AD396" s="15" t="str">
        <f t="shared" si="14"/>
        <v>Mercy Health - PH AR - AMG</v>
      </c>
      <c r="AE396" s="12" t="s">
        <v>148</v>
      </c>
      <c r="AF396" s="12" t="s">
        <v>163</v>
      </c>
      <c r="AG396" s="12" t="s">
        <v>164</v>
      </c>
      <c r="AH396" s="12" t="s">
        <v>1038</v>
      </c>
      <c r="AJ396" s="14">
        <v>51070</v>
      </c>
      <c r="AK396" s="14" t="s">
        <v>1066</v>
      </c>
    </row>
    <row r="397" spans="6:37">
      <c r="F397" s="45">
        <v>51346</v>
      </c>
      <c r="G397" s="12" t="s">
        <v>117</v>
      </c>
      <c r="R397" s="14">
        <v>10705</v>
      </c>
      <c r="S397" s="14" t="s">
        <v>320</v>
      </c>
      <c r="T397" s="12" t="s">
        <v>171</v>
      </c>
      <c r="U397" s="15" t="str">
        <f t="shared" si="13"/>
        <v>AT&amp;T TV Service Chat - Chennai - ETE</v>
      </c>
      <c r="V397" s="12" t="s">
        <v>126</v>
      </c>
      <c r="W397" s="12" t="s">
        <v>178</v>
      </c>
      <c r="X397" s="12" t="s">
        <v>128</v>
      </c>
      <c r="Y397" s="12" t="s">
        <v>1038</v>
      </c>
      <c r="AA397" s="14">
        <v>12305</v>
      </c>
      <c r="AB397" s="14" t="s">
        <v>526</v>
      </c>
      <c r="AC397" s="12" t="s">
        <v>177</v>
      </c>
      <c r="AD397" s="15" t="str">
        <f t="shared" si="14"/>
        <v>Mercy Health - PH AR - OPS</v>
      </c>
      <c r="AE397" s="12" t="s">
        <v>148</v>
      </c>
      <c r="AF397" s="12" t="s">
        <v>163</v>
      </c>
      <c r="AG397" s="12" t="s">
        <v>164</v>
      </c>
      <c r="AH397" s="12" t="s">
        <v>1038</v>
      </c>
      <c r="AJ397" s="14">
        <v>51071</v>
      </c>
      <c r="AK397" s="14" t="s">
        <v>1067</v>
      </c>
    </row>
    <row r="398" spans="6:37">
      <c r="F398" s="45">
        <v>51349</v>
      </c>
      <c r="G398" s="12" t="s">
        <v>117</v>
      </c>
      <c r="R398" s="14">
        <v>10705</v>
      </c>
      <c r="S398" s="14" t="s">
        <v>320</v>
      </c>
      <c r="T398" s="12" t="s">
        <v>230</v>
      </c>
      <c r="U398" s="15" t="str">
        <f t="shared" si="13"/>
        <v>AT&amp;T TV Service Chat - Chennai - PRSP</v>
      </c>
      <c r="V398" s="12" t="s">
        <v>126</v>
      </c>
      <c r="W398" s="12" t="s">
        <v>178</v>
      </c>
      <c r="X398" s="12" t="s">
        <v>128</v>
      </c>
      <c r="Y398" s="12" t="s">
        <v>1038</v>
      </c>
      <c r="AA398" s="14">
        <v>12305</v>
      </c>
      <c r="AB398" s="14" t="s">
        <v>526</v>
      </c>
      <c r="AC398" s="12" t="s">
        <v>116</v>
      </c>
      <c r="AD398" s="15" t="str">
        <f t="shared" si="14"/>
        <v>Mercy Health - PH AR - PRD</v>
      </c>
      <c r="AE398" s="12" t="s">
        <v>148</v>
      </c>
      <c r="AF398" s="12" t="s">
        <v>163</v>
      </c>
      <c r="AG398" s="12" t="s">
        <v>164</v>
      </c>
      <c r="AH398" s="12" t="s">
        <v>1038</v>
      </c>
      <c r="AJ398" s="14">
        <v>51072</v>
      </c>
      <c r="AK398" s="14" t="s">
        <v>697</v>
      </c>
    </row>
    <row r="399" spans="6:37">
      <c r="F399" s="45">
        <v>51350</v>
      </c>
      <c r="G399" s="12" t="s">
        <v>117</v>
      </c>
      <c r="R399" s="14">
        <v>10705</v>
      </c>
      <c r="S399" s="14" t="s">
        <v>320</v>
      </c>
      <c r="T399" s="12" t="s">
        <v>172</v>
      </c>
      <c r="U399" s="15" t="str">
        <f t="shared" si="13"/>
        <v>AT&amp;T TV Service Chat - Chennai - SME</v>
      </c>
      <c r="V399" s="12" t="s">
        <v>126</v>
      </c>
      <c r="W399" s="12" t="s">
        <v>178</v>
      </c>
      <c r="X399" s="12" t="s">
        <v>128</v>
      </c>
      <c r="Y399" s="12" t="s">
        <v>1038</v>
      </c>
      <c r="AA399" s="14">
        <v>12305</v>
      </c>
      <c r="AB399" s="14" t="s">
        <v>526</v>
      </c>
      <c r="AC399" s="12" t="s">
        <v>111</v>
      </c>
      <c r="AD399" s="15" t="str">
        <f t="shared" si="14"/>
        <v>Mercy Health - PH AR - QLY</v>
      </c>
      <c r="AE399" s="12" t="s">
        <v>118</v>
      </c>
      <c r="AF399" s="12" t="s">
        <v>113</v>
      </c>
      <c r="AG399" s="12" t="s">
        <v>114</v>
      </c>
      <c r="AH399" s="12" t="s">
        <v>1038</v>
      </c>
      <c r="AJ399" s="14">
        <v>51074</v>
      </c>
      <c r="AK399" s="14" t="s">
        <v>698</v>
      </c>
    </row>
    <row r="400" spans="6:37">
      <c r="F400" s="45">
        <v>51351</v>
      </c>
      <c r="G400" s="12" t="s">
        <v>117</v>
      </c>
      <c r="R400" s="14">
        <v>10705</v>
      </c>
      <c r="S400" s="14" t="s">
        <v>320</v>
      </c>
      <c r="T400" s="12" t="s">
        <v>119</v>
      </c>
      <c r="U400" s="15" t="str">
        <f t="shared" si="13"/>
        <v>AT&amp;T TV Service Chat - Chennai - SQM</v>
      </c>
      <c r="V400" s="12" t="s">
        <v>112</v>
      </c>
      <c r="W400" s="12" t="s">
        <v>113</v>
      </c>
      <c r="X400" s="12" t="s">
        <v>114</v>
      </c>
      <c r="Y400" s="12" t="s">
        <v>1038</v>
      </c>
      <c r="AA400" s="14">
        <v>12305</v>
      </c>
      <c r="AB400" s="14" t="s">
        <v>526</v>
      </c>
      <c r="AC400" s="12" t="s">
        <v>332</v>
      </c>
      <c r="AD400" s="15" t="str">
        <f t="shared" si="14"/>
        <v>Mercy Health - PH AR - RCF</v>
      </c>
      <c r="AE400" s="12" t="s">
        <v>148</v>
      </c>
      <c r="AF400" s="12" t="s">
        <v>163</v>
      </c>
      <c r="AG400" s="12" t="s">
        <v>164</v>
      </c>
      <c r="AH400" s="12" t="s">
        <v>1038</v>
      </c>
      <c r="AJ400" s="14">
        <v>51077</v>
      </c>
      <c r="AK400" s="14" t="s">
        <v>1068</v>
      </c>
    </row>
    <row r="401" spans="6:37">
      <c r="F401" s="45">
        <v>51352</v>
      </c>
      <c r="G401" s="12" t="s">
        <v>117</v>
      </c>
      <c r="R401" s="14">
        <v>10705</v>
      </c>
      <c r="S401" s="14" t="s">
        <v>320</v>
      </c>
      <c r="T401" s="12" t="s">
        <v>145</v>
      </c>
      <c r="U401" s="15" t="str">
        <f t="shared" si="13"/>
        <v>AT&amp;T TV Service Chat - Chennai - SUP</v>
      </c>
      <c r="V401" s="12" t="s">
        <v>126</v>
      </c>
      <c r="W401" s="12" t="s">
        <v>178</v>
      </c>
      <c r="X401" s="12" t="s">
        <v>128</v>
      </c>
      <c r="Y401" s="12" t="s">
        <v>1038</v>
      </c>
      <c r="AA401" s="14">
        <v>12305</v>
      </c>
      <c r="AB401" s="14" t="s">
        <v>526</v>
      </c>
      <c r="AC401" s="12" t="s">
        <v>145</v>
      </c>
      <c r="AD401" s="15" t="str">
        <f t="shared" si="14"/>
        <v>Mercy Health - PH AR - SUP</v>
      </c>
      <c r="AE401" s="12" t="s">
        <v>148</v>
      </c>
      <c r="AF401" s="12" t="s">
        <v>163</v>
      </c>
      <c r="AG401" s="12" t="s">
        <v>164</v>
      </c>
      <c r="AH401" s="12" t="s">
        <v>1038</v>
      </c>
      <c r="AJ401" s="14">
        <v>51079</v>
      </c>
      <c r="AK401" s="14" t="s">
        <v>1069</v>
      </c>
    </row>
    <row r="402" spans="6:37">
      <c r="F402" s="45">
        <v>51353</v>
      </c>
      <c r="G402" s="12" t="s">
        <v>117</v>
      </c>
      <c r="R402" s="14">
        <v>10705</v>
      </c>
      <c r="S402" s="14" t="s">
        <v>320</v>
      </c>
      <c r="T402" s="12" t="s">
        <v>196</v>
      </c>
      <c r="U402" s="15" t="str">
        <f t="shared" si="13"/>
        <v>AT&amp;T TV Service Chat - Chennai - SUT</v>
      </c>
      <c r="V402" s="12" t="s">
        <v>126</v>
      </c>
      <c r="W402" s="12" t="s">
        <v>178</v>
      </c>
      <c r="X402" s="12" t="s">
        <v>128</v>
      </c>
      <c r="Y402" s="12" t="s">
        <v>1038</v>
      </c>
      <c r="AA402" s="14">
        <v>12305</v>
      </c>
      <c r="AB402" s="14" t="s">
        <v>526</v>
      </c>
      <c r="AC402" s="12" t="s">
        <v>180</v>
      </c>
      <c r="AD402" s="15" t="str">
        <f t="shared" si="14"/>
        <v>Mercy Health - PH AR - TMG</v>
      </c>
      <c r="AE402" s="12" t="s">
        <v>148</v>
      </c>
      <c r="AF402" s="12" t="s">
        <v>163</v>
      </c>
      <c r="AG402" s="12" t="s">
        <v>164</v>
      </c>
      <c r="AH402" s="12" t="s">
        <v>1038</v>
      </c>
      <c r="AJ402" s="14">
        <v>51080</v>
      </c>
      <c r="AK402" s="14" t="s">
        <v>1070</v>
      </c>
    </row>
    <row r="403" spans="6:37">
      <c r="F403" s="45">
        <v>51354</v>
      </c>
      <c r="G403" s="12" t="s">
        <v>117</v>
      </c>
      <c r="R403" s="14">
        <v>10705</v>
      </c>
      <c r="S403" s="14" t="s">
        <v>320</v>
      </c>
      <c r="T403" s="12" t="s">
        <v>180</v>
      </c>
      <c r="U403" s="15" t="str">
        <f t="shared" si="13"/>
        <v>AT&amp;T TV Service Chat - Chennai - TMG</v>
      </c>
      <c r="V403" s="12" t="s">
        <v>126</v>
      </c>
      <c r="W403" s="12" t="s">
        <v>178</v>
      </c>
      <c r="X403" s="12" t="s">
        <v>128</v>
      </c>
      <c r="Y403" s="12" t="s">
        <v>1038</v>
      </c>
      <c r="AA403" s="14">
        <v>12443</v>
      </c>
      <c r="AB403" s="14" t="s">
        <v>551</v>
      </c>
      <c r="AC403" s="12" t="s">
        <v>116</v>
      </c>
      <c r="AD403" s="15" t="str">
        <f t="shared" si="14"/>
        <v>Mercy Health - PP AR - PRD</v>
      </c>
      <c r="AE403" s="12" t="s">
        <v>154</v>
      </c>
      <c r="AF403" s="12" t="s">
        <v>163</v>
      </c>
      <c r="AG403" s="12" t="s">
        <v>164</v>
      </c>
      <c r="AH403" s="12" t="s">
        <v>1038</v>
      </c>
      <c r="AJ403" s="14">
        <v>51081</v>
      </c>
      <c r="AK403" s="14" t="s">
        <v>1071</v>
      </c>
    </row>
    <row r="404" spans="6:37">
      <c r="F404" s="45">
        <v>51357</v>
      </c>
      <c r="G404" s="12" t="s">
        <v>117</v>
      </c>
      <c r="R404" s="14">
        <v>10705</v>
      </c>
      <c r="S404" s="14" t="s">
        <v>320</v>
      </c>
      <c r="T404" s="12" t="s">
        <v>208</v>
      </c>
      <c r="U404" s="15" t="str">
        <f t="shared" si="13"/>
        <v>AT&amp;T TV Service Chat - Chennai - TTR</v>
      </c>
      <c r="V404" s="12" t="s">
        <v>112</v>
      </c>
      <c r="W404" s="12" t="s">
        <v>204</v>
      </c>
      <c r="X404" s="12" t="s">
        <v>205</v>
      </c>
      <c r="Y404" s="12" t="s">
        <v>1038</v>
      </c>
      <c r="AA404" s="14">
        <v>12443</v>
      </c>
      <c r="AB404" s="14" t="s">
        <v>551</v>
      </c>
      <c r="AC404" s="12" t="s">
        <v>185</v>
      </c>
      <c r="AD404" s="15" t="str">
        <f t="shared" si="14"/>
        <v>Mercy Health - PP AR - TPS</v>
      </c>
      <c r="AE404" s="12" t="s">
        <v>154</v>
      </c>
      <c r="AF404" s="12" t="s">
        <v>163</v>
      </c>
      <c r="AG404" s="12" t="s">
        <v>164</v>
      </c>
      <c r="AH404" s="12" t="s">
        <v>1038</v>
      </c>
      <c r="AJ404" s="14">
        <v>51083</v>
      </c>
      <c r="AK404" s="14" t="s">
        <v>699</v>
      </c>
    </row>
    <row r="405" spans="6:37">
      <c r="F405" s="45">
        <v>51358</v>
      </c>
      <c r="G405" s="12" t="s">
        <v>117</v>
      </c>
      <c r="R405" s="14">
        <v>10992</v>
      </c>
      <c r="S405" s="14" t="s">
        <v>501</v>
      </c>
      <c r="T405" s="12" t="s">
        <v>133</v>
      </c>
      <c r="U405" s="15" t="str">
        <f t="shared" si="13"/>
        <v>AT&amp;T UCSDC - Airoli - AMG</v>
      </c>
      <c r="V405" s="12" t="s">
        <v>126</v>
      </c>
      <c r="W405" s="12" t="s">
        <v>360</v>
      </c>
      <c r="X405" s="12" t="s">
        <v>361</v>
      </c>
      <c r="Y405" s="12" t="s">
        <v>1038</v>
      </c>
      <c r="AA405" s="14">
        <v>12527</v>
      </c>
      <c r="AB405" s="14" t="s">
        <v>577</v>
      </c>
      <c r="AC405" s="12" t="s">
        <v>116</v>
      </c>
      <c r="AD405" s="15" t="str">
        <f t="shared" si="14"/>
        <v>Mercy Health - RCM Legacy AR - PRD</v>
      </c>
      <c r="AE405" s="12" t="s">
        <v>154</v>
      </c>
      <c r="AF405" s="12" t="s">
        <v>163</v>
      </c>
      <c r="AG405" s="12" t="s">
        <v>164</v>
      </c>
      <c r="AH405" s="12" t="s">
        <v>1038</v>
      </c>
      <c r="AJ405" s="14">
        <v>51088</v>
      </c>
      <c r="AK405" s="14" t="s">
        <v>700</v>
      </c>
    </row>
    <row r="406" spans="6:37">
      <c r="F406" s="45">
        <v>51359</v>
      </c>
      <c r="G406" s="12" t="s">
        <v>117</v>
      </c>
      <c r="R406" s="14">
        <v>10992</v>
      </c>
      <c r="S406" s="14" t="s">
        <v>501</v>
      </c>
      <c r="T406" s="12" t="s">
        <v>138</v>
      </c>
      <c r="U406" s="15" t="str">
        <f t="shared" si="13"/>
        <v>AT&amp;T UCSDC - Airoli - BOS</v>
      </c>
      <c r="V406" s="12" t="s">
        <v>126</v>
      </c>
      <c r="W406" s="12" t="s">
        <v>360</v>
      </c>
      <c r="X406" s="12" t="s">
        <v>361</v>
      </c>
      <c r="Y406" s="12" t="s">
        <v>1038</v>
      </c>
      <c r="AA406" s="14">
        <v>12527</v>
      </c>
      <c r="AB406" s="14" t="s">
        <v>577</v>
      </c>
      <c r="AC406" s="12" t="s">
        <v>185</v>
      </c>
      <c r="AD406" s="15" t="str">
        <f t="shared" si="14"/>
        <v>Mercy Health - RCM Legacy AR - TPS</v>
      </c>
      <c r="AE406" s="12" t="s">
        <v>154</v>
      </c>
      <c r="AF406" s="12" t="s">
        <v>163</v>
      </c>
      <c r="AG406" s="12" t="s">
        <v>164</v>
      </c>
      <c r="AH406" s="12" t="s">
        <v>1038</v>
      </c>
      <c r="AJ406" s="14">
        <v>51097</v>
      </c>
      <c r="AK406" s="14" t="s">
        <v>701</v>
      </c>
    </row>
    <row r="407" spans="6:37">
      <c r="F407" s="45">
        <v>51360</v>
      </c>
      <c r="G407" s="12" t="s">
        <v>117</v>
      </c>
      <c r="R407" s="14">
        <v>10992</v>
      </c>
      <c r="S407" s="14" t="s">
        <v>501</v>
      </c>
      <c r="T407" s="12" t="s">
        <v>150</v>
      </c>
      <c r="U407" s="15" t="str">
        <f t="shared" si="13"/>
        <v>AT&amp;T UCSDC - Airoli - CCS</v>
      </c>
      <c r="V407" s="12" t="s">
        <v>126</v>
      </c>
      <c r="W407" s="12" t="s">
        <v>360</v>
      </c>
      <c r="X407" s="12" t="s">
        <v>361</v>
      </c>
      <c r="Y407" s="12" t="s">
        <v>1038</v>
      </c>
      <c r="AA407" s="14">
        <v>12306</v>
      </c>
      <c r="AB407" s="14" t="s">
        <v>527</v>
      </c>
      <c r="AC407" s="12" t="s">
        <v>116</v>
      </c>
      <c r="AD407" s="15" t="str">
        <f t="shared" si="14"/>
        <v>Mercy Health - Trans. Servs - PRD</v>
      </c>
      <c r="AE407" s="12" t="s">
        <v>148</v>
      </c>
      <c r="AF407" s="12" t="s">
        <v>163</v>
      </c>
      <c r="AG407" s="12" t="s">
        <v>164</v>
      </c>
      <c r="AH407" s="12" t="s">
        <v>1038</v>
      </c>
      <c r="AJ407" s="14">
        <v>51101</v>
      </c>
      <c r="AK407" s="14" t="s">
        <v>702</v>
      </c>
    </row>
    <row r="408" spans="6:37">
      <c r="F408" s="45">
        <v>51361</v>
      </c>
      <c r="G408" s="12" t="s">
        <v>117</v>
      </c>
      <c r="R408" s="14">
        <v>10992</v>
      </c>
      <c r="S408" s="14" t="s">
        <v>501</v>
      </c>
      <c r="T408" s="12" t="s">
        <v>171</v>
      </c>
      <c r="U408" s="15" t="str">
        <f t="shared" si="13"/>
        <v>AT&amp;T UCSDC - Airoli - ETE</v>
      </c>
      <c r="V408" s="12" t="s">
        <v>126</v>
      </c>
      <c r="W408" s="12" t="s">
        <v>360</v>
      </c>
      <c r="X408" s="12" t="s">
        <v>361</v>
      </c>
      <c r="Y408" s="12" t="s">
        <v>1038</v>
      </c>
      <c r="AA408" s="14">
        <v>12306</v>
      </c>
      <c r="AB408" s="14" t="s">
        <v>527</v>
      </c>
      <c r="AC408" s="12" t="s">
        <v>185</v>
      </c>
      <c r="AD408" s="15" t="str">
        <f t="shared" si="14"/>
        <v>Mercy Health - Trans. Servs - TPS</v>
      </c>
      <c r="AE408" s="12" t="s">
        <v>148</v>
      </c>
      <c r="AF408" s="12" t="s">
        <v>163</v>
      </c>
      <c r="AG408" s="12" t="s">
        <v>164</v>
      </c>
      <c r="AH408" s="12" t="s">
        <v>1038</v>
      </c>
      <c r="AJ408" s="14">
        <v>51103</v>
      </c>
      <c r="AK408" s="14" t="s">
        <v>703</v>
      </c>
    </row>
    <row r="409" spans="6:37">
      <c r="F409" s="45">
        <v>51364</v>
      </c>
      <c r="G409" s="12" t="s">
        <v>117</v>
      </c>
      <c r="R409" s="14">
        <v>10992</v>
      </c>
      <c r="S409" s="14" t="s">
        <v>501</v>
      </c>
      <c r="T409" s="12" t="s">
        <v>116</v>
      </c>
      <c r="U409" s="15" t="str">
        <f t="shared" si="13"/>
        <v>AT&amp;T UCSDC - Airoli - PRD</v>
      </c>
      <c r="V409" s="12" t="s">
        <v>126</v>
      </c>
      <c r="W409" s="12" t="s">
        <v>360</v>
      </c>
      <c r="X409" s="12" t="s">
        <v>361</v>
      </c>
      <c r="Y409" s="12" t="s">
        <v>1038</v>
      </c>
      <c r="AA409" s="14">
        <v>93625</v>
      </c>
      <c r="AB409" s="14" t="s">
        <v>737</v>
      </c>
      <c r="AC409" s="12" t="s">
        <v>145</v>
      </c>
      <c r="AD409" s="15" t="str">
        <f t="shared" si="14"/>
        <v>Middle East Solution Support - SUP</v>
      </c>
      <c r="AE409" s="12" t="s">
        <v>118</v>
      </c>
      <c r="AF409" s="12" t="s">
        <v>303</v>
      </c>
      <c r="AG409" s="12" t="s">
        <v>114</v>
      </c>
      <c r="AH409" s="12" t="s">
        <v>1038</v>
      </c>
      <c r="AJ409" s="14">
        <v>51104</v>
      </c>
      <c r="AK409" s="14" t="s">
        <v>704</v>
      </c>
    </row>
    <row r="410" spans="6:37">
      <c r="F410" s="45">
        <v>51365</v>
      </c>
      <c r="G410" s="12" t="s">
        <v>117</v>
      </c>
      <c r="R410" s="14">
        <v>10992</v>
      </c>
      <c r="S410" s="14" t="s">
        <v>501</v>
      </c>
      <c r="T410" s="12" t="s">
        <v>111</v>
      </c>
      <c r="U410" s="15" t="str">
        <f t="shared" si="13"/>
        <v>AT&amp;T UCSDC - Airoli - QLY</v>
      </c>
      <c r="V410" s="12" t="s">
        <v>112</v>
      </c>
      <c r="W410" s="12" t="s">
        <v>113</v>
      </c>
      <c r="X410" s="12" t="s">
        <v>114</v>
      </c>
      <c r="Y410" s="12" t="s">
        <v>1038</v>
      </c>
      <c r="AA410" s="14">
        <v>93625</v>
      </c>
      <c r="AB410" s="14" t="s">
        <v>737</v>
      </c>
      <c r="AC410" s="12" t="s">
        <v>185</v>
      </c>
      <c r="AD410" s="15" t="str">
        <f t="shared" si="14"/>
        <v>Middle East Solution Support - TPS</v>
      </c>
      <c r="AE410" s="12" t="s">
        <v>118</v>
      </c>
      <c r="AF410" s="12" t="s">
        <v>303</v>
      </c>
      <c r="AG410" s="12" t="s">
        <v>114</v>
      </c>
      <c r="AH410" s="12" t="s">
        <v>1038</v>
      </c>
      <c r="AJ410" s="14">
        <v>51105</v>
      </c>
      <c r="AK410" s="14" t="s">
        <v>705</v>
      </c>
    </row>
    <row r="411" spans="6:37">
      <c r="F411" s="45">
        <v>51366</v>
      </c>
      <c r="G411" s="12" t="s">
        <v>117</v>
      </c>
      <c r="R411" s="14">
        <v>10992</v>
      </c>
      <c r="S411" s="14" t="s">
        <v>501</v>
      </c>
      <c r="T411" s="12" t="s">
        <v>145</v>
      </c>
      <c r="U411" s="15" t="str">
        <f t="shared" si="13"/>
        <v>AT&amp;T UCSDC - Airoli - SUP</v>
      </c>
      <c r="V411" s="12" t="s">
        <v>126</v>
      </c>
      <c r="W411" s="12" t="s">
        <v>360</v>
      </c>
      <c r="X411" s="12" t="s">
        <v>361</v>
      </c>
      <c r="Y411" s="12" t="s">
        <v>1038</v>
      </c>
      <c r="AA411" s="14">
        <v>93625</v>
      </c>
      <c r="AB411" s="14" t="s">
        <v>737</v>
      </c>
      <c r="AC411" s="12" t="s">
        <v>203</v>
      </c>
      <c r="AD411" s="15" t="str">
        <f t="shared" si="14"/>
        <v>Middle East Solution Support - TRG</v>
      </c>
      <c r="AE411" s="12" t="s">
        <v>118</v>
      </c>
      <c r="AF411" s="12" t="s">
        <v>303</v>
      </c>
      <c r="AG411" s="12" t="s">
        <v>114</v>
      </c>
      <c r="AH411" s="12" t="s">
        <v>1038</v>
      </c>
      <c r="AJ411" s="14">
        <v>51106</v>
      </c>
      <c r="AK411" s="14" t="s">
        <v>706</v>
      </c>
    </row>
    <row r="412" spans="6:37">
      <c r="F412" s="45">
        <v>51369</v>
      </c>
      <c r="G412" s="12" t="s">
        <v>117</v>
      </c>
      <c r="R412" s="14">
        <v>10992</v>
      </c>
      <c r="S412" s="14" t="s">
        <v>501</v>
      </c>
      <c r="T412" s="12" t="s">
        <v>196</v>
      </c>
      <c r="U412" s="15" t="str">
        <f t="shared" si="13"/>
        <v>AT&amp;T UCSDC - Airoli - SUT</v>
      </c>
      <c r="V412" s="12" t="s">
        <v>126</v>
      </c>
      <c r="W412" s="12" t="s">
        <v>360</v>
      </c>
      <c r="X412" s="12" t="s">
        <v>361</v>
      </c>
      <c r="Y412" s="12" t="s">
        <v>1038</v>
      </c>
      <c r="AA412" s="14">
        <v>12533</v>
      </c>
      <c r="AB412" s="14" t="s">
        <v>581</v>
      </c>
      <c r="AC412" s="12" t="s">
        <v>741</v>
      </c>
      <c r="AD412" s="15" t="str">
        <f t="shared" si="14"/>
        <v>Mitchell Genex - PDM - L2</v>
      </c>
      <c r="AE412" s="12" t="s">
        <v>141</v>
      </c>
      <c r="AF412" s="12" t="s">
        <v>163</v>
      </c>
      <c r="AG412" s="12" t="s">
        <v>164</v>
      </c>
      <c r="AH412" s="12" t="s">
        <v>1038</v>
      </c>
      <c r="AJ412" s="14">
        <v>51115</v>
      </c>
      <c r="AK412" s="14" t="s">
        <v>709</v>
      </c>
    </row>
    <row r="413" spans="6:37">
      <c r="F413" s="45">
        <v>51374</v>
      </c>
      <c r="G413" s="12" t="s">
        <v>117</v>
      </c>
      <c r="R413" s="14">
        <v>10992</v>
      </c>
      <c r="S413" s="14" t="s">
        <v>501</v>
      </c>
      <c r="T413" s="12" t="s">
        <v>198</v>
      </c>
      <c r="U413" s="15" t="str">
        <f t="shared" si="13"/>
        <v>AT&amp;T UCSDC - Airoli - TEC</v>
      </c>
      <c r="V413" s="12" t="s">
        <v>126</v>
      </c>
      <c r="W413" s="12" t="s">
        <v>360</v>
      </c>
      <c r="X413" s="12" t="s">
        <v>361</v>
      </c>
      <c r="Y413" s="12" t="s">
        <v>1038</v>
      </c>
      <c r="AA413" s="14">
        <v>12533</v>
      </c>
      <c r="AB413" s="14" t="s">
        <v>581</v>
      </c>
      <c r="AC413" s="12" t="s">
        <v>250</v>
      </c>
      <c r="AD413" s="15" t="str">
        <f t="shared" si="14"/>
        <v>Mitchell Genex - PDM - LED</v>
      </c>
      <c r="AE413" s="12" t="s">
        <v>141</v>
      </c>
      <c r="AF413" s="12" t="s">
        <v>163</v>
      </c>
      <c r="AG413" s="12" t="s">
        <v>164</v>
      </c>
      <c r="AH413" s="12" t="s">
        <v>1038</v>
      </c>
      <c r="AJ413" s="14">
        <v>51119</v>
      </c>
      <c r="AK413" s="14" t="s">
        <v>710</v>
      </c>
    </row>
    <row r="414" spans="6:37">
      <c r="F414" s="45">
        <v>51375</v>
      </c>
      <c r="G414" s="12" t="s">
        <v>117</v>
      </c>
      <c r="R414" s="14">
        <v>10992</v>
      </c>
      <c r="S414" s="14" t="s">
        <v>501</v>
      </c>
      <c r="T414" s="12" t="s">
        <v>180</v>
      </c>
      <c r="U414" s="15" t="str">
        <f t="shared" si="13"/>
        <v>AT&amp;T UCSDC - Airoli - TMG</v>
      </c>
      <c r="V414" s="12" t="s">
        <v>126</v>
      </c>
      <c r="W414" s="12" t="s">
        <v>360</v>
      </c>
      <c r="X414" s="12" t="s">
        <v>361</v>
      </c>
      <c r="Y414" s="12" t="s">
        <v>1038</v>
      </c>
      <c r="AA414" s="14">
        <v>12533</v>
      </c>
      <c r="AB414" s="14" t="s">
        <v>581</v>
      </c>
      <c r="AC414" s="12" t="s">
        <v>116</v>
      </c>
      <c r="AD414" s="15" t="str">
        <f t="shared" si="14"/>
        <v>Mitchell Genex - PDM - PRD</v>
      </c>
      <c r="AE414" s="12" t="s">
        <v>141</v>
      </c>
      <c r="AF414" s="12" t="s">
        <v>163</v>
      </c>
      <c r="AG414" s="12" t="s">
        <v>164</v>
      </c>
      <c r="AH414" s="12" t="s">
        <v>1038</v>
      </c>
      <c r="AJ414" s="14">
        <v>51134</v>
      </c>
      <c r="AK414" s="14" t="s">
        <v>1072</v>
      </c>
    </row>
    <row r="415" spans="6:37">
      <c r="F415" s="45">
        <v>51376</v>
      </c>
      <c r="G415" s="12" t="s">
        <v>117</v>
      </c>
      <c r="R415" s="14">
        <v>10992</v>
      </c>
      <c r="S415" s="14" t="s">
        <v>501</v>
      </c>
      <c r="T415" s="12" t="s">
        <v>185</v>
      </c>
      <c r="U415" s="15" t="str">
        <f t="shared" si="13"/>
        <v>AT&amp;T UCSDC - Airoli - TPS</v>
      </c>
      <c r="V415" s="12" t="s">
        <v>126</v>
      </c>
      <c r="W415" s="12" t="s">
        <v>360</v>
      </c>
      <c r="X415" s="12" t="s">
        <v>361</v>
      </c>
      <c r="Y415" s="12" t="s">
        <v>1038</v>
      </c>
      <c r="AA415" s="14">
        <v>12533</v>
      </c>
      <c r="AB415" s="14" t="s">
        <v>581</v>
      </c>
      <c r="AC415" s="12" t="s">
        <v>145</v>
      </c>
      <c r="AD415" s="15" t="str">
        <f t="shared" si="14"/>
        <v>Mitchell Genex - PDM - SUP</v>
      </c>
      <c r="AE415" s="12" t="s">
        <v>141</v>
      </c>
      <c r="AF415" s="12" t="s">
        <v>163</v>
      </c>
      <c r="AG415" s="12" t="s">
        <v>164</v>
      </c>
      <c r="AH415" s="12" t="s">
        <v>1038</v>
      </c>
      <c r="AJ415" s="14">
        <v>51139</v>
      </c>
      <c r="AK415" s="14" t="s">
        <v>711</v>
      </c>
    </row>
    <row r="416" spans="6:37">
      <c r="F416" s="45">
        <v>51379</v>
      </c>
      <c r="G416" s="12" t="s">
        <v>117</v>
      </c>
      <c r="R416" s="14">
        <v>10992</v>
      </c>
      <c r="S416" s="14" t="s">
        <v>501</v>
      </c>
      <c r="T416" s="12" t="s">
        <v>208</v>
      </c>
      <c r="U416" s="15" t="str">
        <f t="shared" si="13"/>
        <v>AT&amp;T UCSDC - Airoli - TTR</v>
      </c>
      <c r="V416" s="12" t="s">
        <v>112</v>
      </c>
      <c r="W416" s="12" t="s">
        <v>204</v>
      </c>
      <c r="X416" s="12" t="s">
        <v>205</v>
      </c>
      <c r="Y416" s="12" t="s">
        <v>1038</v>
      </c>
      <c r="AA416" s="14">
        <v>12533</v>
      </c>
      <c r="AB416" s="14" t="s">
        <v>581</v>
      </c>
      <c r="AC416" s="12" t="s">
        <v>185</v>
      </c>
      <c r="AD416" s="15" t="str">
        <f t="shared" si="14"/>
        <v>Mitchell Genex - PDM - TPS</v>
      </c>
      <c r="AE416" s="12" t="s">
        <v>141</v>
      </c>
      <c r="AF416" s="12" t="s">
        <v>163</v>
      </c>
      <c r="AG416" s="12" t="s">
        <v>164</v>
      </c>
      <c r="AH416" s="12" t="s">
        <v>1038</v>
      </c>
      <c r="AJ416" s="14">
        <v>51144</v>
      </c>
      <c r="AK416" s="14" t="s">
        <v>712</v>
      </c>
    </row>
    <row r="417" spans="6:37">
      <c r="F417" s="45">
        <v>51382</v>
      </c>
      <c r="G417" s="12" t="s">
        <v>117</v>
      </c>
      <c r="R417" s="14">
        <v>10993</v>
      </c>
      <c r="S417" s="14" t="s">
        <v>502</v>
      </c>
      <c r="T417" s="12" t="s">
        <v>133</v>
      </c>
      <c r="U417" s="15" t="str">
        <f t="shared" si="13"/>
        <v>AT&amp;T UFO Chat &amp; Voice - Airoli - AMG</v>
      </c>
      <c r="V417" s="12" t="s">
        <v>126</v>
      </c>
      <c r="W417" s="12" t="s">
        <v>178</v>
      </c>
      <c r="X417" s="12" t="s">
        <v>128</v>
      </c>
      <c r="Y417" s="12" t="s">
        <v>1038</v>
      </c>
      <c r="AA417" s="14">
        <v>12630</v>
      </c>
      <c r="AB417" s="14" t="s">
        <v>607</v>
      </c>
      <c r="AC417" s="12" t="s">
        <v>145</v>
      </c>
      <c r="AD417" s="15" t="str">
        <f t="shared" si="14"/>
        <v>ModMed - RCM FBO - SUP</v>
      </c>
      <c r="AE417" s="12" t="s">
        <v>154</v>
      </c>
      <c r="AF417" s="12" t="s">
        <v>163</v>
      </c>
      <c r="AG417" s="12" t="s">
        <v>164</v>
      </c>
      <c r="AH417" s="12" t="s">
        <v>1038</v>
      </c>
      <c r="AJ417" s="14">
        <v>51149</v>
      </c>
      <c r="AK417" s="14" t="s">
        <v>714</v>
      </c>
    </row>
    <row r="418" spans="6:37">
      <c r="F418" s="45">
        <v>51383</v>
      </c>
      <c r="G418" s="12" t="s">
        <v>117</v>
      </c>
      <c r="R418" s="14">
        <v>10993</v>
      </c>
      <c r="S418" s="14" t="s">
        <v>502</v>
      </c>
      <c r="T418" s="12" t="s">
        <v>150</v>
      </c>
      <c r="U418" s="15" t="str">
        <f t="shared" si="13"/>
        <v>AT&amp;T UFO Chat &amp; Voice - Airoli - CCS</v>
      </c>
      <c r="V418" s="12" t="s">
        <v>126</v>
      </c>
      <c r="W418" s="12" t="s">
        <v>178</v>
      </c>
      <c r="X418" s="12" t="s">
        <v>128</v>
      </c>
      <c r="Y418" s="12" t="s">
        <v>1038</v>
      </c>
      <c r="AA418" s="14">
        <v>12630</v>
      </c>
      <c r="AB418" s="14" t="s">
        <v>607</v>
      </c>
      <c r="AC418" s="12" t="s">
        <v>748</v>
      </c>
      <c r="AD418" s="15" t="str">
        <f t="shared" si="14"/>
        <v>ModMed - RCM FBO - SUPP</v>
      </c>
      <c r="AE418" s="12" t="s">
        <v>154</v>
      </c>
      <c r="AF418" s="12" t="s">
        <v>163</v>
      </c>
      <c r="AG418" s="12" t="s">
        <v>164</v>
      </c>
      <c r="AH418" s="12" t="s">
        <v>1038</v>
      </c>
      <c r="AJ418" s="14">
        <v>51150</v>
      </c>
      <c r="AK418" s="14" t="s">
        <v>716</v>
      </c>
    </row>
    <row r="419" spans="6:37">
      <c r="F419" s="45">
        <v>51385</v>
      </c>
      <c r="G419" s="12" t="s">
        <v>117</v>
      </c>
      <c r="R419" s="14">
        <v>10993</v>
      </c>
      <c r="S419" s="14" t="s">
        <v>502</v>
      </c>
      <c r="T419" s="12" t="s">
        <v>171</v>
      </c>
      <c r="U419" s="15" t="str">
        <f t="shared" si="13"/>
        <v>AT&amp;T UFO Chat &amp; Voice - Airoli - ETE</v>
      </c>
      <c r="V419" s="12" t="s">
        <v>126</v>
      </c>
      <c r="W419" s="12" t="s">
        <v>178</v>
      </c>
      <c r="X419" s="12" t="s">
        <v>128</v>
      </c>
      <c r="Y419" s="12" t="s">
        <v>1038</v>
      </c>
      <c r="AA419" s="14">
        <v>12634</v>
      </c>
      <c r="AB419" s="14" t="s">
        <v>608</v>
      </c>
      <c r="AC419" s="12" t="s">
        <v>185</v>
      </c>
      <c r="AD419" s="15" t="str">
        <f t="shared" si="14"/>
        <v>Mt. Sinai Elmhurst - Coding - TPS</v>
      </c>
      <c r="AE419" s="12" t="s">
        <v>159</v>
      </c>
      <c r="AF419" s="12" t="s">
        <v>237</v>
      </c>
      <c r="AG419" s="12" t="s">
        <v>238</v>
      </c>
      <c r="AH419" s="12" t="s">
        <v>1038</v>
      </c>
      <c r="AJ419" s="14">
        <v>51151</v>
      </c>
      <c r="AK419" s="14" t="s">
        <v>1073</v>
      </c>
    </row>
    <row r="420" spans="6:37">
      <c r="F420" s="45">
        <v>51387</v>
      </c>
      <c r="G420" s="12" t="s">
        <v>117</v>
      </c>
      <c r="R420" s="14">
        <v>10993</v>
      </c>
      <c r="S420" s="14" t="s">
        <v>502</v>
      </c>
      <c r="T420" s="12" t="s">
        <v>129</v>
      </c>
      <c r="U420" s="15" t="str">
        <f t="shared" si="13"/>
        <v>AT&amp;T UFO Chat &amp; Voice - Airoli - MGT</v>
      </c>
      <c r="V420" s="12" t="s">
        <v>126</v>
      </c>
      <c r="W420" s="12" t="s">
        <v>178</v>
      </c>
      <c r="X420" s="12" t="s">
        <v>128</v>
      </c>
      <c r="Y420" s="12" t="s">
        <v>1038</v>
      </c>
      <c r="AA420" s="14">
        <v>12108</v>
      </c>
      <c r="AB420" s="14" t="s">
        <v>516</v>
      </c>
      <c r="AC420" s="12" t="s">
        <v>177</v>
      </c>
      <c r="AD420" s="15" t="str">
        <f t="shared" si="14"/>
        <v>Mt.Sinai Sch of Nursing-AR - OPS</v>
      </c>
      <c r="AE420" s="12" t="s">
        <v>154</v>
      </c>
      <c r="AF420" s="12" t="s">
        <v>163</v>
      </c>
      <c r="AG420" s="12" t="s">
        <v>164</v>
      </c>
      <c r="AH420" s="12" t="s">
        <v>1038</v>
      </c>
      <c r="AJ420" s="14">
        <v>51152</v>
      </c>
      <c r="AK420" s="14" t="s">
        <v>717</v>
      </c>
    </row>
    <row r="421" spans="6:37">
      <c r="F421" s="45">
        <v>51392</v>
      </c>
      <c r="G421" s="12" t="s">
        <v>117</v>
      </c>
      <c r="R421" s="14">
        <v>10993</v>
      </c>
      <c r="S421" s="14" t="s">
        <v>502</v>
      </c>
      <c r="T421" s="12" t="s">
        <v>177</v>
      </c>
      <c r="U421" s="15" t="str">
        <f t="shared" si="13"/>
        <v>AT&amp;T UFO Chat &amp; Voice - Airoli - OPS</v>
      </c>
      <c r="V421" s="12" t="s">
        <v>126</v>
      </c>
      <c r="W421" s="12" t="s">
        <v>178</v>
      </c>
      <c r="X421" s="12" t="s">
        <v>128</v>
      </c>
      <c r="Y421" s="12" t="s">
        <v>1038</v>
      </c>
      <c r="AA421" s="14">
        <v>12108</v>
      </c>
      <c r="AB421" s="14" t="s">
        <v>516</v>
      </c>
      <c r="AC421" s="12" t="s">
        <v>116</v>
      </c>
      <c r="AD421" s="15" t="str">
        <f t="shared" si="14"/>
        <v>Mt.Sinai Sch of Nursing-AR - PRD</v>
      </c>
      <c r="AE421" s="12" t="s">
        <v>154</v>
      </c>
      <c r="AF421" s="12" t="s">
        <v>163</v>
      </c>
      <c r="AG421" s="12" t="s">
        <v>164</v>
      </c>
      <c r="AH421" s="12" t="s">
        <v>1038</v>
      </c>
      <c r="AJ421" s="14">
        <v>51153</v>
      </c>
      <c r="AK421" s="14" t="s">
        <v>718</v>
      </c>
    </row>
    <row r="422" spans="6:37">
      <c r="F422" s="45">
        <v>51393</v>
      </c>
      <c r="G422" s="12" t="s">
        <v>117</v>
      </c>
      <c r="R422" s="14">
        <v>10993</v>
      </c>
      <c r="S422" s="14" t="s">
        <v>502</v>
      </c>
      <c r="T422" s="12" t="s">
        <v>230</v>
      </c>
      <c r="U422" s="15" t="str">
        <f t="shared" si="13"/>
        <v>AT&amp;T UFO Chat &amp; Voice - Airoli - PRSP</v>
      </c>
      <c r="V422" s="12" t="s">
        <v>126</v>
      </c>
      <c r="W422" s="12" t="s">
        <v>178</v>
      </c>
      <c r="X422" s="12" t="s">
        <v>128</v>
      </c>
      <c r="Y422" s="12" t="s">
        <v>1038</v>
      </c>
      <c r="AA422" s="14">
        <v>12108</v>
      </c>
      <c r="AB422" s="14" t="s">
        <v>516</v>
      </c>
      <c r="AC422" s="12" t="s">
        <v>332</v>
      </c>
      <c r="AD422" s="15" t="str">
        <f t="shared" si="14"/>
        <v>Mt.Sinai Sch of Nursing-AR - RCF</v>
      </c>
      <c r="AE422" s="12" t="s">
        <v>154</v>
      </c>
      <c r="AF422" s="12" t="s">
        <v>163</v>
      </c>
      <c r="AG422" s="12" t="s">
        <v>164</v>
      </c>
      <c r="AH422" s="12" t="s">
        <v>1038</v>
      </c>
      <c r="AJ422" s="14">
        <v>51157</v>
      </c>
      <c r="AK422" s="14" t="s">
        <v>720</v>
      </c>
    </row>
    <row r="423" spans="6:37">
      <c r="F423" s="45">
        <v>51396</v>
      </c>
      <c r="G423" s="12" t="s">
        <v>117</v>
      </c>
      <c r="R423" s="14">
        <v>10993</v>
      </c>
      <c r="S423" s="14" t="s">
        <v>502</v>
      </c>
      <c r="T423" s="12" t="s">
        <v>111</v>
      </c>
      <c r="U423" s="15" t="str">
        <f t="shared" si="13"/>
        <v>AT&amp;T UFO Chat &amp; Voice - Airoli - QLY</v>
      </c>
      <c r="V423" s="12" t="s">
        <v>112</v>
      </c>
      <c r="W423" s="12" t="s">
        <v>113</v>
      </c>
      <c r="X423" s="12" t="s">
        <v>114</v>
      </c>
      <c r="Y423" s="12" t="s">
        <v>1038</v>
      </c>
      <c r="AA423" s="14">
        <v>12108</v>
      </c>
      <c r="AB423" s="14" t="s">
        <v>516</v>
      </c>
      <c r="AC423" s="12" t="s">
        <v>185</v>
      </c>
      <c r="AD423" s="15" t="str">
        <f t="shared" si="14"/>
        <v>Mt.Sinai Sch of Nursing-AR - TPS</v>
      </c>
      <c r="AE423" s="12" t="s">
        <v>154</v>
      </c>
      <c r="AF423" s="12" t="s">
        <v>163</v>
      </c>
      <c r="AG423" s="12" t="s">
        <v>164</v>
      </c>
      <c r="AH423" s="12" t="s">
        <v>1038</v>
      </c>
      <c r="AJ423" s="14">
        <v>51159</v>
      </c>
      <c r="AK423" s="14" t="s">
        <v>722</v>
      </c>
    </row>
    <row r="424" spans="6:37">
      <c r="F424" s="45">
        <v>51397</v>
      </c>
      <c r="G424" s="12" t="s">
        <v>117</v>
      </c>
      <c r="R424" s="14">
        <v>10993</v>
      </c>
      <c r="S424" s="14" t="s">
        <v>502</v>
      </c>
      <c r="T424" s="12" t="s">
        <v>172</v>
      </c>
      <c r="U424" s="15" t="str">
        <f t="shared" si="13"/>
        <v>AT&amp;T UFO Chat &amp; Voice - Airoli - SME</v>
      </c>
      <c r="V424" s="12" t="s">
        <v>126</v>
      </c>
      <c r="W424" s="12" t="s">
        <v>178</v>
      </c>
      <c r="X424" s="12" t="s">
        <v>128</v>
      </c>
      <c r="Y424" s="12" t="s">
        <v>1038</v>
      </c>
      <c r="AA424" s="14">
        <v>12116</v>
      </c>
      <c r="AB424" s="14" t="s">
        <v>519</v>
      </c>
      <c r="AC424" s="12" t="s">
        <v>133</v>
      </c>
      <c r="AD424" s="15" t="str">
        <f t="shared" si="14"/>
        <v>MultiPlan - AMG</v>
      </c>
      <c r="AE424" s="12" t="s">
        <v>141</v>
      </c>
      <c r="AF424" s="12" t="s">
        <v>163</v>
      </c>
      <c r="AG424" s="12" t="s">
        <v>164</v>
      </c>
      <c r="AH424" s="12" t="s">
        <v>1038</v>
      </c>
      <c r="AJ424" s="14">
        <v>51160</v>
      </c>
      <c r="AK424" s="14" t="s">
        <v>1074</v>
      </c>
    </row>
    <row r="425" spans="6:37">
      <c r="F425" s="45">
        <v>51400</v>
      </c>
      <c r="G425" s="12" t="s">
        <v>117</v>
      </c>
      <c r="R425" s="14">
        <v>10993</v>
      </c>
      <c r="S425" s="14" t="s">
        <v>502</v>
      </c>
      <c r="T425" s="12" t="s">
        <v>119</v>
      </c>
      <c r="U425" s="15" t="str">
        <f t="shared" si="13"/>
        <v>AT&amp;T UFO Chat &amp; Voice - Airoli - SQM</v>
      </c>
      <c r="V425" s="12" t="s">
        <v>112</v>
      </c>
      <c r="W425" s="12" t="s">
        <v>113</v>
      </c>
      <c r="X425" s="12" t="s">
        <v>114</v>
      </c>
      <c r="Y425" s="12" t="s">
        <v>1038</v>
      </c>
      <c r="AA425" s="14">
        <v>12116</v>
      </c>
      <c r="AB425" s="14" t="s">
        <v>519</v>
      </c>
      <c r="AC425" s="12" t="s">
        <v>116</v>
      </c>
      <c r="AD425" s="15" t="str">
        <f t="shared" si="14"/>
        <v>MultiPlan - PRD</v>
      </c>
      <c r="AE425" s="12" t="s">
        <v>141</v>
      </c>
      <c r="AF425" s="12" t="s">
        <v>163</v>
      </c>
      <c r="AG425" s="12" t="s">
        <v>164</v>
      </c>
      <c r="AH425" s="12" t="s">
        <v>1038</v>
      </c>
      <c r="AJ425" s="14">
        <v>51161</v>
      </c>
      <c r="AK425" s="14" t="s">
        <v>723</v>
      </c>
    </row>
    <row r="426" spans="6:37">
      <c r="F426" s="45">
        <v>51402</v>
      </c>
      <c r="G426" s="12" t="s">
        <v>117</v>
      </c>
      <c r="R426" s="14">
        <v>10993</v>
      </c>
      <c r="S426" s="14" t="s">
        <v>502</v>
      </c>
      <c r="T426" s="12" t="s">
        <v>145</v>
      </c>
      <c r="U426" s="15" t="str">
        <f t="shared" si="13"/>
        <v>AT&amp;T UFO Chat &amp; Voice - Airoli - SUP</v>
      </c>
      <c r="V426" s="12" t="s">
        <v>126</v>
      </c>
      <c r="W426" s="12" t="s">
        <v>178</v>
      </c>
      <c r="X426" s="12" t="s">
        <v>128</v>
      </c>
      <c r="Y426" s="12" t="s">
        <v>1038</v>
      </c>
      <c r="AA426" s="14">
        <v>12116</v>
      </c>
      <c r="AB426" s="14" t="s">
        <v>519</v>
      </c>
      <c r="AC426" s="12" t="s">
        <v>111</v>
      </c>
      <c r="AD426" s="15" t="str">
        <f t="shared" si="14"/>
        <v>MultiPlan - QLY</v>
      </c>
      <c r="AE426" s="12" t="s">
        <v>118</v>
      </c>
      <c r="AF426" s="12" t="s">
        <v>113</v>
      </c>
      <c r="AG426" s="12" t="s">
        <v>114</v>
      </c>
      <c r="AH426" s="12" t="s">
        <v>1038</v>
      </c>
      <c r="AJ426" s="14">
        <v>51162</v>
      </c>
      <c r="AK426" s="14" t="s">
        <v>1075</v>
      </c>
    </row>
    <row r="427" spans="6:37">
      <c r="F427" s="45">
        <v>51404</v>
      </c>
      <c r="G427" s="12" t="s">
        <v>117</v>
      </c>
      <c r="R427" s="14">
        <v>10993</v>
      </c>
      <c r="S427" s="14" t="s">
        <v>502</v>
      </c>
      <c r="T427" s="12" t="s">
        <v>198</v>
      </c>
      <c r="U427" s="15" t="str">
        <f t="shared" si="13"/>
        <v>AT&amp;T UFO Chat &amp; Voice - Airoli - TEC</v>
      </c>
      <c r="V427" s="12" t="s">
        <v>126</v>
      </c>
      <c r="W427" s="12" t="s">
        <v>178</v>
      </c>
      <c r="X427" s="12" t="s">
        <v>128</v>
      </c>
      <c r="Y427" s="12" t="s">
        <v>1038</v>
      </c>
      <c r="AA427" s="14">
        <v>12116</v>
      </c>
      <c r="AB427" s="14" t="s">
        <v>519</v>
      </c>
      <c r="AC427" s="12" t="s">
        <v>172</v>
      </c>
      <c r="AD427" s="15" t="str">
        <f t="shared" si="14"/>
        <v>MultiPlan - SME</v>
      </c>
      <c r="AE427" s="12" t="s">
        <v>141</v>
      </c>
      <c r="AF427" s="12" t="s">
        <v>163</v>
      </c>
      <c r="AG427" s="12" t="s">
        <v>164</v>
      </c>
      <c r="AH427" s="12" t="s">
        <v>1038</v>
      </c>
      <c r="AJ427" s="14">
        <v>51163</v>
      </c>
      <c r="AK427" s="14" t="s">
        <v>724</v>
      </c>
    </row>
    <row r="428" spans="6:37">
      <c r="F428" s="45">
        <v>51405</v>
      </c>
      <c r="G428" s="12" t="s">
        <v>117</v>
      </c>
      <c r="R428" s="14">
        <v>10993</v>
      </c>
      <c r="S428" s="14" t="s">
        <v>502</v>
      </c>
      <c r="T428" s="12" t="s">
        <v>180</v>
      </c>
      <c r="U428" s="15" t="str">
        <f t="shared" si="13"/>
        <v>AT&amp;T UFO Chat &amp; Voice - Airoli - TMG</v>
      </c>
      <c r="V428" s="12" t="s">
        <v>126</v>
      </c>
      <c r="W428" s="12" t="s">
        <v>178</v>
      </c>
      <c r="X428" s="12" t="s">
        <v>128</v>
      </c>
      <c r="Y428" s="12" t="s">
        <v>1038</v>
      </c>
      <c r="AA428" s="14">
        <v>12116</v>
      </c>
      <c r="AB428" s="14" t="s">
        <v>519</v>
      </c>
      <c r="AC428" s="12" t="s">
        <v>180</v>
      </c>
      <c r="AD428" s="15" t="str">
        <f t="shared" si="14"/>
        <v>MultiPlan - TMG</v>
      </c>
      <c r="AE428" s="12" t="s">
        <v>141</v>
      </c>
      <c r="AF428" s="12" t="s">
        <v>163</v>
      </c>
      <c r="AG428" s="12" t="s">
        <v>164</v>
      </c>
      <c r="AH428" s="12" t="s">
        <v>1038</v>
      </c>
      <c r="AJ428" s="14">
        <v>51165</v>
      </c>
      <c r="AK428" s="14" t="s">
        <v>725</v>
      </c>
    </row>
    <row r="429" spans="6:37">
      <c r="F429" s="45">
        <v>51406</v>
      </c>
      <c r="G429" s="12" t="s">
        <v>117</v>
      </c>
      <c r="R429" s="14">
        <v>10993</v>
      </c>
      <c r="S429" s="14" t="s">
        <v>502</v>
      </c>
      <c r="T429" s="12" t="s">
        <v>185</v>
      </c>
      <c r="U429" s="15" t="str">
        <f t="shared" si="13"/>
        <v>AT&amp;T UFO Chat &amp; Voice - Airoli - TPS</v>
      </c>
      <c r="V429" s="12" t="s">
        <v>126</v>
      </c>
      <c r="W429" s="12" t="s">
        <v>178</v>
      </c>
      <c r="X429" s="12" t="s">
        <v>128</v>
      </c>
      <c r="Y429" s="12" t="s">
        <v>1038</v>
      </c>
      <c r="AA429" s="14">
        <v>12116</v>
      </c>
      <c r="AB429" s="14" t="s">
        <v>519</v>
      </c>
      <c r="AC429" s="12" t="s">
        <v>185</v>
      </c>
      <c r="AD429" s="15" t="str">
        <f t="shared" si="14"/>
        <v>MultiPlan - TPS</v>
      </c>
      <c r="AE429" s="12" t="s">
        <v>141</v>
      </c>
      <c r="AF429" s="12" t="s">
        <v>163</v>
      </c>
      <c r="AG429" s="12" t="s">
        <v>164</v>
      </c>
      <c r="AH429" s="12" t="s">
        <v>1038</v>
      </c>
      <c r="AJ429" s="14">
        <v>51166</v>
      </c>
      <c r="AK429" s="14" t="s">
        <v>726</v>
      </c>
    </row>
    <row r="430" spans="6:37">
      <c r="F430" s="45">
        <v>51411</v>
      </c>
      <c r="G430" s="12" t="s">
        <v>117</v>
      </c>
      <c r="R430" s="14">
        <v>10993</v>
      </c>
      <c r="S430" s="14" t="s">
        <v>502</v>
      </c>
      <c r="T430" s="12" t="s">
        <v>208</v>
      </c>
      <c r="U430" s="15" t="str">
        <f t="shared" si="13"/>
        <v>AT&amp;T UFO Chat &amp; Voice - Airoli - TTR</v>
      </c>
      <c r="V430" s="12" t="s">
        <v>112</v>
      </c>
      <c r="W430" s="12" t="s">
        <v>204</v>
      </c>
      <c r="X430" s="12" t="s">
        <v>205</v>
      </c>
      <c r="Y430" s="12" t="s">
        <v>1038</v>
      </c>
      <c r="AA430" s="14">
        <v>12608</v>
      </c>
      <c r="AB430" s="14" t="s">
        <v>599</v>
      </c>
      <c r="AC430" s="12" t="s">
        <v>116</v>
      </c>
      <c r="AD430" s="15" t="str">
        <f t="shared" si="14"/>
        <v>NCSBN - Nursys.Org Tech Migrat - PRD</v>
      </c>
      <c r="AE430" s="12" t="s">
        <v>117</v>
      </c>
      <c r="AF430" s="12" t="s">
        <v>117</v>
      </c>
      <c r="AG430" s="12" t="s">
        <v>117</v>
      </c>
      <c r="AH430" s="12" t="s">
        <v>1038</v>
      </c>
      <c r="AJ430" s="14">
        <v>51167</v>
      </c>
      <c r="AK430" s="14" t="s">
        <v>727</v>
      </c>
    </row>
    <row r="431" spans="6:37">
      <c r="F431" s="45">
        <v>51412</v>
      </c>
      <c r="G431" s="12" t="s">
        <v>117</v>
      </c>
      <c r="R431" s="14">
        <v>10979</v>
      </c>
      <c r="S431" s="14" t="s">
        <v>497</v>
      </c>
      <c r="T431" s="12" t="s">
        <v>133</v>
      </c>
      <c r="U431" s="15" t="str">
        <f t="shared" si="13"/>
        <v>AT&amp;T U-verse Chat - Chennai - AMG</v>
      </c>
      <c r="V431" s="12" t="s">
        <v>126</v>
      </c>
      <c r="W431" s="12" t="s">
        <v>360</v>
      </c>
      <c r="X431" s="12" t="s">
        <v>361</v>
      </c>
      <c r="Y431" s="12" t="s">
        <v>1038</v>
      </c>
      <c r="AA431" s="14">
        <v>95102</v>
      </c>
      <c r="AB431" s="14" t="s">
        <v>762</v>
      </c>
      <c r="AC431" s="12" t="s">
        <v>415</v>
      </c>
      <c r="AD431" s="15" t="str">
        <f t="shared" si="14"/>
        <v>Networking - GTI</v>
      </c>
      <c r="AE431" s="12" t="s">
        <v>118</v>
      </c>
      <c r="AF431" s="12" t="s">
        <v>763</v>
      </c>
      <c r="AG431" s="12" t="s">
        <v>264</v>
      </c>
      <c r="AH431" s="12" t="s">
        <v>1038</v>
      </c>
      <c r="AJ431" s="14">
        <v>51169</v>
      </c>
      <c r="AK431" s="14" t="s">
        <v>728</v>
      </c>
    </row>
    <row r="432" spans="6:37">
      <c r="F432" s="45">
        <v>51413</v>
      </c>
      <c r="G432" s="12" t="s">
        <v>117</v>
      </c>
      <c r="R432" s="14">
        <v>10979</v>
      </c>
      <c r="S432" s="14" t="s">
        <v>497</v>
      </c>
      <c r="T432" s="12" t="s">
        <v>398</v>
      </c>
      <c r="U432" s="15" t="str">
        <f t="shared" si="13"/>
        <v>AT&amp;T U-verse Chat - Chennai - CBK</v>
      </c>
      <c r="V432" s="12" t="s">
        <v>126</v>
      </c>
      <c r="W432" s="12" t="s">
        <v>360</v>
      </c>
      <c r="X432" s="12" t="s">
        <v>361</v>
      </c>
      <c r="Y432" s="12" t="s">
        <v>1038</v>
      </c>
      <c r="AA432" s="14">
        <v>95102</v>
      </c>
      <c r="AB432" s="14" t="s">
        <v>762</v>
      </c>
      <c r="AC432" s="12" t="s">
        <v>129</v>
      </c>
      <c r="AD432" s="15" t="str">
        <f t="shared" si="14"/>
        <v>Networking - MGT</v>
      </c>
      <c r="AE432" s="12" t="s">
        <v>118</v>
      </c>
      <c r="AF432" s="12" t="s">
        <v>763</v>
      </c>
      <c r="AG432" s="12" t="s">
        <v>264</v>
      </c>
      <c r="AH432" s="12" t="s">
        <v>1038</v>
      </c>
      <c r="AJ432" s="14">
        <v>51170</v>
      </c>
      <c r="AK432" s="14" t="s">
        <v>729</v>
      </c>
    </row>
    <row r="433" spans="6:37">
      <c r="F433" s="45">
        <v>51415</v>
      </c>
      <c r="G433" s="12" t="s">
        <v>117</v>
      </c>
      <c r="R433" s="14">
        <v>10979</v>
      </c>
      <c r="S433" s="14" t="s">
        <v>497</v>
      </c>
      <c r="T433" s="12" t="s">
        <v>144</v>
      </c>
      <c r="U433" s="15" t="str">
        <f t="shared" si="13"/>
        <v>AT&amp;T U-verse Chat - Chennai - CCOD</v>
      </c>
      <c r="V433" s="12" t="s">
        <v>126</v>
      </c>
      <c r="W433" s="12" t="s">
        <v>360</v>
      </c>
      <c r="X433" s="12" t="s">
        <v>361</v>
      </c>
      <c r="Y433" s="12" t="s">
        <v>1038</v>
      </c>
      <c r="AA433" s="14">
        <v>95102</v>
      </c>
      <c r="AB433" s="14" t="s">
        <v>762</v>
      </c>
      <c r="AC433" s="12" t="s">
        <v>139</v>
      </c>
      <c r="AD433" s="15" t="str">
        <f t="shared" si="14"/>
        <v>Networking - SMGT</v>
      </c>
      <c r="AE433" s="12" t="s">
        <v>118</v>
      </c>
      <c r="AF433" s="12" t="s">
        <v>763</v>
      </c>
      <c r="AG433" s="12" t="s">
        <v>264</v>
      </c>
      <c r="AH433" s="12" t="s">
        <v>1038</v>
      </c>
      <c r="AJ433" s="14">
        <v>51171</v>
      </c>
      <c r="AK433" s="14" t="s">
        <v>730</v>
      </c>
    </row>
    <row r="434" spans="6:37">
      <c r="F434" s="45">
        <v>51416</v>
      </c>
      <c r="G434" s="12" t="s">
        <v>117</v>
      </c>
      <c r="R434" s="14">
        <v>10979</v>
      </c>
      <c r="S434" s="14" t="s">
        <v>497</v>
      </c>
      <c r="T434" s="12" t="s">
        <v>150</v>
      </c>
      <c r="U434" s="15" t="str">
        <f t="shared" si="13"/>
        <v>AT&amp;T U-verse Chat - Chennai - CCS</v>
      </c>
      <c r="V434" s="12" t="s">
        <v>126</v>
      </c>
      <c r="W434" s="12" t="s">
        <v>360</v>
      </c>
      <c r="X434" s="12" t="s">
        <v>361</v>
      </c>
      <c r="Y434" s="12" t="s">
        <v>1038</v>
      </c>
      <c r="AA434" s="14">
        <v>95102</v>
      </c>
      <c r="AB434" s="14" t="s">
        <v>762</v>
      </c>
      <c r="AC434" s="12" t="s">
        <v>145</v>
      </c>
      <c r="AD434" s="15" t="str">
        <f t="shared" si="14"/>
        <v>Networking - SUP</v>
      </c>
      <c r="AE434" s="12" t="s">
        <v>118</v>
      </c>
      <c r="AF434" s="12" t="s">
        <v>763</v>
      </c>
      <c r="AG434" s="12" t="s">
        <v>264</v>
      </c>
      <c r="AH434" s="12" t="s">
        <v>1038</v>
      </c>
      <c r="AJ434" s="14">
        <v>51174</v>
      </c>
      <c r="AK434" s="14" t="s">
        <v>731</v>
      </c>
    </row>
    <row r="435" spans="6:37">
      <c r="F435" s="45">
        <v>51418</v>
      </c>
      <c r="G435" s="12" t="s">
        <v>117</v>
      </c>
      <c r="R435" s="14">
        <v>10979</v>
      </c>
      <c r="S435" s="14" t="s">
        <v>497</v>
      </c>
      <c r="T435" s="12" t="s">
        <v>161</v>
      </c>
      <c r="U435" s="15" t="str">
        <f t="shared" si="13"/>
        <v>AT&amp;T U-verse Chat - Chennai - ECC</v>
      </c>
      <c r="V435" s="12" t="s">
        <v>126</v>
      </c>
      <c r="W435" s="12" t="s">
        <v>360</v>
      </c>
      <c r="X435" s="12" t="s">
        <v>361</v>
      </c>
      <c r="Y435" s="12" t="s">
        <v>1038</v>
      </c>
      <c r="AA435" s="14">
        <v>12625</v>
      </c>
      <c r="AB435" s="14" t="s">
        <v>605</v>
      </c>
      <c r="AC435" s="12" t="s">
        <v>145</v>
      </c>
      <c r="AD435" s="15" t="str">
        <f t="shared" si="14"/>
        <v>NextGen - Support - SUP</v>
      </c>
      <c r="AE435" s="12" t="s">
        <v>117</v>
      </c>
      <c r="AF435" s="12" t="s">
        <v>117</v>
      </c>
      <c r="AG435" s="12" t="s">
        <v>117</v>
      </c>
      <c r="AH435" s="12" t="s">
        <v>1038</v>
      </c>
      <c r="AJ435" s="14">
        <v>51176</v>
      </c>
      <c r="AK435" s="14" t="s">
        <v>732</v>
      </c>
    </row>
    <row r="436" spans="6:37">
      <c r="F436" s="45">
        <v>51419</v>
      </c>
      <c r="G436" s="12" t="s">
        <v>117</v>
      </c>
      <c r="R436" s="14">
        <v>10979</v>
      </c>
      <c r="S436" s="14" t="s">
        <v>497</v>
      </c>
      <c r="T436" s="12" t="s">
        <v>168</v>
      </c>
      <c r="U436" s="15" t="str">
        <f t="shared" si="13"/>
        <v>AT&amp;T U-verse Chat - Chennai - ESC</v>
      </c>
      <c r="V436" s="12" t="s">
        <v>126</v>
      </c>
      <c r="W436" s="12" t="s">
        <v>360</v>
      </c>
      <c r="X436" s="12" t="s">
        <v>361</v>
      </c>
      <c r="Y436" s="12" t="s">
        <v>1038</v>
      </c>
      <c r="AA436" s="14">
        <v>12525</v>
      </c>
      <c r="AB436" s="14" t="s">
        <v>576</v>
      </c>
      <c r="AC436" s="12" t="s">
        <v>116</v>
      </c>
      <c r="AD436" s="15" t="str">
        <f t="shared" si="14"/>
        <v>NextGen Healthcare - PRD</v>
      </c>
      <c r="AE436" s="12" t="s">
        <v>117</v>
      </c>
      <c r="AF436" s="12" t="s">
        <v>117</v>
      </c>
      <c r="AG436" s="12" t="s">
        <v>117</v>
      </c>
      <c r="AH436" s="12" t="s">
        <v>1038</v>
      </c>
      <c r="AJ436" s="14">
        <v>51179</v>
      </c>
      <c r="AK436" s="14" t="s">
        <v>733</v>
      </c>
    </row>
    <row r="437" spans="6:37">
      <c r="F437" s="45">
        <v>51420</v>
      </c>
      <c r="G437" s="12" t="s">
        <v>117</v>
      </c>
      <c r="R437" s="14">
        <v>10979</v>
      </c>
      <c r="S437" s="14" t="s">
        <v>497</v>
      </c>
      <c r="T437" s="12" t="s">
        <v>171</v>
      </c>
      <c r="U437" s="15" t="str">
        <f t="shared" si="13"/>
        <v>AT&amp;T U-verse Chat - Chennai - ETE</v>
      </c>
      <c r="V437" s="12" t="s">
        <v>126</v>
      </c>
      <c r="W437" s="12" t="s">
        <v>360</v>
      </c>
      <c r="X437" s="12" t="s">
        <v>361</v>
      </c>
      <c r="Y437" s="12" t="s">
        <v>1038</v>
      </c>
      <c r="AA437" s="14">
        <v>12525</v>
      </c>
      <c r="AB437" s="14" t="s">
        <v>576</v>
      </c>
      <c r="AC437" s="12" t="s">
        <v>145</v>
      </c>
      <c r="AD437" s="15" t="str">
        <f t="shared" si="14"/>
        <v>NextGen Healthcare - SUP</v>
      </c>
      <c r="AE437" s="12" t="s">
        <v>117</v>
      </c>
      <c r="AF437" s="12" t="s">
        <v>117</v>
      </c>
      <c r="AG437" s="12" t="s">
        <v>117</v>
      </c>
      <c r="AH437" s="12" t="s">
        <v>1038</v>
      </c>
      <c r="AJ437" s="14">
        <v>51183</v>
      </c>
      <c r="AK437" s="14" t="s">
        <v>734</v>
      </c>
    </row>
    <row r="438" spans="6:37">
      <c r="F438" s="45">
        <v>51423</v>
      </c>
      <c r="G438" s="12" t="s">
        <v>117</v>
      </c>
      <c r="R438" s="14">
        <v>10979</v>
      </c>
      <c r="S438" s="14" t="s">
        <v>497</v>
      </c>
      <c r="T438" s="12" t="s">
        <v>306</v>
      </c>
      <c r="U438" s="15" t="str">
        <f t="shared" si="13"/>
        <v>AT&amp;T U-verse Chat - Chennai - FAO</v>
      </c>
      <c r="V438" s="12" t="s">
        <v>126</v>
      </c>
      <c r="W438" s="12" t="s">
        <v>360</v>
      </c>
      <c r="X438" s="12" t="s">
        <v>361</v>
      </c>
      <c r="Y438" s="12" t="s">
        <v>1038</v>
      </c>
      <c r="AA438" s="14">
        <v>12563</v>
      </c>
      <c r="AB438" s="14" t="s">
        <v>588</v>
      </c>
      <c r="AC438" s="12" t="s">
        <v>116</v>
      </c>
      <c r="AD438" s="15" t="str">
        <f t="shared" si="14"/>
        <v>Northwell - Credentialing - PRD</v>
      </c>
      <c r="AE438" s="12" t="s">
        <v>141</v>
      </c>
      <c r="AF438" s="12" t="s">
        <v>163</v>
      </c>
      <c r="AG438" s="12" t="s">
        <v>164</v>
      </c>
      <c r="AH438" s="12" t="s">
        <v>1038</v>
      </c>
      <c r="AJ438" s="14">
        <v>51184</v>
      </c>
      <c r="AK438" s="14" t="s">
        <v>735</v>
      </c>
    </row>
    <row r="439" spans="6:37">
      <c r="F439" s="45">
        <v>51425</v>
      </c>
      <c r="G439" s="12" t="s">
        <v>117</v>
      </c>
      <c r="R439" s="14">
        <v>10979</v>
      </c>
      <c r="S439" s="14" t="s">
        <v>497</v>
      </c>
      <c r="T439" s="12" t="s">
        <v>177</v>
      </c>
      <c r="U439" s="15" t="str">
        <f t="shared" si="13"/>
        <v>AT&amp;T U-verse Chat - Chennai - OPS</v>
      </c>
      <c r="V439" s="12" t="s">
        <v>126</v>
      </c>
      <c r="W439" s="12" t="s">
        <v>360</v>
      </c>
      <c r="X439" s="12" t="s">
        <v>361</v>
      </c>
      <c r="Y439" s="12" t="s">
        <v>1038</v>
      </c>
      <c r="AA439" s="14">
        <v>12472</v>
      </c>
      <c r="AB439" s="14" t="s">
        <v>560</v>
      </c>
      <c r="AC439" s="12" t="s">
        <v>116</v>
      </c>
      <c r="AD439" s="15" t="str">
        <f t="shared" si="14"/>
        <v>Northwell – PDM Tools - PRD</v>
      </c>
      <c r="AE439" s="12" t="s">
        <v>117</v>
      </c>
      <c r="AF439" s="12" t="s">
        <v>117</v>
      </c>
      <c r="AG439" s="12" t="s">
        <v>117</v>
      </c>
      <c r="AH439" s="12" t="s">
        <v>1038</v>
      </c>
      <c r="AJ439" s="14">
        <v>51214</v>
      </c>
      <c r="AK439" s="14" t="s">
        <v>736</v>
      </c>
    </row>
    <row r="440" spans="6:37">
      <c r="F440" s="45">
        <v>51427</v>
      </c>
      <c r="G440" s="12" t="s">
        <v>117</v>
      </c>
      <c r="R440" s="14">
        <v>10979</v>
      </c>
      <c r="S440" s="14" t="s">
        <v>497</v>
      </c>
      <c r="T440" s="12" t="s">
        <v>1013</v>
      </c>
      <c r="U440" s="15" t="str">
        <f t="shared" si="13"/>
        <v>AT&amp;T U-verse Chat - Chennai - PAT</v>
      </c>
      <c r="V440" s="12" t="s">
        <v>126</v>
      </c>
      <c r="W440" s="12" t="s">
        <v>360</v>
      </c>
      <c r="X440" s="12" t="s">
        <v>361</v>
      </c>
      <c r="Y440" s="12" t="s">
        <v>1038</v>
      </c>
      <c r="AA440" s="14">
        <v>12576</v>
      </c>
      <c r="AB440" s="14" t="s">
        <v>592</v>
      </c>
      <c r="AC440" s="12" t="s">
        <v>116</v>
      </c>
      <c r="AD440" s="15" t="str">
        <f t="shared" si="14"/>
        <v>Northwell - RCM Dental - PRD</v>
      </c>
      <c r="AE440" s="12" t="s">
        <v>154</v>
      </c>
      <c r="AF440" s="12" t="s">
        <v>163</v>
      </c>
      <c r="AG440" s="12" t="s">
        <v>164</v>
      </c>
      <c r="AH440" s="12" t="s">
        <v>1038</v>
      </c>
      <c r="AJ440" s="14">
        <v>51220</v>
      </c>
      <c r="AK440" s="14" t="s">
        <v>738</v>
      </c>
    </row>
    <row r="441" spans="6:37">
      <c r="F441" s="45">
        <v>51429</v>
      </c>
      <c r="G441" s="12" t="s">
        <v>117</v>
      </c>
      <c r="R441" s="14">
        <v>10979</v>
      </c>
      <c r="S441" s="14" t="s">
        <v>497</v>
      </c>
      <c r="T441" s="12" t="s">
        <v>111</v>
      </c>
      <c r="U441" s="15" t="str">
        <f t="shared" si="13"/>
        <v>AT&amp;T U-verse Chat - Chennai - QLY</v>
      </c>
      <c r="V441" s="12" t="s">
        <v>112</v>
      </c>
      <c r="W441" s="12" t="s">
        <v>113</v>
      </c>
      <c r="X441" s="12" t="s">
        <v>114</v>
      </c>
      <c r="Y441" s="12" t="s">
        <v>1038</v>
      </c>
      <c r="AA441" s="14">
        <v>12420</v>
      </c>
      <c r="AB441" s="14" t="s">
        <v>544</v>
      </c>
      <c r="AC441" s="12" t="s">
        <v>116</v>
      </c>
      <c r="AD441" s="15" t="str">
        <f t="shared" si="14"/>
        <v>Northwell - RPA - PRD</v>
      </c>
      <c r="AE441" s="12" t="s">
        <v>118</v>
      </c>
      <c r="AF441" s="12" t="s">
        <v>117</v>
      </c>
      <c r="AG441" s="12" t="s">
        <v>117</v>
      </c>
      <c r="AH441" s="12" t="s">
        <v>1038</v>
      </c>
      <c r="AJ441" s="14">
        <v>51231</v>
      </c>
      <c r="AK441" s="14" t="s">
        <v>1076</v>
      </c>
    </row>
    <row r="442" spans="6:37">
      <c r="F442" s="45">
        <v>51431</v>
      </c>
      <c r="G442" s="12" t="s">
        <v>117</v>
      </c>
      <c r="R442" s="14">
        <v>10979</v>
      </c>
      <c r="S442" s="14" t="s">
        <v>497</v>
      </c>
      <c r="T442" s="12" t="s">
        <v>172</v>
      </c>
      <c r="U442" s="15" t="str">
        <f t="shared" si="13"/>
        <v>AT&amp;T U-verse Chat - Chennai - SME</v>
      </c>
      <c r="V442" s="12" t="s">
        <v>126</v>
      </c>
      <c r="W442" s="12" t="s">
        <v>360</v>
      </c>
      <c r="X442" s="12" t="s">
        <v>361</v>
      </c>
      <c r="Y442" s="12" t="s">
        <v>1038</v>
      </c>
      <c r="AA442" s="14">
        <v>12420</v>
      </c>
      <c r="AB442" s="14" t="s">
        <v>544</v>
      </c>
      <c r="AC442" s="12" t="s">
        <v>145</v>
      </c>
      <c r="AD442" s="15" t="str">
        <f t="shared" si="14"/>
        <v>Northwell - RPA - SUP</v>
      </c>
      <c r="AE442" s="12" t="s">
        <v>118</v>
      </c>
      <c r="AF442" s="12" t="s">
        <v>117</v>
      </c>
      <c r="AG442" s="12" t="s">
        <v>117</v>
      </c>
      <c r="AH442" s="12" t="s">
        <v>1038</v>
      </c>
      <c r="AJ442" s="14">
        <v>51233</v>
      </c>
      <c r="AK442" s="14" t="s">
        <v>739</v>
      </c>
    </row>
    <row r="443" spans="6:37">
      <c r="F443" s="45">
        <v>51432</v>
      </c>
      <c r="G443" s="12" t="s">
        <v>117</v>
      </c>
      <c r="R443" s="14">
        <v>10979</v>
      </c>
      <c r="S443" s="14" t="s">
        <v>497</v>
      </c>
      <c r="T443" s="12" t="s">
        <v>119</v>
      </c>
      <c r="U443" s="15" t="str">
        <f t="shared" si="13"/>
        <v>AT&amp;T U-verse Chat - Chennai - SQM</v>
      </c>
      <c r="V443" s="12" t="s">
        <v>112</v>
      </c>
      <c r="W443" s="12" t="s">
        <v>113</v>
      </c>
      <c r="X443" s="12" t="s">
        <v>114</v>
      </c>
      <c r="Y443" s="12" t="s">
        <v>1038</v>
      </c>
      <c r="AA443" s="14">
        <v>12124</v>
      </c>
      <c r="AB443" s="14" t="s">
        <v>520</v>
      </c>
      <c r="AC443" s="12" t="s">
        <v>224</v>
      </c>
      <c r="AD443" s="15" t="str">
        <f t="shared" si="14"/>
        <v>Northwell Commercial AR - ACM</v>
      </c>
      <c r="AE443" s="12" t="s">
        <v>154</v>
      </c>
      <c r="AF443" s="12" t="s">
        <v>163</v>
      </c>
      <c r="AG443" s="12" t="s">
        <v>164</v>
      </c>
      <c r="AH443" s="12" t="s">
        <v>1038</v>
      </c>
      <c r="AJ443" s="14">
        <v>51236</v>
      </c>
      <c r="AK443" s="14" t="s">
        <v>740</v>
      </c>
    </row>
    <row r="444" spans="6:37">
      <c r="F444" s="45">
        <v>51433</v>
      </c>
      <c r="G444" s="12" t="s">
        <v>117</v>
      </c>
      <c r="R444" s="14">
        <v>10979</v>
      </c>
      <c r="S444" s="14" t="s">
        <v>497</v>
      </c>
      <c r="T444" s="12" t="s">
        <v>145</v>
      </c>
      <c r="U444" s="15" t="str">
        <f t="shared" si="13"/>
        <v>AT&amp;T U-verse Chat - Chennai - SUP</v>
      </c>
      <c r="V444" s="12" t="s">
        <v>126</v>
      </c>
      <c r="W444" s="12" t="s">
        <v>360</v>
      </c>
      <c r="X444" s="12" t="s">
        <v>361</v>
      </c>
      <c r="Y444" s="12" t="s">
        <v>1038</v>
      </c>
      <c r="AA444" s="14">
        <v>12124</v>
      </c>
      <c r="AB444" s="14" t="s">
        <v>520</v>
      </c>
      <c r="AC444" s="12" t="s">
        <v>177</v>
      </c>
      <c r="AD444" s="15" t="str">
        <f t="shared" si="14"/>
        <v>Northwell Commercial AR - OPS</v>
      </c>
      <c r="AE444" s="12" t="s">
        <v>154</v>
      </c>
      <c r="AF444" s="12" t="s">
        <v>163</v>
      </c>
      <c r="AG444" s="12" t="s">
        <v>164</v>
      </c>
      <c r="AH444" s="12" t="s">
        <v>1038</v>
      </c>
      <c r="AJ444" s="14">
        <v>51237</v>
      </c>
      <c r="AK444" s="14" t="s">
        <v>1077</v>
      </c>
    </row>
    <row r="445" spans="6:37">
      <c r="F445" s="45">
        <v>51434</v>
      </c>
      <c r="G445" s="12" t="s">
        <v>117</v>
      </c>
      <c r="R445" s="14">
        <v>10979</v>
      </c>
      <c r="S445" s="14" t="s">
        <v>497</v>
      </c>
      <c r="T445" s="12" t="s">
        <v>196</v>
      </c>
      <c r="U445" s="15" t="str">
        <f t="shared" si="13"/>
        <v>AT&amp;T U-verse Chat - Chennai - SUT</v>
      </c>
      <c r="V445" s="12" t="s">
        <v>126</v>
      </c>
      <c r="W445" s="12" t="s">
        <v>360</v>
      </c>
      <c r="X445" s="12" t="s">
        <v>361</v>
      </c>
      <c r="Y445" s="12" t="s">
        <v>1038</v>
      </c>
      <c r="AA445" s="14">
        <v>12124</v>
      </c>
      <c r="AB445" s="14" t="s">
        <v>520</v>
      </c>
      <c r="AC445" s="12" t="s">
        <v>116</v>
      </c>
      <c r="AD445" s="15" t="str">
        <f t="shared" si="14"/>
        <v>Northwell Commercial AR - PRD</v>
      </c>
      <c r="AE445" s="12" t="s">
        <v>154</v>
      </c>
      <c r="AF445" s="12" t="s">
        <v>163</v>
      </c>
      <c r="AG445" s="12" t="s">
        <v>164</v>
      </c>
      <c r="AH445" s="12" t="s">
        <v>1038</v>
      </c>
      <c r="AJ445" s="14">
        <v>51239</v>
      </c>
      <c r="AK445" s="14" t="s">
        <v>1078</v>
      </c>
    </row>
    <row r="446" spans="6:37">
      <c r="F446" s="45">
        <v>51435</v>
      </c>
      <c r="G446" s="12" t="s">
        <v>117</v>
      </c>
      <c r="R446" s="14">
        <v>10979</v>
      </c>
      <c r="S446" s="14" t="s">
        <v>497</v>
      </c>
      <c r="T446" s="12" t="s">
        <v>198</v>
      </c>
      <c r="U446" s="15" t="str">
        <f t="shared" si="13"/>
        <v>AT&amp;T U-verse Chat - Chennai - TEC</v>
      </c>
      <c r="V446" s="12" t="s">
        <v>126</v>
      </c>
      <c r="W446" s="12" t="s">
        <v>360</v>
      </c>
      <c r="X446" s="12" t="s">
        <v>361</v>
      </c>
      <c r="Y446" s="12" t="s">
        <v>1038</v>
      </c>
      <c r="AA446" s="14">
        <v>12124</v>
      </c>
      <c r="AB446" s="14" t="s">
        <v>520</v>
      </c>
      <c r="AC446" s="12" t="s">
        <v>111</v>
      </c>
      <c r="AD446" s="15" t="str">
        <f t="shared" si="14"/>
        <v>Northwell Commercial AR - QLY</v>
      </c>
      <c r="AE446" s="12" t="s">
        <v>118</v>
      </c>
      <c r="AF446" s="12" t="s">
        <v>113</v>
      </c>
      <c r="AG446" s="12" t="s">
        <v>114</v>
      </c>
      <c r="AH446" s="12" t="s">
        <v>1038</v>
      </c>
      <c r="AJ446" s="14">
        <v>51241</v>
      </c>
      <c r="AK446" s="14" t="s">
        <v>742</v>
      </c>
    </row>
    <row r="447" spans="6:37">
      <c r="F447" s="45">
        <v>51436</v>
      </c>
      <c r="G447" s="12" t="s">
        <v>117</v>
      </c>
      <c r="R447" s="14">
        <v>10979</v>
      </c>
      <c r="S447" s="14" t="s">
        <v>497</v>
      </c>
      <c r="T447" s="12" t="s">
        <v>180</v>
      </c>
      <c r="U447" s="15" t="str">
        <f t="shared" si="13"/>
        <v>AT&amp;T U-verse Chat - Chennai - TMG</v>
      </c>
      <c r="V447" s="12" t="s">
        <v>126</v>
      </c>
      <c r="W447" s="12" t="s">
        <v>360</v>
      </c>
      <c r="X447" s="12" t="s">
        <v>361</v>
      </c>
      <c r="Y447" s="12" t="s">
        <v>1038</v>
      </c>
      <c r="AA447" s="14">
        <v>12124</v>
      </c>
      <c r="AB447" s="14" t="s">
        <v>520</v>
      </c>
      <c r="AC447" s="12" t="s">
        <v>332</v>
      </c>
      <c r="AD447" s="15" t="str">
        <f t="shared" si="14"/>
        <v>Northwell Commercial AR - RCF</v>
      </c>
      <c r="AE447" s="12" t="s">
        <v>154</v>
      </c>
      <c r="AF447" s="12" t="s">
        <v>163</v>
      </c>
      <c r="AG447" s="12" t="s">
        <v>164</v>
      </c>
      <c r="AH447" s="12" t="s">
        <v>1038</v>
      </c>
      <c r="AJ447" s="14">
        <v>51243</v>
      </c>
      <c r="AK447" s="14" t="s">
        <v>743</v>
      </c>
    </row>
    <row r="448" spans="6:37">
      <c r="F448" s="45">
        <v>51437</v>
      </c>
      <c r="G448" s="12" t="s">
        <v>117</v>
      </c>
      <c r="R448" s="14">
        <v>10979</v>
      </c>
      <c r="S448" s="14" t="s">
        <v>497</v>
      </c>
      <c r="T448" s="12" t="s">
        <v>185</v>
      </c>
      <c r="U448" s="15" t="str">
        <f t="shared" si="13"/>
        <v>AT&amp;T U-verse Chat - Chennai - TPS</v>
      </c>
      <c r="V448" s="12" t="s">
        <v>126</v>
      </c>
      <c r="W448" s="12" t="s">
        <v>360</v>
      </c>
      <c r="X448" s="12" t="s">
        <v>361</v>
      </c>
      <c r="Y448" s="12" t="s">
        <v>1038</v>
      </c>
      <c r="AA448" s="14">
        <v>12124</v>
      </c>
      <c r="AB448" s="14" t="s">
        <v>520</v>
      </c>
      <c r="AC448" s="12" t="s">
        <v>145</v>
      </c>
      <c r="AD448" s="15" t="str">
        <f t="shared" si="14"/>
        <v>Northwell Commercial AR - SUP</v>
      </c>
      <c r="AE448" s="12" t="s">
        <v>154</v>
      </c>
      <c r="AF448" s="12" t="s">
        <v>163</v>
      </c>
      <c r="AG448" s="12" t="s">
        <v>164</v>
      </c>
      <c r="AH448" s="12" t="s">
        <v>1038</v>
      </c>
      <c r="AJ448" s="14">
        <v>51245</v>
      </c>
      <c r="AK448" s="14" t="s">
        <v>744</v>
      </c>
    </row>
    <row r="449" spans="6:37">
      <c r="F449" s="45">
        <v>51438</v>
      </c>
      <c r="G449" s="12" t="s">
        <v>117</v>
      </c>
      <c r="R449" s="14">
        <v>10979</v>
      </c>
      <c r="S449" s="14" t="s">
        <v>497</v>
      </c>
      <c r="T449" s="12" t="s">
        <v>203</v>
      </c>
      <c r="U449" s="15" t="str">
        <f t="shared" si="13"/>
        <v>AT&amp;T U-verse Chat - Chennai - TRG</v>
      </c>
      <c r="V449" s="12" t="s">
        <v>112</v>
      </c>
      <c r="W449" s="12" t="s">
        <v>204</v>
      </c>
      <c r="X449" s="12" t="s">
        <v>205</v>
      </c>
      <c r="Y449" s="12" t="s">
        <v>1038</v>
      </c>
      <c r="AA449" s="14">
        <v>12124</v>
      </c>
      <c r="AB449" s="14" t="s">
        <v>520</v>
      </c>
      <c r="AC449" s="12" t="s">
        <v>180</v>
      </c>
      <c r="AD449" s="15" t="str">
        <f t="shared" si="14"/>
        <v>Northwell Commercial AR - TMG</v>
      </c>
      <c r="AE449" s="12" t="s">
        <v>154</v>
      </c>
      <c r="AF449" s="12" t="s">
        <v>163</v>
      </c>
      <c r="AG449" s="12" t="s">
        <v>164</v>
      </c>
      <c r="AH449" s="12" t="s">
        <v>1038</v>
      </c>
      <c r="AJ449" s="14">
        <v>51247</v>
      </c>
      <c r="AK449" s="14" t="s">
        <v>745</v>
      </c>
    </row>
    <row r="450" spans="6:37">
      <c r="F450" s="45">
        <v>51439</v>
      </c>
      <c r="G450" s="12" t="s">
        <v>117</v>
      </c>
      <c r="R450" s="14">
        <v>10979</v>
      </c>
      <c r="S450" s="14" t="s">
        <v>497</v>
      </c>
      <c r="T450" s="12" t="s">
        <v>208</v>
      </c>
      <c r="U450" s="15" t="str">
        <f t="shared" si="13"/>
        <v>AT&amp;T U-verse Chat - Chennai - TTR</v>
      </c>
      <c r="V450" s="12" t="s">
        <v>112</v>
      </c>
      <c r="W450" s="12" t="s">
        <v>204</v>
      </c>
      <c r="X450" s="12" t="s">
        <v>205</v>
      </c>
      <c r="Y450" s="12" t="s">
        <v>1038</v>
      </c>
      <c r="AA450" s="14">
        <v>12124</v>
      </c>
      <c r="AB450" s="14" t="s">
        <v>520</v>
      </c>
      <c r="AC450" s="12" t="s">
        <v>185</v>
      </c>
      <c r="AD450" s="15" t="str">
        <f t="shared" si="14"/>
        <v>Northwell Commercial AR - TPS</v>
      </c>
      <c r="AE450" s="12" t="s">
        <v>154</v>
      </c>
      <c r="AF450" s="12" t="s">
        <v>163</v>
      </c>
      <c r="AG450" s="12" t="s">
        <v>164</v>
      </c>
      <c r="AH450" s="12" t="s">
        <v>1038</v>
      </c>
      <c r="AJ450" s="14">
        <v>51261</v>
      </c>
      <c r="AK450" s="14" t="s">
        <v>746</v>
      </c>
    </row>
    <row r="451" spans="6:37">
      <c r="F451" s="45">
        <v>51440</v>
      </c>
      <c r="G451" s="12" t="s">
        <v>117</v>
      </c>
      <c r="R451" s="14">
        <v>10990</v>
      </c>
      <c r="S451" s="14" t="s">
        <v>499</v>
      </c>
      <c r="T451" s="12" t="s">
        <v>133</v>
      </c>
      <c r="U451" s="15" t="str">
        <f t="shared" ref="U451:U514" si="15">S451&amp;" - "&amp;T451</f>
        <v>AT&amp;T U-verse Voice - Airoli - AMG</v>
      </c>
      <c r="V451" s="12" t="s">
        <v>126</v>
      </c>
      <c r="W451" s="12" t="s">
        <v>360</v>
      </c>
      <c r="X451" s="12" t="s">
        <v>361</v>
      </c>
      <c r="Y451" s="12" t="s">
        <v>1038</v>
      </c>
      <c r="AA451" s="14">
        <v>12125</v>
      </c>
      <c r="AB451" s="14" t="s">
        <v>522</v>
      </c>
      <c r="AC451" s="12" t="s">
        <v>224</v>
      </c>
      <c r="AD451" s="15" t="str">
        <f t="shared" ref="AD451:AD514" si="16">AB451&amp;" - "&amp;AC451</f>
        <v>Northwell Missing Check Proj - ACM</v>
      </c>
      <c r="AE451" s="12" t="s">
        <v>154</v>
      </c>
      <c r="AF451" s="12" t="s">
        <v>163</v>
      </c>
      <c r="AG451" s="12" t="s">
        <v>164</v>
      </c>
      <c r="AH451" s="12" t="s">
        <v>1038</v>
      </c>
      <c r="AJ451" s="14">
        <v>51263</v>
      </c>
      <c r="AK451" s="14" t="s">
        <v>747</v>
      </c>
    </row>
    <row r="452" spans="6:37">
      <c r="F452" s="45">
        <v>51441</v>
      </c>
      <c r="G452" s="12" t="s">
        <v>117</v>
      </c>
      <c r="R452" s="14">
        <v>10990</v>
      </c>
      <c r="S452" s="14" t="s">
        <v>499</v>
      </c>
      <c r="T452" s="12" t="s">
        <v>398</v>
      </c>
      <c r="U452" s="15" t="str">
        <f t="shared" si="15"/>
        <v>AT&amp;T U-verse Voice - Airoli - CBK</v>
      </c>
      <c r="V452" s="12" t="s">
        <v>126</v>
      </c>
      <c r="W452" s="12" t="s">
        <v>360</v>
      </c>
      <c r="X452" s="12" t="s">
        <v>361</v>
      </c>
      <c r="Y452" s="12" t="s">
        <v>1038</v>
      </c>
      <c r="AA452" s="14">
        <v>12125</v>
      </c>
      <c r="AB452" s="14" t="s">
        <v>522</v>
      </c>
      <c r="AC452" s="12" t="s">
        <v>177</v>
      </c>
      <c r="AD452" s="15" t="str">
        <f t="shared" si="16"/>
        <v>Northwell Missing Check Proj - OPS</v>
      </c>
      <c r="AE452" s="12" t="s">
        <v>154</v>
      </c>
      <c r="AF452" s="12" t="s">
        <v>163</v>
      </c>
      <c r="AG452" s="12" t="s">
        <v>164</v>
      </c>
      <c r="AH452" s="12" t="s">
        <v>1038</v>
      </c>
      <c r="AJ452" s="14">
        <v>51268</v>
      </c>
      <c r="AK452" s="14" t="s">
        <v>749</v>
      </c>
    </row>
    <row r="453" spans="6:37">
      <c r="F453" s="45">
        <v>51442</v>
      </c>
      <c r="G453" s="12" t="s">
        <v>117</v>
      </c>
      <c r="R453" s="14">
        <v>10990</v>
      </c>
      <c r="S453" s="14" t="s">
        <v>499</v>
      </c>
      <c r="T453" s="12" t="s">
        <v>144</v>
      </c>
      <c r="U453" s="15" t="str">
        <f t="shared" si="15"/>
        <v>AT&amp;T U-verse Voice - Airoli - CCOD</v>
      </c>
      <c r="V453" s="12" t="s">
        <v>126</v>
      </c>
      <c r="W453" s="12" t="s">
        <v>360</v>
      </c>
      <c r="X453" s="12" t="s">
        <v>361</v>
      </c>
      <c r="Y453" s="12" t="s">
        <v>1038</v>
      </c>
      <c r="AA453" s="14">
        <v>12125</v>
      </c>
      <c r="AB453" s="14" t="s">
        <v>522</v>
      </c>
      <c r="AC453" s="12" t="s">
        <v>116</v>
      </c>
      <c r="AD453" s="15" t="str">
        <f t="shared" si="16"/>
        <v>Northwell Missing Check Proj - PRD</v>
      </c>
      <c r="AE453" s="12" t="s">
        <v>154</v>
      </c>
      <c r="AF453" s="12" t="s">
        <v>163</v>
      </c>
      <c r="AG453" s="12" t="s">
        <v>164</v>
      </c>
      <c r="AH453" s="12" t="s">
        <v>1038</v>
      </c>
      <c r="AJ453" s="14">
        <v>51271</v>
      </c>
      <c r="AK453" s="14" t="s">
        <v>750</v>
      </c>
    </row>
    <row r="454" spans="6:37">
      <c r="F454" s="45">
        <v>51445</v>
      </c>
      <c r="G454" s="12" t="s">
        <v>117</v>
      </c>
      <c r="R454" s="14">
        <v>10990</v>
      </c>
      <c r="S454" s="14" t="s">
        <v>499</v>
      </c>
      <c r="T454" s="12" t="s">
        <v>150</v>
      </c>
      <c r="U454" s="15" t="str">
        <f t="shared" si="15"/>
        <v>AT&amp;T U-verse Voice - Airoli - CCS</v>
      </c>
      <c r="V454" s="12" t="s">
        <v>126</v>
      </c>
      <c r="W454" s="12" t="s">
        <v>360</v>
      </c>
      <c r="X454" s="12" t="s">
        <v>361</v>
      </c>
      <c r="Y454" s="12" t="s">
        <v>1038</v>
      </c>
      <c r="AA454" s="14">
        <v>12125</v>
      </c>
      <c r="AB454" s="14" t="s">
        <v>522</v>
      </c>
      <c r="AC454" s="12" t="s">
        <v>332</v>
      </c>
      <c r="AD454" s="15" t="str">
        <f t="shared" si="16"/>
        <v>Northwell Missing Check Proj - RCF</v>
      </c>
      <c r="AE454" s="12" t="s">
        <v>154</v>
      </c>
      <c r="AF454" s="12" t="s">
        <v>163</v>
      </c>
      <c r="AG454" s="12" t="s">
        <v>164</v>
      </c>
      <c r="AH454" s="12" t="s">
        <v>1038</v>
      </c>
      <c r="AJ454" s="14">
        <v>51276</v>
      </c>
      <c r="AK454" s="14" t="s">
        <v>751</v>
      </c>
    </row>
    <row r="455" spans="6:37">
      <c r="F455" s="45">
        <v>51446</v>
      </c>
      <c r="G455" s="12" t="s">
        <v>117</v>
      </c>
      <c r="R455" s="14">
        <v>10990</v>
      </c>
      <c r="S455" s="14" t="s">
        <v>499</v>
      </c>
      <c r="T455" s="12" t="s">
        <v>161</v>
      </c>
      <c r="U455" s="15" t="str">
        <f t="shared" si="15"/>
        <v>AT&amp;T U-verse Voice - Airoli - ECC</v>
      </c>
      <c r="V455" s="12" t="s">
        <v>126</v>
      </c>
      <c r="W455" s="12" t="s">
        <v>360</v>
      </c>
      <c r="X455" s="12" t="s">
        <v>361</v>
      </c>
      <c r="Y455" s="12" t="s">
        <v>1038</v>
      </c>
      <c r="AA455" s="14">
        <v>12125</v>
      </c>
      <c r="AB455" s="14" t="s">
        <v>522</v>
      </c>
      <c r="AC455" s="12" t="s">
        <v>180</v>
      </c>
      <c r="AD455" s="15" t="str">
        <f t="shared" si="16"/>
        <v>Northwell Missing Check Proj - TMG</v>
      </c>
      <c r="AE455" s="12" t="s">
        <v>154</v>
      </c>
      <c r="AF455" s="12" t="s">
        <v>163</v>
      </c>
      <c r="AG455" s="12" t="s">
        <v>164</v>
      </c>
      <c r="AH455" s="12" t="s">
        <v>1038</v>
      </c>
      <c r="AJ455" s="14">
        <v>51279</v>
      </c>
      <c r="AK455" s="14" t="s">
        <v>752</v>
      </c>
    </row>
    <row r="456" spans="6:37">
      <c r="F456" s="45">
        <v>51447</v>
      </c>
      <c r="G456" s="12" t="s">
        <v>117</v>
      </c>
      <c r="R456" s="14">
        <v>10990</v>
      </c>
      <c r="S456" s="14" t="s">
        <v>499</v>
      </c>
      <c r="T456" s="12" t="s">
        <v>168</v>
      </c>
      <c r="U456" s="15" t="str">
        <f t="shared" si="15"/>
        <v>AT&amp;T U-verse Voice - Airoli - ESC</v>
      </c>
      <c r="V456" s="12" t="s">
        <v>126</v>
      </c>
      <c r="W456" s="12" t="s">
        <v>360</v>
      </c>
      <c r="X456" s="12" t="s">
        <v>361</v>
      </c>
      <c r="Y456" s="12" t="s">
        <v>1038</v>
      </c>
      <c r="AA456" s="14">
        <v>12125</v>
      </c>
      <c r="AB456" s="14" t="s">
        <v>522</v>
      </c>
      <c r="AC456" s="12" t="s">
        <v>185</v>
      </c>
      <c r="AD456" s="15" t="str">
        <f t="shared" si="16"/>
        <v>Northwell Missing Check Proj - TPS</v>
      </c>
      <c r="AE456" s="12" t="s">
        <v>154</v>
      </c>
      <c r="AF456" s="12" t="s">
        <v>163</v>
      </c>
      <c r="AG456" s="12" t="s">
        <v>164</v>
      </c>
      <c r="AH456" s="12" t="s">
        <v>1038</v>
      </c>
      <c r="AJ456" s="14">
        <v>51282</v>
      </c>
      <c r="AK456" s="14" t="s">
        <v>753</v>
      </c>
    </row>
    <row r="457" spans="6:37">
      <c r="F457" s="45">
        <v>51448</v>
      </c>
      <c r="G457" s="12" t="s">
        <v>117</v>
      </c>
      <c r="R457" s="14">
        <v>10990</v>
      </c>
      <c r="S457" s="14" t="s">
        <v>499</v>
      </c>
      <c r="T457" s="12" t="s">
        <v>171</v>
      </c>
      <c r="U457" s="15" t="str">
        <f t="shared" si="15"/>
        <v>AT&amp;T U-verse Voice - Airoli - ETE</v>
      </c>
      <c r="V457" s="12" t="s">
        <v>126</v>
      </c>
      <c r="W457" s="12" t="s">
        <v>360</v>
      </c>
      <c r="X457" s="12" t="s">
        <v>361</v>
      </c>
      <c r="Y457" s="12" t="s">
        <v>1038</v>
      </c>
      <c r="AA457" s="14">
        <v>12626</v>
      </c>
      <c r="AB457" s="14" t="s">
        <v>606</v>
      </c>
      <c r="AC457" s="12" t="s">
        <v>185</v>
      </c>
      <c r="AD457" s="15" t="str">
        <f t="shared" si="16"/>
        <v>Northwell RCM – Gastro - TPS</v>
      </c>
      <c r="AE457" s="12" t="s">
        <v>154</v>
      </c>
      <c r="AF457" s="12" t="s">
        <v>163</v>
      </c>
      <c r="AG457" s="12" t="s">
        <v>164</v>
      </c>
      <c r="AH457" s="12" t="s">
        <v>1038</v>
      </c>
      <c r="AJ457" s="14">
        <v>51285</v>
      </c>
      <c r="AK457" s="14" t="s">
        <v>754</v>
      </c>
    </row>
    <row r="458" spans="6:37">
      <c r="F458" s="45">
        <v>51449</v>
      </c>
      <c r="G458" s="12" t="s">
        <v>117</v>
      </c>
      <c r="R458" s="14">
        <v>10990</v>
      </c>
      <c r="S458" s="14" t="s">
        <v>499</v>
      </c>
      <c r="T458" s="12" t="s">
        <v>422</v>
      </c>
      <c r="U458" s="15" t="str">
        <f t="shared" si="15"/>
        <v>AT&amp;T U-verse Voice - Airoli - FMEA</v>
      </c>
      <c r="V458" s="12" t="s">
        <v>126</v>
      </c>
      <c r="W458" s="12" t="s">
        <v>360</v>
      </c>
      <c r="X458" s="12" t="s">
        <v>361</v>
      </c>
      <c r="Y458" s="12" t="s">
        <v>1038</v>
      </c>
      <c r="AA458" s="14">
        <v>12502</v>
      </c>
      <c r="AB458" s="14" t="s">
        <v>568</v>
      </c>
      <c r="AC458" s="12" t="s">
        <v>177</v>
      </c>
      <c r="AD458" s="15" t="str">
        <f t="shared" si="16"/>
        <v>Northwell RCM - PAP - OPS</v>
      </c>
      <c r="AE458" s="12" t="s">
        <v>154</v>
      </c>
      <c r="AF458" s="12" t="s">
        <v>163</v>
      </c>
      <c r="AG458" s="12" t="s">
        <v>164</v>
      </c>
      <c r="AH458" s="12" t="s">
        <v>1038</v>
      </c>
      <c r="AJ458" s="14">
        <v>51289</v>
      </c>
      <c r="AK458" s="14" t="s">
        <v>755</v>
      </c>
    </row>
    <row r="459" spans="6:37">
      <c r="F459" s="45">
        <v>51450</v>
      </c>
      <c r="G459" s="12" t="s">
        <v>117</v>
      </c>
      <c r="R459" s="14">
        <v>10990</v>
      </c>
      <c r="S459" s="14" t="s">
        <v>499</v>
      </c>
      <c r="T459" s="12" t="s">
        <v>129</v>
      </c>
      <c r="U459" s="15" t="str">
        <f t="shared" si="15"/>
        <v>AT&amp;T U-verse Voice - Airoli - MGT</v>
      </c>
      <c r="V459" s="12" t="s">
        <v>126</v>
      </c>
      <c r="W459" s="12" t="s">
        <v>360</v>
      </c>
      <c r="X459" s="12" t="s">
        <v>361</v>
      </c>
      <c r="Y459" s="12" t="s">
        <v>1038</v>
      </c>
      <c r="AA459" s="14">
        <v>12502</v>
      </c>
      <c r="AB459" s="14" t="s">
        <v>568</v>
      </c>
      <c r="AC459" s="12" t="s">
        <v>116</v>
      </c>
      <c r="AD459" s="15" t="str">
        <f t="shared" si="16"/>
        <v>Northwell RCM - PAP - PRD</v>
      </c>
      <c r="AE459" s="12" t="s">
        <v>154</v>
      </c>
      <c r="AF459" s="12" t="s">
        <v>163</v>
      </c>
      <c r="AG459" s="12" t="s">
        <v>164</v>
      </c>
      <c r="AH459" s="12" t="s">
        <v>1038</v>
      </c>
      <c r="AJ459" s="14">
        <v>51290</v>
      </c>
      <c r="AK459" s="14" t="s">
        <v>756</v>
      </c>
    </row>
    <row r="460" spans="6:37">
      <c r="F460" s="45">
        <v>51451</v>
      </c>
      <c r="G460" s="12" t="s">
        <v>117</v>
      </c>
      <c r="R460" s="14">
        <v>10990</v>
      </c>
      <c r="S460" s="14" t="s">
        <v>499</v>
      </c>
      <c r="T460" s="12" t="s">
        <v>177</v>
      </c>
      <c r="U460" s="15" t="str">
        <f t="shared" si="15"/>
        <v>AT&amp;T U-verse Voice - Airoli - OPS</v>
      </c>
      <c r="V460" s="12" t="s">
        <v>126</v>
      </c>
      <c r="W460" s="12" t="s">
        <v>360</v>
      </c>
      <c r="X460" s="12" t="s">
        <v>361</v>
      </c>
      <c r="Y460" s="12" t="s">
        <v>1038</v>
      </c>
      <c r="AA460" s="14">
        <v>12614</v>
      </c>
      <c r="AB460" s="14" t="s">
        <v>601</v>
      </c>
      <c r="AC460" s="12" t="s">
        <v>116</v>
      </c>
      <c r="AD460" s="15" t="str">
        <f t="shared" si="16"/>
        <v>Northwell RCM - SurgiCare - PRD</v>
      </c>
      <c r="AE460" s="12" t="s">
        <v>154</v>
      </c>
      <c r="AF460" s="12" t="s">
        <v>163</v>
      </c>
      <c r="AG460" s="12" t="s">
        <v>164</v>
      </c>
      <c r="AH460" s="12" t="s">
        <v>1038</v>
      </c>
      <c r="AJ460" s="14">
        <v>51293</v>
      </c>
      <c r="AK460" s="14" t="s">
        <v>757</v>
      </c>
    </row>
    <row r="461" spans="6:37">
      <c r="F461" s="45">
        <v>51452</v>
      </c>
      <c r="G461" s="12" t="s">
        <v>117</v>
      </c>
      <c r="R461" s="14">
        <v>10990</v>
      </c>
      <c r="S461" s="14" t="s">
        <v>499</v>
      </c>
      <c r="T461" s="12" t="s">
        <v>116</v>
      </c>
      <c r="U461" s="15" t="str">
        <f t="shared" si="15"/>
        <v>AT&amp;T U-verse Voice - Airoli - PRD</v>
      </c>
      <c r="V461" s="12" t="s">
        <v>126</v>
      </c>
      <c r="W461" s="12" t="s">
        <v>360</v>
      </c>
      <c r="X461" s="12" t="s">
        <v>361</v>
      </c>
      <c r="Y461" s="12" t="s">
        <v>1038</v>
      </c>
      <c r="AA461" s="14">
        <v>12635</v>
      </c>
      <c r="AB461" s="14" t="s">
        <v>609</v>
      </c>
      <c r="AC461" s="12" t="s">
        <v>185</v>
      </c>
      <c r="AD461" s="15" t="str">
        <f t="shared" si="16"/>
        <v>Northwell RCM-Neurology Legacy - TPS</v>
      </c>
      <c r="AE461" s="12" t="s">
        <v>154</v>
      </c>
      <c r="AF461" s="12" t="s">
        <v>163</v>
      </c>
      <c r="AG461" s="12" t="s">
        <v>164</v>
      </c>
      <c r="AH461" s="12" t="s">
        <v>1038</v>
      </c>
      <c r="AJ461" s="14">
        <v>51295</v>
      </c>
      <c r="AK461" s="14" t="s">
        <v>758</v>
      </c>
    </row>
    <row r="462" spans="6:37">
      <c r="F462" s="45">
        <v>51453</v>
      </c>
      <c r="G462" s="12" t="s">
        <v>117</v>
      </c>
      <c r="R462" s="14">
        <v>10990</v>
      </c>
      <c r="S462" s="14" t="s">
        <v>499</v>
      </c>
      <c r="T462" s="12" t="s">
        <v>111</v>
      </c>
      <c r="U462" s="15" t="str">
        <f t="shared" si="15"/>
        <v>AT&amp;T U-verse Voice - Airoli - QLY</v>
      </c>
      <c r="V462" s="12" t="s">
        <v>112</v>
      </c>
      <c r="W462" s="12" t="s">
        <v>113</v>
      </c>
      <c r="X462" s="12" t="s">
        <v>114</v>
      </c>
      <c r="Y462" s="12" t="s">
        <v>1038</v>
      </c>
      <c r="AA462" s="14">
        <v>12126</v>
      </c>
      <c r="AB462" s="14" t="s">
        <v>523</v>
      </c>
      <c r="AC462" s="12" t="s">
        <v>116</v>
      </c>
      <c r="AD462" s="15" t="str">
        <f t="shared" si="16"/>
        <v>Northwell_Coding Services - PRD</v>
      </c>
      <c r="AE462" s="12" t="s">
        <v>159</v>
      </c>
      <c r="AF462" s="12" t="s">
        <v>237</v>
      </c>
      <c r="AG462" s="12" t="s">
        <v>238</v>
      </c>
      <c r="AH462" s="12" t="s">
        <v>1038</v>
      </c>
      <c r="AJ462" s="14">
        <v>51298</v>
      </c>
      <c r="AK462" s="14" t="s">
        <v>759</v>
      </c>
    </row>
    <row r="463" spans="6:37">
      <c r="F463" s="45">
        <v>51454</v>
      </c>
      <c r="G463" s="12" t="s">
        <v>117</v>
      </c>
      <c r="R463" s="14">
        <v>10990</v>
      </c>
      <c r="S463" s="14" t="s">
        <v>499</v>
      </c>
      <c r="T463" s="12" t="s">
        <v>119</v>
      </c>
      <c r="U463" s="15" t="str">
        <f t="shared" si="15"/>
        <v>AT&amp;T U-verse Voice - Airoli - SQM</v>
      </c>
      <c r="V463" s="12" t="s">
        <v>112</v>
      </c>
      <c r="W463" s="12" t="s">
        <v>113</v>
      </c>
      <c r="X463" s="12" t="s">
        <v>114</v>
      </c>
      <c r="Y463" s="12" t="s">
        <v>1038</v>
      </c>
      <c r="AA463" s="14">
        <v>12126</v>
      </c>
      <c r="AB463" s="14" t="s">
        <v>523</v>
      </c>
      <c r="AC463" s="12" t="s">
        <v>230</v>
      </c>
      <c r="AD463" s="15" t="str">
        <f t="shared" si="16"/>
        <v>Northwell_Coding Services - PRSP</v>
      </c>
      <c r="AE463" s="12" t="s">
        <v>159</v>
      </c>
      <c r="AF463" s="12" t="s">
        <v>237</v>
      </c>
      <c r="AG463" s="12" t="s">
        <v>238</v>
      </c>
      <c r="AH463" s="12" t="s">
        <v>1038</v>
      </c>
      <c r="AJ463" s="14">
        <v>51299</v>
      </c>
      <c r="AK463" s="14" t="s">
        <v>760</v>
      </c>
    </row>
    <row r="464" spans="6:37">
      <c r="F464" s="45">
        <v>51455</v>
      </c>
      <c r="G464" s="12" t="s">
        <v>117</v>
      </c>
      <c r="R464" s="14">
        <v>10990</v>
      </c>
      <c r="S464" s="14" t="s">
        <v>499</v>
      </c>
      <c r="T464" s="12" t="s">
        <v>145</v>
      </c>
      <c r="U464" s="15" t="str">
        <f t="shared" si="15"/>
        <v>AT&amp;T U-verse Voice - Airoli - SUP</v>
      </c>
      <c r="V464" s="12" t="s">
        <v>126</v>
      </c>
      <c r="W464" s="12" t="s">
        <v>360</v>
      </c>
      <c r="X464" s="12" t="s">
        <v>361</v>
      </c>
      <c r="Y464" s="12" t="s">
        <v>1038</v>
      </c>
      <c r="AA464" s="14">
        <v>12126</v>
      </c>
      <c r="AB464" s="14" t="s">
        <v>523</v>
      </c>
      <c r="AC464" s="12" t="s">
        <v>145</v>
      </c>
      <c r="AD464" s="15" t="str">
        <f t="shared" si="16"/>
        <v>Northwell_Coding Services - SUP</v>
      </c>
      <c r="AE464" s="12" t="s">
        <v>159</v>
      </c>
      <c r="AF464" s="12" t="s">
        <v>237</v>
      </c>
      <c r="AG464" s="12" t="s">
        <v>238</v>
      </c>
      <c r="AH464" s="12" t="s">
        <v>1038</v>
      </c>
      <c r="AJ464" s="14">
        <v>51300</v>
      </c>
      <c r="AK464" s="14" t="s">
        <v>761</v>
      </c>
    </row>
    <row r="465" spans="6:37">
      <c r="F465" s="45">
        <v>51456</v>
      </c>
      <c r="G465" s="12" t="s">
        <v>117</v>
      </c>
      <c r="R465" s="14">
        <v>10990</v>
      </c>
      <c r="S465" s="14" t="s">
        <v>499</v>
      </c>
      <c r="T465" s="12" t="s">
        <v>196</v>
      </c>
      <c r="U465" s="15" t="str">
        <f t="shared" si="15"/>
        <v>AT&amp;T U-verse Voice - Airoli - SUT</v>
      </c>
      <c r="V465" s="12" t="s">
        <v>126</v>
      </c>
      <c r="W465" s="12" t="s">
        <v>360</v>
      </c>
      <c r="X465" s="12" t="s">
        <v>361</v>
      </c>
      <c r="Y465" s="12" t="s">
        <v>1038</v>
      </c>
      <c r="AA465" s="14">
        <v>12126</v>
      </c>
      <c r="AB465" s="14" t="s">
        <v>523</v>
      </c>
      <c r="AC465" s="12" t="s">
        <v>185</v>
      </c>
      <c r="AD465" s="15" t="str">
        <f t="shared" si="16"/>
        <v>Northwell_Coding Services - TPS</v>
      </c>
      <c r="AE465" s="12" t="s">
        <v>159</v>
      </c>
      <c r="AF465" s="12" t="s">
        <v>237</v>
      </c>
      <c r="AG465" s="12" t="s">
        <v>238</v>
      </c>
      <c r="AH465" s="12" t="s">
        <v>1038</v>
      </c>
      <c r="AJ465" s="14">
        <v>51301</v>
      </c>
      <c r="AK465" s="14" t="s">
        <v>764</v>
      </c>
    </row>
    <row r="466" spans="6:37">
      <c r="F466" s="45">
        <v>51457</v>
      </c>
      <c r="G466" s="12" t="s">
        <v>117</v>
      </c>
      <c r="R466" s="14">
        <v>10990</v>
      </c>
      <c r="S466" s="14" t="s">
        <v>499</v>
      </c>
      <c r="T466" s="12" t="s">
        <v>198</v>
      </c>
      <c r="U466" s="15" t="str">
        <f t="shared" si="15"/>
        <v>AT&amp;T U-verse Voice - Airoli - TEC</v>
      </c>
      <c r="V466" s="12" t="s">
        <v>126</v>
      </c>
      <c r="W466" s="12" t="s">
        <v>360</v>
      </c>
      <c r="X466" s="12" t="s">
        <v>361</v>
      </c>
      <c r="Y466" s="12" t="s">
        <v>1038</v>
      </c>
      <c r="AA466" s="14">
        <v>12413</v>
      </c>
      <c r="AB466" s="14" t="s">
        <v>543</v>
      </c>
      <c r="AC466" s="12" t="s">
        <v>116</v>
      </c>
      <c r="AD466" s="15" t="str">
        <f t="shared" si="16"/>
        <v>Nyack In-Patient - Coding - PRD</v>
      </c>
      <c r="AE466" s="12" t="s">
        <v>159</v>
      </c>
      <c r="AF466" s="12" t="s">
        <v>237</v>
      </c>
      <c r="AG466" s="12" t="s">
        <v>238</v>
      </c>
      <c r="AH466" s="12" t="s">
        <v>1038</v>
      </c>
      <c r="AJ466" s="14">
        <v>51306</v>
      </c>
      <c r="AK466" s="14" t="s">
        <v>765</v>
      </c>
    </row>
    <row r="467" spans="6:37">
      <c r="F467" s="45">
        <v>51458</v>
      </c>
      <c r="G467" s="12" t="s">
        <v>117</v>
      </c>
      <c r="R467" s="14">
        <v>10990</v>
      </c>
      <c r="S467" s="14" t="s">
        <v>499</v>
      </c>
      <c r="T467" s="12" t="s">
        <v>180</v>
      </c>
      <c r="U467" s="15" t="str">
        <f t="shared" si="15"/>
        <v>AT&amp;T U-verse Voice - Airoli - TMG</v>
      </c>
      <c r="V467" s="12" t="s">
        <v>126</v>
      </c>
      <c r="W467" s="12" t="s">
        <v>360</v>
      </c>
      <c r="X467" s="12" t="s">
        <v>361</v>
      </c>
      <c r="Y467" s="12" t="s">
        <v>1038</v>
      </c>
      <c r="AA467" s="14">
        <v>12413</v>
      </c>
      <c r="AB467" s="14" t="s">
        <v>543</v>
      </c>
      <c r="AC467" s="12" t="s">
        <v>145</v>
      </c>
      <c r="AD467" s="15" t="str">
        <f t="shared" si="16"/>
        <v>Nyack In-Patient - Coding - SUP</v>
      </c>
      <c r="AE467" s="12" t="s">
        <v>159</v>
      </c>
      <c r="AF467" s="12" t="s">
        <v>237</v>
      </c>
      <c r="AG467" s="12" t="s">
        <v>238</v>
      </c>
      <c r="AH467" s="12" t="s">
        <v>1038</v>
      </c>
      <c r="AJ467" s="14">
        <v>51311</v>
      </c>
      <c r="AK467" s="14" t="s">
        <v>766</v>
      </c>
    </row>
    <row r="468" spans="6:37">
      <c r="F468" s="45">
        <v>51460</v>
      </c>
      <c r="G468" s="12" t="s">
        <v>117</v>
      </c>
      <c r="R468" s="14">
        <v>10990</v>
      </c>
      <c r="S468" s="14" t="s">
        <v>499</v>
      </c>
      <c r="T468" s="12" t="s">
        <v>203</v>
      </c>
      <c r="U468" s="15" t="str">
        <f t="shared" si="15"/>
        <v>AT&amp;T U-verse Voice - Airoli - TRG</v>
      </c>
      <c r="V468" s="12" t="s">
        <v>112</v>
      </c>
      <c r="W468" s="12" t="s">
        <v>204</v>
      </c>
      <c r="X468" s="12" t="s">
        <v>205</v>
      </c>
      <c r="Y468" s="12" t="s">
        <v>1038</v>
      </c>
      <c r="AA468" s="14">
        <v>12413</v>
      </c>
      <c r="AB468" s="14" t="s">
        <v>543</v>
      </c>
      <c r="AC468" s="12" t="s">
        <v>185</v>
      </c>
      <c r="AD468" s="15" t="str">
        <f t="shared" si="16"/>
        <v>Nyack In-Patient - Coding - TPS</v>
      </c>
      <c r="AE468" s="12" t="s">
        <v>159</v>
      </c>
      <c r="AF468" s="12" t="s">
        <v>237</v>
      </c>
      <c r="AG468" s="12" t="s">
        <v>238</v>
      </c>
      <c r="AH468" s="12" t="s">
        <v>1038</v>
      </c>
      <c r="AJ468" s="14">
        <v>51315</v>
      </c>
      <c r="AK468" s="14" t="s">
        <v>767</v>
      </c>
    </row>
    <row r="469" spans="6:37">
      <c r="F469" s="45">
        <v>51461</v>
      </c>
      <c r="G469" s="12" t="s">
        <v>117</v>
      </c>
      <c r="R469" s="14">
        <v>10990</v>
      </c>
      <c r="S469" s="14" t="s">
        <v>499</v>
      </c>
      <c r="T469" s="12" t="s">
        <v>546</v>
      </c>
      <c r="U469" s="15" t="str">
        <f t="shared" si="15"/>
        <v>AT&amp;T U-verse Voice - Airoli - TRN</v>
      </c>
      <c r="V469" s="12" t="s">
        <v>112</v>
      </c>
      <c r="W469" s="12" t="s">
        <v>204</v>
      </c>
      <c r="X469" s="12" t="s">
        <v>205</v>
      </c>
      <c r="Y469" s="12" t="s">
        <v>1038</v>
      </c>
      <c r="AA469" s="14">
        <v>12422</v>
      </c>
      <c r="AB469" s="14" t="s">
        <v>548</v>
      </c>
      <c r="AC469" s="12" t="s">
        <v>230</v>
      </c>
      <c r="AD469" s="15" t="str">
        <f t="shared" si="16"/>
        <v>NYC Health - Coding - PRSP</v>
      </c>
      <c r="AE469" s="12" t="s">
        <v>159</v>
      </c>
      <c r="AF469" s="12" t="s">
        <v>237</v>
      </c>
      <c r="AG469" s="12" t="s">
        <v>238</v>
      </c>
      <c r="AH469" s="12" t="s">
        <v>1038</v>
      </c>
      <c r="AJ469" s="14">
        <v>51324</v>
      </c>
      <c r="AK469" s="14" t="s">
        <v>768</v>
      </c>
    </row>
    <row r="470" spans="6:37">
      <c r="F470" s="45">
        <v>51464</v>
      </c>
      <c r="G470" s="12" t="s">
        <v>117</v>
      </c>
      <c r="R470" s="14">
        <v>10990</v>
      </c>
      <c r="S470" s="14" t="s">
        <v>499</v>
      </c>
      <c r="T470" s="12" t="s">
        <v>208</v>
      </c>
      <c r="U470" s="15" t="str">
        <f t="shared" si="15"/>
        <v>AT&amp;T U-verse Voice - Airoli - TTR</v>
      </c>
      <c r="V470" s="12" t="s">
        <v>112</v>
      </c>
      <c r="W470" s="12" t="s">
        <v>204</v>
      </c>
      <c r="X470" s="12" t="s">
        <v>205</v>
      </c>
      <c r="Y470" s="12" t="s">
        <v>1038</v>
      </c>
      <c r="AA470" s="14">
        <v>12422</v>
      </c>
      <c r="AB470" s="14" t="s">
        <v>548</v>
      </c>
      <c r="AC470" s="12" t="s">
        <v>185</v>
      </c>
      <c r="AD470" s="15" t="str">
        <f t="shared" si="16"/>
        <v>NYC Health - Coding - TPS</v>
      </c>
      <c r="AE470" s="12" t="s">
        <v>159</v>
      </c>
      <c r="AF470" s="12" t="s">
        <v>237</v>
      </c>
      <c r="AG470" s="12" t="s">
        <v>238</v>
      </c>
      <c r="AH470" s="12" t="s">
        <v>1038</v>
      </c>
      <c r="AJ470" s="14">
        <v>51328</v>
      </c>
      <c r="AK470" s="14" t="s">
        <v>769</v>
      </c>
    </row>
    <row r="471" spans="6:37">
      <c r="F471" s="45">
        <v>51465</v>
      </c>
      <c r="G471" s="12" t="s">
        <v>117</v>
      </c>
      <c r="R471" s="14">
        <v>10706</v>
      </c>
      <c r="S471" s="14" t="s">
        <v>321</v>
      </c>
      <c r="T471" s="12" t="s">
        <v>133</v>
      </c>
      <c r="U471" s="15" t="str">
        <f t="shared" si="15"/>
        <v>AT&amp;T Video Chat - Chennai - AMG</v>
      </c>
      <c r="V471" s="12" t="s">
        <v>126</v>
      </c>
      <c r="W471" s="12" t="s">
        <v>178</v>
      </c>
      <c r="X471" s="12" t="s">
        <v>128</v>
      </c>
      <c r="Y471" s="12" t="s">
        <v>1038</v>
      </c>
      <c r="AA471" s="14">
        <v>12431</v>
      </c>
      <c r="AB471" s="14" t="s">
        <v>550</v>
      </c>
      <c r="AC471" s="12" t="s">
        <v>116</v>
      </c>
      <c r="AD471" s="15" t="str">
        <f t="shared" si="16"/>
        <v>NYC Health - PH AR - PRD</v>
      </c>
      <c r="AE471" s="12" t="s">
        <v>148</v>
      </c>
      <c r="AF471" s="12" t="s">
        <v>163</v>
      </c>
      <c r="AG471" s="12" t="s">
        <v>164</v>
      </c>
      <c r="AH471" s="12" t="s">
        <v>1038</v>
      </c>
      <c r="AJ471" s="14">
        <v>51329</v>
      </c>
      <c r="AK471" s="14" t="s">
        <v>770</v>
      </c>
    </row>
    <row r="472" spans="6:37">
      <c r="F472" s="45">
        <v>51471</v>
      </c>
      <c r="G472" s="12" t="s">
        <v>117</v>
      </c>
      <c r="R472" s="14">
        <v>10706</v>
      </c>
      <c r="S472" s="14" t="s">
        <v>321</v>
      </c>
      <c r="T472" s="12" t="s">
        <v>398</v>
      </c>
      <c r="U472" s="15" t="str">
        <f t="shared" si="15"/>
        <v>AT&amp;T Video Chat - Chennai - CBK</v>
      </c>
      <c r="V472" s="12" t="s">
        <v>126</v>
      </c>
      <c r="W472" s="12" t="s">
        <v>178</v>
      </c>
      <c r="X472" s="12" t="s">
        <v>128</v>
      </c>
      <c r="Y472" s="12" t="s">
        <v>1038</v>
      </c>
      <c r="AA472" s="14">
        <v>12431</v>
      </c>
      <c r="AB472" s="14" t="s">
        <v>550</v>
      </c>
      <c r="AC472" s="12" t="s">
        <v>145</v>
      </c>
      <c r="AD472" s="15" t="str">
        <f t="shared" si="16"/>
        <v>NYC Health - PH AR - SUP</v>
      </c>
      <c r="AE472" s="12" t="s">
        <v>148</v>
      </c>
      <c r="AF472" s="12" t="s">
        <v>163</v>
      </c>
      <c r="AG472" s="12" t="s">
        <v>164</v>
      </c>
      <c r="AH472" s="12" t="s">
        <v>1038</v>
      </c>
      <c r="AJ472" s="14">
        <v>51333</v>
      </c>
      <c r="AK472" s="14" t="s">
        <v>771</v>
      </c>
    </row>
    <row r="473" spans="6:37">
      <c r="F473" s="45">
        <v>51472</v>
      </c>
      <c r="G473" s="12" t="s">
        <v>117</v>
      </c>
      <c r="R473" s="14">
        <v>10706</v>
      </c>
      <c r="S473" s="14" t="s">
        <v>321</v>
      </c>
      <c r="T473" s="12" t="s">
        <v>144</v>
      </c>
      <c r="U473" s="15" t="str">
        <f t="shared" si="15"/>
        <v>AT&amp;T Video Chat - Chennai - CCOD</v>
      </c>
      <c r="V473" s="12" t="s">
        <v>126</v>
      </c>
      <c r="W473" s="12" t="s">
        <v>178</v>
      </c>
      <c r="X473" s="12" t="s">
        <v>128</v>
      </c>
      <c r="Y473" s="12" t="s">
        <v>1038</v>
      </c>
      <c r="AA473" s="14">
        <v>12431</v>
      </c>
      <c r="AB473" s="14" t="s">
        <v>550</v>
      </c>
      <c r="AC473" s="12" t="s">
        <v>180</v>
      </c>
      <c r="AD473" s="15" t="str">
        <f t="shared" si="16"/>
        <v>NYC Health - PH AR - TMG</v>
      </c>
      <c r="AE473" s="12" t="s">
        <v>148</v>
      </c>
      <c r="AF473" s="12" t="s">
        <v>163</v>
      </c>
      <c r="AG473" s="12" t="s">
        <v>164</v>
      </c>
      <c r="AH473" s="12" t="s">
        <v>1038</v>
      </c>
      <c r="AJ473" s="14">
        <v>51339</v>
      </c>
      <c r="AK473" s="14" t="s">
        <v>772</v>
      </c>
    </row>
    <row r="474" spans="6:37">
      <c r="F474" s="45">
        <v>51473</v>
      </c>
      <c r="G474" s="12" t="s">
        <v>117</v>
      </c>
      <c r="R474" s="14">
        <v>10706</v>
      </c>
      <c r="S474" s="14" t="s">
        <v>321</v>
      </c>
      <c r="T474" s="12" t="s">
        <v>150</v>
      </c>
      <c r="U474" s="15" t="str">
        <f t="shared" si="15"/>
        <v>AT&amp;T Video Chat - Chennai - CCS</v>
      </c>
      <c r="V474" s="12" t="s">
        <v>126</v>
      </c>
      <c r="W474" s="12" t="s">
        <v>178</v>
      </c>
      <c r="X474" s="12" t="s">
        <v>128</v>
      </c>
      <c r="Y474" s="12" t="s">
        <v>1038</v>
      </c>
      <c r="AA474" s="14">
        <v>21492</v>
      </c>
      <c r="AB474" s="14" t="s">
        <v>646</v>
      </c>
      <c r="AC474" s="12" t="s">
        <v>116</v>
      </c>
      <c r="AD474" s="15" t="str">
        <f t="shared" si="16"/>
        <v>NYC Health - SP - PRD</v>
      </c>
      <c r="AE474" s="12" t="s">
        <v>148</v>
      </c>
      <c r="AF474" s="12" t="s">
        <v>163</v>
      </c>
      <c r="AG474" s="12" t="s">
        <v>164</v>
      </c>
      <c r="AH474" s="12" t="s">
        <v>1038</v>
      </c>
      <c r="AJ474" s="14">
        <v>51340</v>
      </c>
      <c r="AK474" s="14" t="s">
        <v>773</v>
      </c>
    </row>
    <row r="475" spans="6:37">
      <c r="F475" s="45">
        <v>51475</v>
      </c>
      <c r="G475" s="12" t="s">
        <v>117</v>
      </c>
      <c r="R475" s="14">
        <v>10706</v>
      </c>
      <c r="S475" s="14" t="s">
        <v>321</v>
      </c>
      <c r="T475" s="12" t="s">
        <v>171</v>
      </c>
      <c r="U475" s="15" t="str">
        <f t="shared" si="15"/>
        <v>AT&amp;T Video Chat - Chennai - ETE</v>
      </c>
      <c r="V475" s="12" t="s">
        <v>126</v>
      </c>
      <c r="W475" s="12" t="s">
        <v>178</v>
      </c>
      <c r="X475" s="12" t="s">
        <v>128</v>
      </c>
      <c r="Y475" s="12" t="s">
        <v>1038</v>
      </c>
      <c r="AA475" s="14">
        <v>97322</v>
      </c>
      <c r="AB475" s="14" t="s">
        <v>808</v>
      </c>
      <c r="AC475" s="12" t="s">
        <v>129</v>
      </c>
      <c r="AD475" s="15" t="str">
        <f t="shared" si="16"/>
        <v>Org Capability Development - MGT</v>
      </c>
      <c r="AE475" s="12" t="s">
        <v>118</v>
      </c>
      <c r="AF475" s="12" t="s">
        <v>370</v>
      </c>
      <c r="AG475" s="12" t="s">
        <v>205</v>
      </c>
      <c r="AH475" s="12" t="s">
        <v>1038</v>
      </c>
      <c r="AJ475" s="14">
        <v>51341</v>
      </c>
      <c r="AK475" s="14" t="s">
        <v>774</v>
      </c>
    </row>
    <row r="476" spans="6:37">
      <c r="F476" s="45">
        <v>51476</v>
      </c>
      <c r="G476" s="12" t="s">
        <v>117</v>
      </c>
      <c r="R476" s="14">
        <v>10706</v>
      </c>
      <c r="S476" s="14" t="s">
        <v>321</v>
      </c>
      <c r="T476" s="12" t="s">
        <v>177</v>
      </c>
      <c r="U476" s="15" t="str">
        <f t="shared" si="15"/>
        <v>AT&amp;T Video Chat - Chennai - OPS</v>
      </c>
      <c r="V476" s="12" t="s">
        <v>126</v>
      </c>
      <c r="W476" s="12" t="s">
        <v>178</v>
      </c>
      <c r="X476" s="12" t="s">
        <v>128</v>
      </c>
      <c r="Y476" s="12" t="s">
        <v>1038</v>
      </c>
      <c r="AA476" s="14">
        <v>97322</v>
      </c>
      <c r="AB476" s="14" t="s">
        <v>808</v>
      </c>
      <c r="AC476" s="12" t="s">
        <v>145</v>
      </c>
      <c r="AD476" s="15" t="str">
        <f t="shared" si="16"/>
        <v>Org Capability Development - SUP</v>
      </c>
      <c r="AE476" s="12" t="s">
        <v>118</v>
      </c>
      <c r="AF476" s="12" t="s">
        <v>370</v>
      </c>
      <c r="AG476" s="12" t="s">
        <v>205</v>
      </c>
      <c r="AH476" s="12" t="s">
        <v>1038</v>
      </c>
      <c r="AJ476" s="14">
        <v>51346</v>
      </c>
      <c r="AK476" s="14" t="s">
        <v>775</v>
      </c>
    </row>
    <row r="477" spans="6:37">
      <c r="F477" s="45">
        <v>51481</v>
      </c>
      <c r="G477" s="12" t="s">
        <v>117</v>
      </c>
      <c r="R477" s="14">
        <v>10706</v>
      </c>
      <c r="S477" s="14" t="s">
        <v>321</v>
      </c>
      <c r="T477" s="12" t="s">
        <v>116</v>
      </c>
      <c r="U477" s="15" t="str">
        <f t="shared" si="15"/>
        <v>AT&amp;T Video Chat - Chennai - PRD</v>
      </c>
      <c r="V477" s="12" t="s">
        <v>126</v>
      </c>
      <c r="W477" s="12" t="s">
        <v>178</v>
      </c>
      <c r="X477" s="12" t="s">
        <v>128</v>
      </c>
      <c r="Y477" s="12" t="s">
        <v>1038</v>
      </c>
      <c r="AA477" s="35">
        <v>91024</v>
      </c>
      <c r="AB477" s="32" t="s">
        <v>933</v>
      </c>
      <c r="AC477" s="12" t="s">
        <v>180</v>
      </c>
      <c r="AD477" s="15" t="str">
        <f t="shared" si="16"/>
        <v>Organizational Excellence - TMG</v>
      </c>
      <c r="AE477" s="12" t="s">
        <v>118</v>
      </c>
      <c r="AF477" s="12" t="s">
        <v>401</v>
      </c>
      <c r="AG477" s="12" t="s">
        <v>114</v>
      </c>
      <c r="AH477" s="12" t="s">
        <v>1038</v>
      </c>
      <c r="AJ477" s="14">
        <v>51349</v>
      </c>
      <c r="AK477" s="14" t="s">
        <v>776</v>
      </c>
    </row>
    <row r="478" spans="6:37">
      <c r="F478" s="45">
        <v>51483</v>
      </c>
      <c r="G478" s="12" t="s">
        <v>117</v>
      </c>
      <c r="R478" s="14">
        <v>10706</v>
      </c>
      <c r="S478" s="14" t="s">
        <v>321</v>
      </c>
      <c r="T478" s="12" t="s">
        <v>230</v>
      </c>
      <c r="U478" s="15" t="str">
        <f t="shared" si="15"/>
        <v>AT&amp;T Video Chat - Chennai - PRSP</v>
      </c>
      <c r="V478" s="12" t="s">
        <v>126</v>
      </c>
      <c r="W478" s="12" t="s">
        <v>178</v>
      </c>
      <c r="X478" s="12" t="s">
        <v>128</v>
      </c>
      <c r="Y478" s="12" t="s">
        <v>1038</v>
      </c>
      <c r="AA478" s="14">
        <v>12313</v>
      </c>
      <c r="AB478" s="14" t="s">
        <v>530</v>
      </c>
      <c r="AC478" s="12" t="s">
        <v>230</v>
      </c>
      <c r="AD478" s="15" t="str">
        <f t="shared" si="16"/>
        <v>Palomar - Coding - PRSP</v>
      </c>
      <c r="AE478" s="12" t="s">
        <v>159</v>
      </c>
      <c r="AF478" s="12" t="s">
        <v>237</v>
      </c>
      <c r="AG478" s="12" t="s">
        <v>238</v>
      </c>
      <c r="AH478" s="12" t="s">
        <v>1038</v>
      </c>
      <c r="AJ478" s="14">
        <v>51352</v>
      </c>
      <c r="AK478" s="14" t="s">
        <v>777</v>
      </c>
    </row>
    <row r="479" spans="6:37">
      <c r="F479" s="45">
        <v>51484</v>
      </c>
      <c r="G479" s="12" t="s">
        <v>117</v>
      </c>
      <c r="R479" s="14">
        <v>10706</v>
      </c>
      <c r="S479" s="14" t="s">
        <v>321</v>
      </c>
      <c r="T479" s="12" t="s">
        <v>172</v>
      </c>
      <c r="U479" s="15" t="str">
        <f t="shared" si="15"/>
        <v>AT&amp;T Video Chat - Chennai - SME</v>
      </c>
      <c r="V479" s="12" t="s">
        <v>126</v>
      </c>
      <c r="W479" s="12" t="s">
        <v>178</v>
      </c>
      <c r="X479" s="12" t="s">
        <v>128</v>
      </c>
      <c r="Y479" s="12" t="s">
        <v>1038</v>
      </c>
      <c r="AA479" s="14">
        <v>12313</v>
      </c>
      <c r="AB479" s="14" t="s">
        <v>530</v>
      </c>
      <c r="AC479" s="12" t="s">
        <v>145</v>
      </c>
      <c r="AD479" s="15" t="str">
        <f t="shared" si="16"/>
        <v>Palomar - Coding - SUP</v>
      </c>
      <c r="AE479" s="12" t="s">
        <v>159</v>
      </c>
      <c r="AF479" s="12" t="s">
        <v>237</v>
      </c>
      <c r="AG479" s="12" t="s">
        <v>238</v>
      </c>
      <c r="AH479" s="12" t="s">
        <v>1038</v>
      </c>
      <c r="AJ479" s="14">
        <v>51353</v>
      </c>
      <c r="AK479" s="14" t="s">
        <v>778</v>
      </c>
    </row>
    <row r="480" spans="6:37">
      <c r="F480" s="45">
        <v>51487</v>
      </c>
      <c r="G480" s="12" t="s">
        <v>117</v>
      </c>
      <c r="R480" s="14">
        <v>10706</v>
      </c>
      <c r="S480" s="14" t="s">
        <v>321</v>
      </c>
      <c r="T480" s="12" t="s">
        <v>119</v>
      </c>
      <c r="U480" s="15" t="str">
        <f t="shared" si="15"/>
        <v>AT&amp;T Video Chat - Chennai - SQM</v>
      </c>
      <c r="V480" s="12" t="s">
        <v>112</v>
      </c>
      <c r="W480" s="12" t="s">
        <v>113</v>
      </c>
      <c r="X480" s="12" t="s">
        <v>114</v>
      </c>
      <c r="Y480" s="12" t="s">
        <v>1038</v>
      </c>
      <c r="AA480" s="14">
        <v>12313</v>
      </c>
      <c r="AB480" s="14" t="s">
        <v>530</v>
      </c>
      <c r="AC480" s="12" t="s">
        <v>180</v>
      </c>
      <c r="AD480" s="15" t="str">
        <f t="shared" si="16"/>
        <v>Palomar - Coding - TMG</v>
      </c>
      <c r="AE480" s="12" t="s">
        <v>159</v>
      </c>
      <c r="AF480" s="12" t="s">
        <v>237</v>
      </c>
      <c r="AG480" s="12" t="s">
        <v>238</v>
      </c>
      <c r="AH480" s="12" t="s">
        <v>1038</v>
      </c>
      <c r="AJ480" s="14">
        <v>51354</v>
      </c>
      <c r="AK480" s="14" t="s">
        <v>1079</v>
      </c>
    </row>
    <row r="481" spans="6:37">
      <c r="F481" s="45">
        <v>51488</v>
      </c>
      <c r="G481" s="12" t="s">
        <v>117</v>
      </c>
      <c r="R481" s="14">
        <v>10706</v>
      </c>
      <c r="S481" s="14" t="s">
        <v>321</v>
      </c>
      <c r="T481" s="12" t="s">
        <v>145</v>
      </c>
      <c r="U481" s="15" t="str">
        <f t="shared" si="15"/>
        <v>AT&amp;T Video Chat - Chennai - SUP</v>
      </c>
      <c r="V481" s="12" t="s">
        <v>126</v>
      </c>
      <c r="W481" s="12" t="s">
        <v>178</v>
      </c>
      <c r="X481" s="12" t="s">
        <v>128</v>
      </c>
      <c r="Y481" s="12" t="s">
        <v>1038</v>
      </c>
      <c r="AA481" s="14">
        <v>12313</v>
      </c>
      <c r="AB481" s="14" t="s">
        <v>530</v>
      </c>
      <c r="AC481" s="12" t="s">
        <v>185</v>
      </c>
      <c r="AD481" s="15" t="str">
        <f t="shared" si="16"/>
        <v>Palomar - Coding - TPS</v>
      </c>
      <c r="AE481" s="12" t="s">
        <v>159</v>
      </c>
      <c r="AF481" s="12" t="s">
        <v>237</v>
      </c>
      <c r="AG481" s="12" t="s">
        <v>238</v>
      </c>
      <c r="AH481" s="12" t="s">
        <v>1038</v>
      </c>
      <c r="AJ481" s="14">
        <v>51365</v>
      </c>
      <c r="AK481" s="14" t="s">
        <v>1080</v>
      </c>
    </row>
    <row r="482" spans="6:37">
      <c r="F482" s="45">
        <v>51491</v>
      </c>
      <c r="G482" s="12" t="s">
        <v>117</v>
      </c>
      <c r="R482" s="14">
        <v>10706</v>
      </c>
      <c r="S482" s="14" t="s">
        <v>321</v>
      </c>
      <c r="T482" s="12" t="s">
        <v>196</v>
      </c>
      <c r="U482" s="15" t="str">
        <f t="shared" si="15"/>
        <v>AT&amp;T Video Chat - Chennai - SUT</v>
      </c>
      <c r="V482" s="12" t="s">
        <v>126</v>
      </c>
      <c r="W482" s="12" t="s">
        <v>178</v>
      </c>
      <c r="X482" s="12" t="s">
        <v>128</v>
      </c>
      <c r="Y482" s="12" t="s">
        <v>1038</v>
      </c>
      <c r="AA482" s="14">
        <v>96118</v>
      </c>
      <c r="AB482" s="14" t="s">
        <v>554</v>
      </c>
      <c r="AC482" s="12" t="s">
        <v>121</v>
      </c>
      <c r="AD482" s="15" t="str">
        <f t="shared" si="16"/>
        <v>Payroll - F&amp;A</v>
      </c>
      <c r="AE482" s="12" t="s">
        <v>118</v>
      </c>
      <c r="AF482" s="12" t="s">
        <v>554</v>
      </c>
      <c r="AG482" s="12" t="s">
        <v>114</v>
      </c>
      <c r="AH482" s="12" t="s">
        <v>1038</v>
      </c>
      <c r="AJ482" s="14">
        <v>51374</v>
      </c>
      <c r="AK482" s="14" t="s">
        <v>1081</v>
      </c>
    </row>
    <row r="483" spans="6:37">
      <c r="F483" s="45">
        <v>51492</v>
      </c>
      <c r="G483" s="12" t="s">
        <v>117</v>
      </c>
      <c r="R483" s="14">
        <v>10706</v>
      </c>
      <c r="S483" s="14" t="s">
        <v>321</v>
      </c>
      <c r="T483" s="12" t="s">
        <v>198</v>
      </c>
      <c r="U483" s="15" t="str">
        <f t="shared" si="15"/>
        <v>AT&amp;T Video Chat - Chennai - TEC</v>
      </c>
      <c r="V483" s="12" t="s">
        <v>126</v>
      </c>
      <c r="W483" s="12" t="s">
        <v>178</v>
      </c>
      <c r="X483" s="12" t="s">
        <v>128</v>
      </c>
      <c r="Y483" s="12" t="s">
        <v>1038</v>
      </c>
      <c r="AA483" s="14">
        <v>96118</v>
      </c>
      <c r="AB483" s="14" t="s">
        <v>554</v>
      </c>
      <c r="AC483" s="12" t="s">
        <v>145</v>
      </c>
      <c r="AD483" s="15" t="str">
        <f t="shared" si="16"/>
        <v>Payroll - SUP</v>
      </c>
      <c r="AE483" s="12" t="s">
        <v>118</v>
      </c>
      <c r="AF483" s="12" t="s">
        <v>554</v>
      </c>
      <c r="AG483" s="12" t="s">
        <v>114</v>
      </c>
      <c r="AH483" s="12" t="s">
        <v>1038</v>
      </c>
      <c r="AJ483" s="14">
        <v>51376</v>
      </c>
      <c r="AK483" s="14" t="s">
        <v>1044</v>
      </c>
    </row>
    <row r="484" spans="6:37">
      <c r="F484" s="45">
        <v>51494</v>
      </c>
      <c r="G484" s="12" t="s">
        <v>117</v>
      </c>
      <c r="R484" s="14">
        <v>10706</v>
      </c>
      <c r="S484" s="14" t="s">
        <v>321</v>
      </c>
      <c r="T484" s="12" t="s">
        <v>180</v>
      </c>
      <c r="U484" s="15" t="str">
        <f t="shared" si="15"/>
        <v>AT&amp;T Video Chat - Chennai - TMG</v>
      </c>
      <c r="V484" s="12" t="s">
        <v>126</v>
      </c>
      <c r="W484" s="12" t="s">
        <v>178</v>
      </c>
      <c r="X484" s="12" t="s">
        <v>128</v>
      </c>
      <c r="Y484" s="12" t="s">
        <v>1038</v>
      </c>
      <c r="AA484" s="14">
        <v>12421</v>
      </c>
      <c r="AB484" s="14" t="s">
        <v>545</v>
      </c>
      <c r="AC484" s="12" t="s">
        <v>116</v>
      </c>
      <c r="AD484" s="15" t="str">
        <f t="shared" si="16"/>
        <v>Philips - CT V&amp;V and Simulator - PRD</v>
      </c>
      <c r="AE484" s="12" t="s">
        <v>117</v>
      </c>
      <c r="AF484" s="12" t="s">
        <v>117</v>
      </c>
      <c r="AG484" s="12" t="s">
        <v>117</v>
      </c>
      <c r="AH484" s="12" t="s">
        <v>1038</v>
      </c>
      <c r="AJ484" s="14">
        <v>51379</v>
      </c>
      <c r="AK484" s="14" t="s">
        <v>1082</v>
      </c>
    </row>
    <row r="485" spans="6:37">
      <c r="F485" s="45">
        <v>51496</v>
      </c>
      <c r="G485" s="12" t="s">
        <v>117</v>
      </c>
      <c r="R485" s="14">
        <v>10706</v>
      </c>
      <c r="S485" s="14" t="s">
        <v>321</v>
      </c>
      <c r="T485" s="12" t="s">
        <v>203</v>
      </c>
      <c r="U485" s="15" t="str">
        <f t="shared" si="15"/>
        <v>AT&amp;T Video Chat - Chennai - TRG</v>
      </c>
      <c r="V485" s="12" t="s">
        <v>112</v>
      </c>
      <c r="W485" s="12" t="s">
        <v>204</v>
      </c>
      <c r="X485" s="12" t="s">
        <v>205</v>
      </c>
      <c r="Y485" s="12" t="s">
        <v>1038</v>
      </c>
      <c r="AA485" s="14">
        <v>12421</v>
      </c>
      <c r="AB485" s="14" t="s">
        <v>545</v>
      </c>
      <c r="AC485" s="12" t="s">
        <v>172</v>
      </c>
      <c r="AD485" s="15" t="str">
        <f t="shared" si="16"/>
        <v>Philips - CT V&amp;V and Simulator - SME</v>
      </c>
      <c r="AE485" s="12" t="s">
        <v>117</v>
      </c>
      <c r="AF485" s="12" t="s">
        <v>117</v>
      </c>
      <c r="AG485" s="12" t="s">
        <v>117</v>
      </c>
      <c r="AH485" s="12" t="s">
        <v>1038</v>
      </c>
      <c r="AJ485" s="14">
        <v>51385</v>
      </c>
      <c r="AK485" s="14" t="s">
        <v>779</v>
      </c>
    </row>
    <row r="486" spans="6:37">
      <c r="F486" s="45">
        <v>51498</v>
      </c>
      <c r="G486" s="12" t="s">
        <v>117</v>
      </c>
      <c r="R486" s="14">
        <v>10706</v>
      </c>
      <c r="S486" s="14" t="s">
        <v>321</v>
      </c>
      <c r="T486" s="12" t="s">
        <v>208</v>
      </c>
      <c r="U486" s="15" t="str">
        <f t="shared" si="15"/>
        <v>AT&amp;T Video Chat - Chennai - TTR</v>
      </c>
      <c r="V486" s="12" t="s">
        <v>112</v>
      </c>
      <c r="W486" s="12" t="s">
        <v>204</v>
      </c>
      <c r="X486" s="12" t="s">
        <v>205</v>
      </c>
      <c r="Y486" s="12" t="s">
        <v>1038</v>
      </c>
      <c r="AA486" s="14">
        <v>12421</v>
      </c>
      <c r="AB486" s="14" t="s">
        <v>545</v>
      </c>
      <c r="AC486" s="12" t="s">
        <v>139</v>
      </c>
      <c r="AD486" s="15" t="str">
        <f t="shared" si="16"/>
        <v>Philips - CT V&amp;V and Simulator - SMGT</v>
      </c>
      <c r="AE486" s="12" t="s">
        <v>117</v>
      </c>
      <c r="AF486" s="12" t="s">
        <v>117</v>
      </c>
      <c r="AG486" s="12" t="s">
        <v>117</v>
      </c>
      <c r="AH486" s="12" t="s">
        <v>1038</v>
      </c>
      <c r="AJ486" s="14">
        <v>51387</v>
      </c>
      <c r="AK486" s="14" t="s">
        <v>1083</v>
      </c>
    </row>
    <row r="487" spans="6:37">
      <c r="F487" s="45">
        <v>51499</v>
      </c>
      <c r="G487" s="12" t="s">
        <v>117</v>
      </c>
      <c r="R487" s="14">
        <v>12524</v>
      </c>
      <c r="S487" s="14" t="s">
        <v>292</v>
      </c>
      <c r="T487" s="12" t="s">
        <v>198</v>
      </c>
      <c r="U487" s="15" t="str">
        <f t="shared" si="15"/>
        <v>Athena - RPA - TEC</v>
      </c>
      <c r="V487" s="12" t="s">
        <v>104</v>
      </c>
      <c r="W487" s="12" t="s">
        <v>117</v>
      </c>
      <c r="X487" s="12" t="s">
        <v>117</v>
      </c>
      <c r="Y487" s="12" t="s">
        <v>1038</v>
      </c>
      <c r="AA487" s="14">
        <v>12421</v>
      </c>
      <c r="AB487" s="14" t="s">
        <v>545</v>
      </c>
      <c r="AC487" s="12" t="s">
        <v>145</v>
      </c>
      <c r="AD487" s="15" t="str">
        <f t="shared" si="16"/>
        <v>Philips - CT V&amp;V and Simulator - SUP</v>
      </c>
      <c r="AE487" s="12" t="s">
        <v>117</v>
      </c>
      <c r="AF487" s="12" t="s">
        <v>117</v>
      </c>
      <c r="AG487" s="12" t="s">
        <v>117</v>
      </c>
      <c r="AH487" s="12" t="s">
        <v>1038</v>
      </c>
      <c r="AJ487" s="14">
        <v>51404</v>
      </c>
      <c r="AK487" s="14" t="s">
        <v>780</v>
      </c>
    </row>
    <row r="488" spans="6:37">
      <c r="F488" s="45">
        <v>51502</v>
      </c>
      <c r="G488" s="12" t="s">
        <v>117</v>
      </c>
      <c r="R488" s="14">
        <v>10510</v>
      </c>
      <c r="S488" s="14" t="s">
        <v>260</v>
      </c>
      <c r="T488" s="12" t="s">
        <v>306</v>
      </c>
      <c r="U488" s="15" t="str">
        <f t="shared" si="15"/>
        <v>ATI AP TE - FAO</v>
      </c>
      <c r="V488" s="12" t="s">
        <v>126</v>
      </c>
      <c r="W488" s="12" t="s">
        <v>163</v>
      </c>
      <c r="X488" s="12" t="s">
        <v>164</v>
      </c>
      <c r="Y488" s="12" t="s">
        <v>1038</v>
      </c>
      <c r="AA488" s="14">
        <v>12421</v>
      </c>
      <c r="AB488" s="14" t="s">
        <v>545</v>
      </c>
      <c r="AC488" s="12" t="s">
        <v>180</v>
      </c>
      <c r="AD488" s="15" t="str">
        <f t="shared" si="16"/>
        <v>Philips - CT V&amp;V and Simulator - TMG</v>
      </c>
      <c r="AE488" s="12" t="s">
        <v>117</v>
      </c>
      <c r="AF488" s="12" t="s">
        <v>117</v>
      </c>
      <c r="AG488" s="12" t="s">
        <v>117</v>
      </c>
      <c r="AH488" s="12" t="s">
        <v>1038</v>
      </c>
      <c r="AJ488" s="14">
        <v>51411</v>
      </c>
      <c r="AK488" s="14" t="s">
        <v>781</v>
      </c>
    </row>
    <row r="489" spans="6:37">
      <c r="F489" s="45">
        <v>51503</v>
      </c>
      <c r="G489" s="12" t="s">
        <v>117</v>
      </c>
      <c r="R489" s="14">
        <v>10510</v>
      </c>
      <c r="S489" s="14" t="s">
        <v>260</v>
      </c>
      <c r="T489" s="12" t="s">
        <v>129</v>
      </c>
      <c r="U489" s="15" t="str">
        <f t="shared" si="15"/>
        <v>ATI AP TE - MGT</v>
      </c>
      <c r="V489" s="12" t="s">
        <v>126</v>
      </c>
      <c r="W489" s="12" t="s">
        <v>163</v>
      </c>
      <c r="X489" s="12" t="s">
        <v>164</v>
      </c>
      <c r="Y489" s="12" t="s">
        <v>1038</v>
      </c>
      <c r="AA489" s="14">
        <v>12496</v>
      </c>
      <c r="AB489" s="14" t="s">
        <v>564</v>
      </c>
      <c r="AC489" s="12" t="s">
        <v>116</v>
      </c>
      <c r="AD489" s="15" t="str">
        <f t="shared" si="16"/>
        <v>Philips - IAP Consolidation - PRD</v>
      </c>
      <c r="AE489" s="12" t="s">
        <v>117</v>
      </c>
      <c r="AF489" s="12" t="s">
        <v>117</v>
      </c>
      <c r="AG489" s="12" t="s">
        <v>117</v>
      </c>
      <c r="AH489" s="12" t="s">
        <v>1038</v>
      </c>
      <c r="AJ489" s="14">
        <v>51419</v>
      </c>
      <c r="AK489" s="14" t="s">
        <v>782</v>
      </c>
    </row>
    <row r="490" spans="6:37">
      <c r="F490" s="45">
        <v>51504</v>
      </c>
      <c r="G490" s="12" t="s">
        <v>117</v>
      </c>
      <c r="R490" s="14">
        <v>10510</v>
      </c>
      <c r="S490" s="14" t="s">
        <v>260</v>
      </c>
      <c r="T490" s="12" t="s">
        <v>180</v>
      </c>
      <c r="U490" s="15" t="str">
        <f t="shared" si="15"/>
        <v>ATI AP TE - TMG</v>
      </c>
      <c r="V490" s="12" t="s">
        <v>126</v>
      </c>
      <c r="W490" s="12" t="s">
        <v>163</v>
      </c>
      <c r="X490" s="12" t="s">
        <v>164</v>
      </c>
      <c r="Y490" s="12" t="s">
        <v>1038</v>
      </c>
      <c r="AA490" s="14">
        <v>12561</v>
      </c>
      <c r="AB490" s="14" t="s">
        <v>587</v>
      </c>
      <c r="AC490" s="12" t="s">
        <v>116</v>
      </c>
      <c r="AD490" s="15" t="str">
        <f t="shared" si="16"/>
        <v>Philips-FY23 Growth Opportunit - PRD</v>
      </c>
      <c r="AE490" s="12" t="s">
        <v>117</v>
      </c>
      <c r="AF490" s="12" t="s">
        <v>117</v>
      </c>
      <c r="AG490" s="12" t="s">
        <v>117</v>
      </c>
      <c r="AH490" s="12" t="s">
        <v>1038</v>
      </c>
      <c r="AJ490" s="14">
        <v>51423</v>
      </c>
      <c r="AK490" s="14" t="s">
        <v>783</v>
      </c>
    </row>
    <row r="491" spans="6:37">
      <c r="F491" s="45">
        <v>51506</v>
      </c>
      <c r="G491" s="12" t="s">
        <v>117</v>
      </c>
      <c r="R491" s="14">
        <v>10510</v>
      </c>
      <c r="S491" s="14" t="s">
        <v>260</v>
      </c>
      <c r="T491" s="12" t="s">
        <v>185</v>
      </c>
      <c r="U491" s="15" t="str">
        <f t="shared" si="15"/>
        <v>ATI AP TE - TPS</v>
      </c>
      <c r="V491" s="12" t="s">
        <v>126</v>
      </c>
      <c r="W491" s="12" t="s">
        <v>163</v>
      </c>
      <c r="X491" s="12" t="s">
        <v>164</v>
      </c>
      <c r="Y491" s="12" t="s">
        <v>1038</v>
      </c>
      <c r="AA491" s="14">
        <v>12619</v>
      </c>
      <c r="AB491" s="14" t="s">
        <v>603</v>
      </c>
      <c r="AC491" s="12" t="s">
        <v>116</v>
      </c>
      <c r="AD491" s="15" t="str">
        <f t="shared" si="16"/>
        <v>Philips-FY24 G. Opportunities - PRD</v>
      </c>
      <c r="AE491" s="12" t="s">
        <v>117</v>
      </c>
      <c r="AF491" s="12" t="s">
        <v>117</v>
      </c>
      <c r="AG491" s="12" t="s">
        <v>117</v>
      </c>
      <c r="AH491" s="12" t="s">
        <v>1038</v>
      </c>
      <c r="AJ491" s="14">
        <v>51427</v>
      </c>
      <c r="AK491" s="14" t="s">
        <v>784</v>
      </c>
    </row>
    <row r="492" spans="6:37">
      <c r="F492" s="45">
        <v>51509</v>
      </c>
      <c r="G492" s="12" t="s">
        <v>117</v>
      </c>
      <c r="R492" s="14">
        <v>95505</v>
      </c>
      <c r="S492" s="14" t="s">
        <v>996</v>
      </c>
      <c r="T492" s="12" t="s">
        <v>145</v>
      </c>
      <c r="U492" s="15" t="str">
        <f t="shared" si="15"/>
        <v>Audits, Assurance and Awarenes - SUP</v>
      </c>
      <c r="V492" s="12" t="s">
        <v>104</v>
      </c>
      <c r="W492" s="12" t="s">
        <v>263</v>
      </c>
      <c r="X492" s="12" t="s">
        <v>264</v>
      </c>
      <c r="Y492" s="12" t="s">
        <v>1038</v>
      </c>
      <c r="AA492" s="14">
        <v>93680</v>
      </c>
      <c r="AB492" s="14" t="s">
        <v>825</v>
      </c>
      <c r="AC492" s="12" t="s">
        <v>504</v>
      </c>
      <c r="AD492" s="15" t="str">
        <f t="shared" si="16"/>
        <v>Platform Application&amp;Automate - CH AGT</v>
      </c>
      <c r="AE492" s="12" t="s">
        <v>118</v>
      </c>
      <c r="AF492" s="12" t="s">
        <v>117</v>
      </c>
      <c r="AG492" s="12" t="s">
        <v>117</v>
      </c>
      <c r="AH492" s="12" t="s">
        <v>1038</v>
      </c>
      <c r="AJ492" s="14">
        <v>51431</v>
      </c>
      <c r="AK492" s="14" t="s">
        <v>785</v>
      </c>
    </row>
    <row r="493" spans="6:37">
      <c r="F493" s="45">
        <v>51510</v>
      </c>
      <c r="G493" s="12" t="s">
        <v>117</v>
      </c>
      <c r="R493" s="14">
        <v>10110</v>
      </c>
      <c r="S493" s="14" t="s">
        <v>1046</v>
      </c>
      <c r="T493" s="12" t="s">
        <v>116</v>
      </c>
      <c r="U493" s="15" t="str">
        <f t="shared" si="15"/>
        <v>Avaya - German FnA Support - PRD</v>
      </c>
      <c r="V493" s="12" t="s">
        <v>126</v>
      </c>
      <c r="W493" s="12" t="s">
        <v>163</v>
      </c>
      <c r="X493" s="12" t="s">
        <v>164</v>
      </c>
      <c r="Y493" s="12" t="s">
        <v>1038</v>
      </c>
      <c r="AA493" s="14">
        <v>93680</v>
      </c>
      <c r="AB493" s="14" t="s">
        <v>825</v>
      </c>
      <c r="AC493" s="12" t="s">
        <v>218</v>
      </c>
      <c r="AD493" s="15" t="str">
        <f t="shared" si="16"/>
        <v>Platform Application&amp;Automate - EMAIL</v>
      </c>
      <c r="AE493" s="12" t="s">
        <v>118</v>
      </c>
      <c r="AF493" s="12" t="s">
        <v>117</v>
      </c>
      <c r="AG493" s="12" t="s">
        <v>117</v>
      </c>
      <c r="AH493" s="12" t="s">
        <v>1038</v>
      </c>
      <c r="AJ493" s="14">
        <v>51432</v>
      </c>
      <c r="AK493" s="14" t="s">
        <v>786</v>
      </c>
    </row>
    <row r="494" spans="6:37">
      <c r="F494" s="45">
        <v>51511</v>
      </c>
      <c r="G494" s="12" t="s">
        <v>117</v>
      </c>
      <c r="R494" s="14">
        <v>10811</v>
      </c>
      <c r="S494" s="14" t="s">
        <v>393</v>
      </c>
      <c r="T494" s="12" t="s">
        <v>138</v>
      </c>
      <c r="U494" s="15" t="str">
        <f t="shared" si="15"/>
        <v>Avaya CMD - BOS</v>
      </c>
      <c r="V494" s="12" t="s">
        <v>126</v>
      </c>
      <c r="W494" s="12" t="s">
        <v>163</v>
      </c>
      <c r="X494" s="12" t="s">
        <v>164</v>
      </c>
      <c r="Y494" s="12" t="s">
        <v>1038</v>
      </c>
      <c r="AA494" s="14">
        <v>93680</v>
      </c>
      <c r="AB494" s="14" t="s">
        <v>825</v>
      </c>
      <c r="AC494" s="12" t="s">
        <v>262</v>
      </c>
      <c r="AD494" s="15" t="str">
        <f t="shared" si="16"/>
        <v>Platform Application&amp;Automate - GSI</v>
      </c>
      <c r="AE494" s="12" t="s">
        <v>118</v>
      </c>
      <c r="AF494" s="12" t="s">
        <v>117</v>
      </c>
      <c r="AG494" s="12" t="s">
        <v>117</v>
      </c>
      <c r="AH494" s="12" t="s">
        <v>1038</v>
      </c>
      <c r="AJ494" s="14">
        <v>51433</v>
      </c>
      <c r="AK494" s="14" t="s">
        <v>787</v>
      </c>
    </row>
    <row r="495" spans="6:37">
      <c r="F495" s="45">
        <v>51512</v>
      </c>
      <c r="G495" s="12" t="s">
        <v>117</v>
      </c>
      <c r="R495" s="14">
        <v>10881</v>
      </c>
      <c r="S495" s="14" t="s">
        <v>437</v>
      </c>
      <c r="T495" s="12" t="s">
        <v>133</v>
      </c>
      <c r="U495" s="15" t="str">
        <f t="shared" si="15"/>
        <v>Avaya FAO - AMG</v>
      </c>
      <c r="V495" s="12" t="s">
        <v>126</v>
      </c>
      <c r="W495" s="12" t="s">
        <v>163</v>
      </c>
      <c r="X495" s="12" t="s">
        <v>164</v>
      </c>
      <c r="Y495" s="12" t="s">
        <v>1038</v>
      </c>
      <c r="AA495" s="14">
        <v>93680</v>
      </c>
      <c r="AB495" s="14" t="s">
        <v>825</v>
      </c>
      <c r="AC495" s="12" t="s">
        <v>129</v>
      </c>
      <c r="AD495" s="15" t="str">
        <f t="shared" si="16"/>
        <v>Platform Application&amp;Automate - MGT</v>
      </c>
      <c r="AE495" s="12" t="s">
        <v>118</v>
      </c>
      <c r="AF495" s="12" t="s">
        <v>117</v>
      </c>
      <c r="AG495" s="12" t="s">
        <v>117</v>
      </c>
      <c r="AH495" s="12" t="s">
        <v>1038</v>
      </c>
      <c r="AJ495" s="14">
        <v>51435</v>
      </c>
      <c r="AK495" s="14" t="s">
        <v>788</v>
      </c>
    </row>
    <row r="496" spans="6:37">
      <c r="F496" s="45">
        <v>51513</v>
      </c>
      <c r="G496" s="12" t="s">
        <v>117</v>
      </c>
      <c r="R496" s="14">
        <v>10881</v>
      </c>
      <c r="S496" s="14" t="s">
        <v>437</v>
      </c>
      <c r="T496" s="12" t="s">
        <v>138</v>
      </c>
      <c r="U496" s="15" t="str">
        <f t="shared" si="15"/>
        <v>Avaya FAO - BOS</v>
      </c>
      <c r="V496" s="12" t="s">
        <v>126</v>
      </c>
      <c r="W496" s="12" t="s">
        <v>163</v>
      </c>
      <c r="X496" s="12" t="s">
        <v>164</v>
      </c>
      <c r="Y496" s="12" t="s">
        <v>1038</v>
      </c>
      <c r="AA496" s="14">
        <v>93680</v>
      </c>
      <c r="AB496" s="14" t="s">
        <v>825</v>
      </c>
      <c r="AC496" s="12" t="s">
        <v>172</v>
      </c>
      <c r="AD496" s="15" t="str">
        <f t="shared" si="16"/>
        <v>Platform Application&amp;Automate - SME</v>
      </c>
      <c r="AE496" s="12" t="s">
        <v>118</v>
      </c>
      <c r="AF496" s="12" t="s">
        <v>117</v>
      </c>
      <c r="AG496" s="12" t="s">
        <v>117</v>
      </c>
      <c r="AH496" s="12" t="s">
        <v>1038</v>
      </c>
      <c r="AJ496" s="14">
        <v>51436</v>
      </c>
      <c r="AK496" s="14" t="s">
        <v>789</v>
      </c>
    </row>
    <row r="497" spans="6:37">
      <c r="F497" s="45">
        <v>51514</v>
      </c>
      <c r="G497" s="12" t="s">
        <v>117</v>
      </c>
      <c r="R497" s="14">
        <v>10881</v>
      </c>
      <c r="S497" s="14" t="s">
        <v>437</v>
      </c>
      <c r="T497" s="12" t="s">
        <v>306</v>
      </c>
      <c r="U497" s="15" t="str">
        <f t="shared" si="15"/>
        <v>Avaya FAO - FAO</v>
      </c>
      <c r="V497" s="12" t="s">
        <v>126</v>
      </c>
      <c r="W497" s="12" t="s">
        <v>163</v>
      </c>
      <c r="X497" s="12" t="s">
        <v>164</v>
      </c>
      <c r="Y497" s="12" t="s">
        <v>1038</v>
      </c>
      <c r="AA497" s="14">
        <v>93680</v>
      </c>
      <c r="AB497" s="14" t="s">
        <v>825</v>
      </c>
      <c r="AC497" s="12" t="s">
        <v>145</v>
      </c>
      <c r="AD497" s="15" t="str">
        <f t="shared" si="16"/>
        <v>Platform Application&amp;Automate - SUP</v>
      </c>
      <c r="AE497" s="12" t="s">
        <v>118</v>
      </c>
      <c r="AF497" s="12" t="s">
        <v>117</v>
      </c>
      <c r="AG497" s="12" t="s">
        <v>117</v>
      </c>
      <c r="AH497" s="12" t="s">
        <v>1038</v>
      </c>
      <c r="AJ497" s="14">
        <v>51437</v>
      </c>
      <c r="AK497" s="14" t="s">
        <v>790</v>
      </c>
    </row>
    <row r="498" spans="6:37">
      <c r="F498" s="45">
        <v>51515</v>
      </c>
      <c r="G498" s="12" t="s">
        <v>117</v>
      </c>
      <c r="R498" s="14">
        <v>10881</v>
      </c>
      <c r="S498" s="14" t="s">
        <v>437</v>
      </c>
      <c r="T498" s="12" t="s">
        <v>129</v>
      </c>
      <c r="U498" s="15" t="str">
        <f t="shared" si="15"/>
        <v>Avaya FAO - MGT</v>
      </c>
      <c r="V498" s="12" t="s">
        <v>126</v>
      </c>
      <c r="W498" s="12" t="s">
        <v>163</v>
      </c>
      <c r="X498" s="12" t="s">
        <v>164</v>
      </c>
      <c r="Y498" s="12" t="s">
        <v>1038</v>
      </c>
      <c r="AA498" s="14">
        <v>93680</v>
      </c>
      <c r="AB498" s="14" t="s">
        <v>825</v>
      </c>
      <c r="AC498" s="12" t="s">
        <v>198</v>
      </c>
      <c r="AD498" s="15" t="str">
        <f t="shared" si="16"/>
        <v>Platform Application&amp;Automate - TEC</v>
      </c>
      <c r="AE498" s="12" t="s">
        <v>118</v>
      </c>
      <c r="AF498" s="12" t="s">
        <v>117</v>
      </c>
      <c r="AG498" s="12" t="s">
        <v>117</v>
      </c>
      <c r="AH498" s="12" t="s">
        <v>1038</v>
      </c>
      <c r="AJ498" s="14">
        <v>51438</v>
      </c>
      <c r="AK498" s="14" t="s">
        <v>791</v>
      </c>
    </row>
    <row r="499" spans="6:37">
      <c r="F499" s="45">
        <v>51516</v>
      </c>
      <c r="G499" s="12" t="s">
        <v>117</v>
      </c>
      <c r="R499" s="14">
        <v>10881</v>
      </c>
      <c r="S499" s="14" t="s">
        <v>437</v>
      </c>
      <c r="T499" s="12" t="s">
        <v>177</v>
      </c>
      <c r="U499" s="15" t="str">
        <f t="shared" si="15"/>
        <v>Avaya FAO - OPS</v>
      </c>
      <c r="V499" s="12" t="s">
        <v>126</v>
      </c>
      <c r="W499" s="12" t="s">
        <v>163</v>
      </c>
      <c r="X499" s="12" t="s">
        <v>164</v>
      </c>
      <c r="Y499" s="12" t="s">
        <v>1038</v>
      </c>
      <c r="AA499" s="14">
        <v>93604</v>
      </c>
      <c r="AB499" s="14" t="s">
        <v>834</v>
      </c>
      <c r="AC499" s="12" t="s">
        <v>835</v>
      </c>
      <c r="AD499" s="15" t="str">
        <f t="shared" si="16"/>
        <v>Platform NextGen - BTG</v>
      </c>
      <c r="AE499" s="12" t="s">
        <v>118</v>
      </c>
      <c r="AF499" s="12" t="s">
        <v>117</v>
      </c>
      <c r="AG499" s="12" t="s">
        <v>117</v>
      </c>
      <c r="AH499" s="12" t="s">
        <v>1038</v>
      </c>
      <c r="AJ499" s="14">
        <v>51439</v>
      </c>
      <c r="AK499" s="14" t="s">
        <v>792</v>
      </c>
    </row>
    <row r="500" spans="6:37">
      <c r="F500" s="45">
        <v>51517</v>
      </c>
      <c r="G500" s="12" t="s">
        <v>117</v>
      </c>
      <c r="R500" s="14">
        <v>10881</v>
      </c>
      <c r="S500" s="14" t="s">
        <v>437</v>
      </c>
      <c r="T500" s="12" t="s">
        <v>145</v>
      </c>
      <c r="U500" s="15" t="str">
        <f t="shared" si="15"/>
        <v>Avaya FAO - SUP</v>
      </c>
      <c r="V500" s="12" t="s">
        <v>126</v>
      </c>
      <c r="W500" s="12" t="s">
        <v>163</v>
      </c>
      <c r="X500" s="12" t="s">
        <v>164</v>
      </c>
      <c r="Y500" s="12" t="s">
        <v>1038</v>
      </c>
      <c r="AA500" s="14">
        <v>93604</v>
      </c>
      <c r="AB500" s="14" t="s">
        <v>834</v>
      </c>
      <c r="AC500" s="12" t="s">
        <v>262</v>
      </c>
      <c r="AD500" s="15" t="str">
        <f t="shared" si="16"/>
        <v>Platform NextGen - GSI</v>
      </c>
      <c r="AE500" s="12" t="s">
        <v>118</v>
      </c>
      <c r="AF500" s="12" t="s">
        <v>117</v>
      </c>
      <c r="AG500" s="12" t="s">
        <v>117</v>
      </c>
      <c r="AH500" s="12" t="s">
        <v>1038</v>
      </c>
      <c r="AJ500" s="14">
        <v>51440</v>
      </c>
      <c r="AK500" s="14" t="s">
        <v>793</v>
      </c>
    </row>
    <row r="501" spans="6:37">
      <c r="F501" s="45">
        <v>51519</v>
      </c>
      <c r="G501" s="12" t="s">
        <v>117</v>
      </c>
      <c r="R501" s="14">
        <v>10881</v>
      </c>
      <c r="S501" s="14" t="s">
        <v>437</v>
      </c>
      <c r="T501" s="12" t="s">
        <v>180</v>
      </c>
      <c r="U501" s="15" t="str">
        <f t="shared" si="15"/>
        <v>Avaya FAO - TMG</v>
      </c>
      <c r="V501" s="12" t="s">
        <v>126</v>
      </c>
      <c r="W501" s="12" t="s">
        <v>163</v>
      </c>
      <c r="X501" s="12" t="s">
        <v>164</v>
      </c>
      <c r="Y501" s="12" t="s">
        <v>1038</v>
      </c>
      <c r="AA501" s="14">
        <v>93604</v>
      </c>
      <c r="AB501" s="14" t="s">
        <v>834</v>
      </c>
      <c r="AC501" s="12" t="s">
        <v>250</v>
      </c>
      <c r="AD501" s="15" t="str">
        <f t="shared" si="16"/>
        <v>Platform NextGen - LED</v>
      </c>
      <c r="AE501" s="12" t="s">
        <v>118</v>
      </c>
      <c r="AF501" s="12" t="s">
        <v>117</v>
      </c>
      <c r="AG501" s="12" t="s">
        <v>117</v>
      </c>
      <c r="AH501" s="12" t="s">
        <v>1038</v>
      </c>
      <c r="AJ501" s="14">
        <v>51441</v>
      </c>
      <c r="AK501" s="14" t="s">
        <v>794</v>
      </c>
    </row>
    <row r="502" spans="6:37">
      <c r="F502" s="45">
        <v>51520</v>
      </c>
      <c r="G502" s="12" t="s">
        <v>117</v>
      </c>
      <c r="R502" s="14">
        <v>10881</v>
      </c>
      <c r="S502" s="14" t="s">
        <v>437</v>
      </c>
      <c r="T502" s="12" t="s">
        <v>203</v>
      </c>
      <c r="U502" s="15" t="str">
        <f t="shared" si="15"/>
        <v>Avaya FAO - TRG</v>
      </c>
      <c r="V502" s="12" t="s">
        <v>112</v>
      </c>
      <c r="W502" s="12" t="s">
        <v>204</v>
      </c>
      <c r="X502" s="12" t="s">
        <v>205</v>
      </c>
      <c r="Y502" s="12" t="s">
        <v>1038</v>
      </c>
      <c r="AA502" s="14">
        <v>93604</v>
      </c>
      <c r="AB502" s="14" t="s">
        <v>834</v>
      </c>
      <c r="AC502" s="12" t="s">
        <v>129</v>
      </c>
      <c r="AD502" s="15" t="str">
        <f t="shared" si="16"/>
        <v>Platform NextGen - MGT</v>
      </c>
      <c r="AE502" s="12" t="s">
        <v>118</v>
      </c>
      <c r="AF502" s="12" t="s">
        <v>117</v>
      </c>
      <c r="AG502" s="12" t="s">
        <v>117</v>
      </c>
      <c r="AH502" s="12" t="s">
        <v>1038</v>
      </c>
      <c r="AJ502" s="14">
        <v>51442</v>
      </c>
      <c r="AK502" s="14" t="s">
        <v>795</v>
      </c>
    </row>
    <row r="503" spans="6:37">
      <c r="F503" s="45">
        <v>51521</v>
      </c>
      <c r="G503" s="12" t="s">
        <v>117</v>
      </c>
      <c r="R503" s="14">
        <v>10637</v>
      </c>
      <c r="S503" s="14" t="s">
        <v>277</v>
      </c>
      <c r="T503" s="12" t="s">
        <v>138</v>
      </c>
      <c r="U503" s="15" t="str">
        <f t="shared" si="15"/>
        <v>Avaya Inventory Assurance - BOS</v>
      </c>
      <c r="V503" s="12" t="s">
        <v>126</v>
      </c>
      <c r="W503" s="12" t="s">
        <v>163</v>
      </c>
      <c r="X503" s="12" t="s">
        <v>164</v>
      </c>
      <c r="Y503" s="12" t="s">
        <v>1038</v>
      </c>
      <c r="AA503" s="14">
        <v>93604</v>
      </c>
      <c r="AB503" s="14" t="s">
        <v>834</v>
      </c>
      <c r="AC503" s="12" t="s">
        <v>139</v>
      </c>
      <c r="AD503" s="15" t="str">
        <f t="shared" si="16"/>
        <v>Platform NextGen - SMGT</v>
      </c>
      <c r="AE503" s="12" t="s">
        <v>118</v>
      </c>
      <c r="AF503" s="12" t="s">
        <v>117</v>
      </c>
      <c r="AG503" s="12" t="s">
        <v>117</v>
      </c>
      <c r="AH503" s="12" t="s">
        <v>1038</v>
      </c>
      <c r="AJ503" s="14">
        <v>51445</v>
      </c>
      <c r="AK503" s="14" t="s">
        <v>796</v>
      </c>
    </row>
    <row r="504" spans="6:37">
      <c r="F504" s="45">
        <v>51522</v>
      </c>
      <c r="G504" s="12" t="s">
        <v>117</v>
      </c>
      <c r="R504" s="14">
        <v>10640</v>
      </c>
      <c r="S504" s="14" t="s">
        <v>279</v>
      </c>
      <c r="T504" s="12" t="s">
        <v>138</v>
      </c>
      <c r="U504" s="15" t="str">
        <f t="shared" si="15"/>
        <v>Avaya Quote to order - BOS</v>
      </c>
      <c r="V504" s="12" t="s">
        <v>126</v>
      </c>
      <c r="W504" s="12" t="s">
        <v>565</v>
      </c>
      <c r="X504" s="12" t="s">
        <v>114</v>
      </c>
      <c r="Y504" s="12" t="s">
        <v>1038</v>
      </c>
      <c r="AA504" s="14">
        <v>93604</v>
      </c>
      <c r="AB504" s="14" t="s">
        <v>834</v>
      </c>
      <c r="AC504" s="12" t="s">
        <v>145</v>
      </c>
      <c r="AD504" s="15" t="str">
        <f t="shared" si="16"/>
        <v>Platform NextGen - SUP</v>
      </c>
      <c r="AE504" s="12" t="s">
        <v>118</v>
      </c>
      <c r="AF504" s="12" t="s">
        <v>117</v>
      </c>
      <c r="AG504" s="12" t="s">
        <v>117</v>
      </c>
      <c r="AH504" s="12" t="s">
        <v>1038</v>
      </c>
      <c r="AJ504" s="14">
        <v>51446</v>
      </c>
      <c r="AK504" s="14" t="s">
        <v>797</v>
      </c>
    </row>
    <row r="505" spans="6:37">
      <c r="F505" s="45">
        <v>51523</v>
      </c>
      <c r="G505" s="12" t="s">
        <v>117</v>
      </c>
      <c r="R505" s="14">
        <v>10640</v>
      </c>
      <c r="S505" s="14" t="s">
        <v>279</v>
      </c>
      <c r="T505" s="12" t="s">
        <v>306</v>
      </c>
      <c r="U505" s="15" t="str">
        <f t="shared" si="15"/>
        <v>Avaya Quote to order - FAO</v>
      </c>
      <c r="V505" s="12" t="s">
        <v>126</v>
      </c>
      <c r="W505" s="12" t="s">
        <v>565</v>
      </c>
      <c r="X505" s="12" t="s">
        <v>114</v>
      </c>
      <c r="Y505" s="12" t="s">
        <v>1038</v>
      </c>
      <c r="AA505" s="14">
        <v>93604</v>
      </c>
      <c r="AB505" s="14" t="s">
        <v>834</v>
      </c>
      <c r="AC505" s="12" t="s">
        <v>196</v>
      </c>
      <c r="AD505" s="15" t="str">
        <f t="shared" si="16"/>
        <v>Platform NextGen - SUT</v>
      </c>
      <c r="AE505" s="12" t="s">
        <v>118</v>
      </c>
      <c r="AF505" s="12" t="s">
        <v>117</v>
      </c>
      <c r="AG505" s="12" t="s">
        <v>117</v>
      </c>
      <c r="AH505" s="12" t="s">
        <v>1038</v>
      </c>
      <c r="AJ505" s="14">
        <v>51447</v>
      </c>
      <c r="AK505" s="14" t="s">
        <v>798</v>
      </c>
    </row>
    <row r="506" spans="6:37">
      <c r="F506" s="45">
        <v>51525</v>
      </c>
      <c r="G506" s="12" t="s">
        <v>117</v>
      </c>
      <c r="R506" s="14">
        <v>10640</v>
      </c>
      <c r="S506" s="14" t="s">
        <v>279</v>
      </c>
      <c r="T506" s="12" t="s">
        <v>129</v>
      </c>
      <c r="U506" s="15" t="str">
        <f t="shared" si="15"/>
        <v>Avaya Quote to order - MGT</v>
      </c>
      <c r="V506" s="12" t="s">
        <v>126</v>
      </c>
      <c r="W506" s="12" t="s">
        <v>565</v>
      </c>
      <c r="X506" s="12" t="s">
        <v>114</v>
      </c>
      <c r="Y506" s="12" t="s">
        <v>1038</v>
      </c>
      <c r="AA506" s="14">
        <v>89012</v>
      </c>
      <c r="AB506" s="14" t="s">
        <v>843</v>
      </c>
      <c r="AC506" s="12" t="s">
        <v>116</v>
      </c>
      <c r="AD506" s="15" t="str">
        <f t="shared" si="16"/>
        <v>Platform Others - PRD</v>
      </c>
      <c r="AE506" s="12" t="s">
        <v>117</v>
      </c>
      <c r="AF506" s="12" t="s">
        <v>117</v>
      </c>
      <c r="AG506" s="12" t="s">
        <v>117</v>
      </c>
      <c r="AH506" s="12" t="s">
        <v>1038</v>
      </c>
      <c r="AJ506" s="14">
        <v>51448</v>
      </c>
      <c r="AK506" s="14" t="s">
        <v>799</v>
      </c>
    </row>
    <row r="507" spans="6:37">
      <c r="F507" s="45">
        <v>51526</v>
      </c>
      <c r="G507" s="12" t="s">
        <v>117</v>
      </c>
      <c r="R507" s="14">
        <v>10640</v>
      </c>
      <c r="S507" s="14" t="s">
        <v>279</v>
      </c>
      <c r="T507" s="12" t="s">
        <v>116</v>
      </c>
      <c r="U507" s="15" t="str">
        <f t="shared" si="15"/>
        <v>Avaya Quote to order - PRD</v>
      </c>
      <c r="V507" s="12" t="s">
        <v>126</v>
      </c>
      <c r="W507" s="12" t="s">
        <v>565</v>
      </c>
      <c r="X507" s="12" t="s">
        <v>114</v>
      </c>
      <c r="Y507" s="12" t="s">
        <v>1038</v>
      </c>
      <c r="AA507" s="14">
        <v>10759</v>
      </c>
      <c r="AB507" s="14" t="s">
        <v>362</v>
      </c>
      <c r="AC507" s="12" t="s">
        <v>336</v>
      </c>
      <c r="AD507" s="15" t="str">
        <f t="shared" si="16"/>
        <v>Plixer- Network Testing - TSL</v>
      </c>
      <c r="AE507" s="12" t="s">
        <v>117</v>
      </c>
      <c r="AF507" s="12" t="s">
        <v>117</v>
      </c>
      <c r="AG507" s="12" t="s">
        <v>117</v>
      </c>
      <c r="AH507" s="12" t="s">
        <v>1038</v>
      </c>
      <c r="AJ507" s="14">
        <v>51449</v>
      </c>
      <c r="AK507" s="14" t="s">
        <v>800</v>
      </c>
    </row>
    <row r="508" spans="6:37">
      <c r="F508" s="45">
        <v>51528</v>
      </c>
      <c r="G508" s="12" t="s">
        <v>117</v>
      </c>
      <c r="R508" s="14">
        <v>10640</v>
      </c>
      <c r="S508" s="14" t="s">
        <v>279</v>
      </c>
      <c r="T508" s="12" t="s">
        <v>198</v>
      </c>
      <c r="U508" s="15" t="str">
        <f t="shared" si="15"/>
        <v>Avaya Quote to order - TEC</v>
      </c>
      <c r="V508" s="12" t="s">
        <v>126</v>
      </c>
      <c r="W508" s="12" t="s">
        <v>565</v>
      </c>
      <c r="X508" s="12" t="s">
        <v>114</v>
      </c>
      <c r="Y508" s="12" t="s">
        <v>1038</v>
      </c>
      <c r="AA508" s="14">
        <v>95502</v>
      </c>
      <c r="AB508" s="14" t="s">
        <v>846</v>
      </c>
      <c r="AC508" s="12" t="s">
        <v>415</v>
      </c>
      <c r="AD508" s="15" t="str">
        <f t="shared" si="16"/>
        <v>PMO - GTI</v>
      </c>
      <c r="AE508" s="12" t="s">
        <v>118</v>
      </c>
      <c r="AF508" s="12" t="s">
        <v>263</v>
      </c>
      <c r="AG508" s="12" t="s">
        <v>264</v>
      </c>
      <c r="AH508" s="12" t="s">
        <v>1038</v>
      </c>
      <c r="AJ508" s="14">
        <v>51450</v>
      </c>
      <c r="AK508" s="14" t="s">
        <v>801</v>
      </c>
    </row>
    <row r="509" spans="6:37">
      <c r="F509" s="45">
        <v>51529</v>
      </c>
      <c r="G509" s="12" t="s">
        <v>117</v>
      </c>
      <c r="R509" s="14">
        <v>10891</v>
      </c>
      <c r="S509" s="14" t="s">
        <v>439</v>
      </c>
      <c r="T509" s="12" t="s">
        <v>138</v>
      </c>
      <c r="U509" s="15" t="str">
        <f t="shared" si="15"/>
        <v>Avaya RMA - BOS</v>
      </c>
      <c r="V509" s="12" t="s">
        <v>126</v>
      </c>
      <c r="W509" s="12" t="s">
        <v>360</v>
      </c>
      <c r="X509" s="12" t="s">
        <v>361</v>
      </c>
      <c r="Y509" s="12" t="s">
        <v>1038</v>
      </c>
      <c r="AA509" s="14">
        <v>95502</v>
      </c>
      <c r="AB509" s="14" t="s">
        <v>846</v>
      </c>
      <c r="AC509" s="12" t="s">
        <v>129</v>
      </c>
      <c r="AD509" s="15" t="str">
        <f t="shared" si="16"/>
        <v>PMO - MGT</v>
      </c>
      <c r="AE509" s="12" t="s">
        <v>118</v>
      </c>
      <c r="AF509" s="12" t="s">
        <v>263</v>
      </c>
      <c r="AG509" s="12" t="s">
        <v>264</v>
      </c>
      <c r="AH509" s="12" t="s">
        <v>1038</v>
      </c>
      <c r="AJ509" s="14">
        <v>51451</v>
      </c>
      <c r="AK509" s="14" t="s">
        <v>802</v>
      </c>
    </row>
    <row r="510" spans="6:37">
      <c r="F510" s="45">
        <v>51530</v>
      </c>
      <c r="G510" s="12" t="s">
        <v>117</v>
      </c>
      <c r="R510" s="14">
        <v>10891</v>
      </c>
      <c r="S510" s="14" t="s">
        <v>439</v>
      </c>
      <c r="T510" s="12" t="s">
        <v>150</v>
      </c>
      <c r="U510" s="15" t="str">
        <f t="shared" si="15"/>
        <v>Avaya RMA - CCS</v>
      </c>
      <c r="V510" s="12" t="s">
        <v>126</v>
      </c>
      <c r="W510" s="12" t="s">
        <v>360</v>
      </c>
      <c r="X510" s="12" t="s">
        <v>361</v>
      </c>
      <c r="Y510" s="12" t="s">
        <v>1038</v>
      </c>
      <c r="AA510" s="14">
        <v>95502</v>
      </c>
      <c r="AB510" s="14" t="s">
        <v>846</v>
      </c>
      <c r="AC510" s="12" t="s">
        <v>139</v>
      </c>
      <c r="AD510" s="15" t="str">
        <f t="shared" si="16"/>
        <v>PMO - SMGT</v>
      </c>
      <c r="AE510" s="12" t="s">
        <v>118</v>
      </c>
      <c r="AF510" s="12" t="s">
        <v>263</v>
      </c>
      <c r="AG510" s="12" t="s">
        <v>264</v>
      </c>
      <c r="AH510" s="12" t="s">
        <v>1038</v>
      </c>
      <c r="AJ510" s="14">
        <v>51452</v>
      </c>
      <c r="AK510" s="14" t="s">
        <v>803</v>
      </c>
    </row>
    <row r="511" spans="6:37">
      <c r="F511" s="45">
        <v>51532</v>
      </c>
      <c r="G511" s="12" t="s">
        <v>117</v>
      </c>
      <c r="R511" s="14">
        <v>10891</v>
      </c>
      <c r="S511" s="14" t="s">
        <v>439</v>
      </c>
      <c r="T511" s="12" t="s">
        <v>306</v>
      </c>
      <c r="U511" s="15" t="str">
        <f t="shared" si="15"/>
        <v>Avaya RMA - FAO</v>
      </c>
      <c r="V511" s="12" t="s">
        <v>126</v>
      </c>
      <c r="W511" s="12" t="s">
        <v>360</v>
      </c>
      <c r="X511" s="12" t="s">
        <v>361</v>
      </c>
      <c r="Y511" s="12" t="s">
        <v>1038</v>
      </c>
      <c r="AA511" s="14">
        <v>95502</v>
      </c>
      <c r="AB511" s="14" t="s">
        <v>846</v>
      </c>
      <c r="AC511" s="12" t="s">
        <v>145</v>
      </c>
      <c r="AD511" s="15" t="str">
        <f t="shared" si="16"/>
        <v>PMO - SUP</v>
      </c>
      <c r="AE511" s="12" t="s">
        <v>118</v>
      </c>
      <c r="AF511" s="12" t="s">
        <v>263</v>
      </c>
      <c r="AG511" s="12" t="s">
        <v>264</v>
      </c>
      <c r="AH511" s="12" t="s">
        <v>1038</v>
      </c>
      <c r="AJ511" s="14">
        <v>51453</v>
      </c>
      <c r="AK511" s="14" t="s">
        <v>804</v>
      </c>
    </row>
    <row r="512" spans="6:37">
      <c r="F512" s="45">
        <v>51533</v>
      </c>
      <c r="G512" s="12" t="s">
        <v>117</v>
      </c>
      <c r="R512" s="14">
        <v>20496</v>
      </c>
      <c r="S512" s="14" t="s">
        <v>439</v>
      </c>
      <c r="T512" s="12" t="s">
        <v>116</v>
      </c>
      <c r="U512" s="15" t="str">
        <f t="shared" si="15"/>
        <v>Avaya RMA - PRD</v>
      </c>
      <c r="V512" s="12" t="s">
        <v>117</v>
      </c>
      <c r="W512" s="12" t="s">
        <v>117</v>
      </c>
      <c r="X512" s="12" t="s">
        <v>117</v>
      </c>
      <c r="Y512" s="12" t="s">
        <v>1038</v>
      </c>
      <c r="AA512" s="14">
        <v>88131</v>
      </c>
      <c r="AB512" s="14" t="s">
        <v>851</v>
      </c>
      <c r="AC512" s="12" t="s">
        <v>129</v>
      </c>
      <c r="AD512" s="15" t="str">
        <f t="shared" si="16"/>
        <v>PP - Operational Mgmt (Coding) - MGT</v>
      </c>
      <c r="AE512" s="12" t="s">
        <v>159</v>
      </c>
      <c r="AF512" s="12" t="s">
        <v>237</v>
      </c>
      <c r="AG512" s="12" t="s">
        <v>238</v>
      </c>
      <c r="AH512" s="12" t="s">
        <v>1038</v>
      </c>
      <c r="AJ512" s="14">
        <v>51455</v>
      </c>
      <c r="AK512" s="14" t="s">
        <v>805</v>
      </c>
    </row>
    <row r="513" spans="6:37">
      <c r="F513" s="45">
        <v>51534</v>
      </c>
      <c r="G513" s="12" t="s">
        <v>117</v>
      </c>
      <c r="R513" s="14">
        <v>10891</v>
      </c>
      <c r="S513" s="14" t="s">
        <v>439</v>
      </c>
      <c r="T513" s="12" t="s">
        <v>145</v>
      </c>
      <c r="U513" s="15" t="str">
        <f t="shared" si="15"/>
        <v>Avaya RMA - SUP</v>
      </c>
      <c r="V513" s="12" t="s">
        <v>126</v>
      </c>
      <c r="W513" s="12" t="s">
        <v>360</v>
      </c>
      <c r="X513" s="12" t="s">
        <v>361</v>
      </c>
      <c r="Y513" s="12" t="s">
        <v>1038</v>
      </c>
      <c r="AA513" s="14">
        <v>88131</v>
      </c>
      <c r="AB513" s="14" t="s">
        <v>851</v>
      </c>
      <c r="AC513" s="12" t="s">
        <v>139</v>
      </c>
      <c r="AD513" s="15" t="str">
        <f t="shared" si="16"/>
        <v>PP - Operational Mgmt (Coding) - SMGT</v>
      </c>
      <c r="AE513" s="12" t="s">
        <v>159</v>
      </c>
      <c r="AF513" s="12" t="s">
        <v>237</v>
      </c>
      <c r="AG513" s="12" t="s">
        <v>238</v>
      </c>
      <c r="AH513" s="12" t="s">
        <v>1038</v>
      </c>
      <c r="AJ513" s="14">
        <v>51456</v>
      </c>
      <c r="AK513" s="14" t="s">
        <v>806</v>
      </c>
    </row>
    <row r="514" spans="6:37">
      <c r="F514" s="45">
        <v>51535</v>
      </c>
      <c r="G514" s="12" t="s">
        <v>117</v>
      </c>
      <c r="R514" s="14">
        <v>10891</v>
      </c>
      <c r="S514" s="14" t="s">
        <v>439</v>
      </c>
      <c r="T514" s="12" t="s">
        <v>180</v>
      </c>
      <c r="U514" s="15" t="str">
        <f t="shared" si="15"/>
        <v>Avaya RMA - TMG</v>
      </c>
      <c r="V514" s="12" t="s">
        <v>126</v>
      </c>
      <c r="W514" s="12" t="s">
        <v>360</v>
      </c>
      <c r="X514" s="12" t="s">
        <v>361</v>
      </c>
      <c r="Y514" s="12" t="s">
        <v>1038</v>
      </c>
      <c r="AA514" s="14">
        <v>88131</v>
      </c>
      <c r="AB514" s="14" t="s">
        <v>851</v>
      </c>
      <c r="AC514" s="12" t="s">
        <v>145</v>
      </c>
      <c r="AD514" s="15" t="str">
        <f t="shared" si="16"/>
        <v>PP - Operational Mgmt (Coding) - SUP</v>
      </c>
      <c r="AE514" s="12" t="s">
        <v>159</v>
      </c>
      <c r="AF514" s="12" t="s">
        <v>237</v>
      </c>
      <c r="AG514" s="12" t="s">
        <v>238</v>
      </c>
      <c r="AH514" s="12" t="s">
        <v>1038</v>
      </c>
      <c r="AJ514" s="14">
        <v>51457</v>
      </c>
      <c r="AK514" s="14" t="s">
        <v>807</v>
      </c>
    </row>
    <row r="515" spans="6:37">
      <c r="F515" s="45">
        <v>51537</v>
      </c>
      <c r="G515" s="12" t="s">
        <v>117</v>
      </c>
      <c r="R515" s="14">
        <v>51070</v>
      </c>
      <c r="S515" s="14" t="s">
        <v>1066</v>
      </c>
      <c r="T515" s="12" t="s">
        <v>116</v>
      </c>
      <c r="U515" s="15" t="str">
        <f t="shared" ref="U515:U578" si="17">S515&amp;" - "&amp;T515</f>
        <v>AZN21112611CloudinfraMS - PRD</v>
      </c>
      <c r="V515" s="12" t="s">
        <v>117</v>
      </c>
      <c r="W515" s="12" t="s">
        <v>117</v>
      </c>
      <c r="X515" s="12" t="s">
        <v>117</v>
      </c>
      <c r="Y515" s="12" t="s">
        <v>1038</v>
      </c>
      <c r="AA515" s="14">
        <v>88130</v>
      </c>
      <c r="AB515" s="14" t="s">
        <v>855</v>
      </c>
      <c r="AC515" s="12" t="s">
        <v>145</v>
      </c>
      <c r="AD515" s="15" t="str">
        <f t="shared" ref="AD515:AD578" si="18">AB515&amp;" - "&amp;AC515</f>
        <v>PP - Operational Mgmt (RCMS) - SUP</v>
      </c>
      <c r="AE515" s="12" t="s">
        <v>154</v>
      </c>
      <c r="AF515" s="12" t="s">
        <v>163</v>
      </c>
      <c r="AG515" s="12" t="s">
        <v>164</v>
      </c>
      <c r="AH515" s="12" t="s">
        <v>1038</v>
      </c>
      <c r="AJ515" s="14">
        <v>51458</v>
      </c>
      <c r="AK515" s="14" t="s">
        <v>809</v>
      </c>
    </row>
    <row r="516" spans="6:37">
      <c r="F516" s="45">
        <v>51540</v>
      </c>
      <c r="G516" s="12" t="s">
        <v>117</v>
      </c>
      <c r="R516" s="14">
        <v>25497</v>
      </c>
      <c r="S516" s="14" t="s">
        <v>650</v>
      </c>
      <c r="T516" s="12" t="s">
        <v>121</v>
      </c>
      <c r="U516" s="15" t="str">
        <f t="shared" si="17"/>
        <v>Back Office Support - F&amp;A</v>
      </c>
      <c r="V516" s="12" t="s">
        <v>104</v>
      </c>
      <c r="W516" s="12" t="s">
        <v>122</v>
      </c>
      <c r="X516" s="12" t="s">
        <v>114</v>
      </c>
      <c r="Y516" s="12" t="s">
        <v>1038</v>
      </c>
      <c r="AA516" s="14">
        <v>97312</v>
      </c>
      <c r="AB516" s="14" t="s">
        <v>857</v>
      </c>
      <c r="AC516" s="12" t="s">
        <v>858</v>
      </c>
      <c r="AD516" s="15" t="str">
        <f t="shared" si="18"/>
        <v>PP- Support Training RCMS - CLS</v>
      </c>
      <c r="AE516" s="12" t="s">
        <v>118</v>
      </c>
      <c r="AF516" s="12" t="s">
        <v>204</v>
      </c>
      <c r="AG516" s="12" t="s">
        <v>205</v>
      </c>
      <c r="AH516" s="12" t="s">
        <v>1038</v>
      </c>
      <c r="AJ516" s="14">
        <v>51460</v>
      </c>
      <c r="AK516" s="14" t="s">
        <v>810</v>
      </c>
    </row>
    <row r="517" spans="6:37">
      <c r="F517" s="45">
        <v>51542</v>
      </c>
      <c r="G517" s="12" t="s">
        <v>117</v>
      </c>
      <c r="R517" s="14">
        <v>40184</v>
      </c>
      <c r="S517" s="14" t="s">
        <v>679</v>
      </c>
      <c r="T517" s="12" t="s">
        <v>230</v>
      </c>
      <c r="U517" s="15" t="str">
        <f t="shared" si="17"/>
        <v>Bank_Axis_AssetOps - PRSP</v>
      </c>
      <c r="V517" s="12" t="s">
        <v>126</v>
      </c>
      <c r="W517" s="12" t="s">
        <v>163</v>
      </c>
      <c r="X517" s="12" t="s">
        <v>164</v>
      </c>
      <c r="Y517" s="12" t="s">
        <v>1038</v>
      </c>
      <c r="AA517" s="14">
        <v>97312</v>
      </c>
      <c r="AB517" s="14" t="s">
        <v>857</v>
      </c>
      <c r="AC517" s="12" t="s">
        <v>172</v>
      </c>
      <c r="AD517" s="15" t="str">
        <f t="shared" si="18"/>
        <v>PP- Support Training RCMS - SME</v>
      </c>
      <c r="AE517" s="12" t="s">
        <v>118</v>
      </c>
      <c r="AF517" s="12" t="s">
        <v>204</v>
      </c>
      <c r="AG517" s="12" t="s">
        <v>205</v>
      </c>
      <c r="AH517" s="12" t="s">
        <v>1038</v>
      </c>
      <c r="AJ517" s="14">
        <v>51461</v>
      </c>
      <c r="AK517" s="14" t="s">
        <v>811</v>
      </c>
    </row>
    <row r="518" spans="6:37">
      <c r="F518" s="45">
        <v>51543</v>
      </c>
      <c r="G518" s="12" t="s">
        <v>117</v>
      </c>
      <c r="R518" s="14">
        <v>40184</v>
      </c>
      <c r="S518" s="14" t="s">
        <v>679</v>
      </c>
      <c r="T518" s="12" t="s">
        <v>180</v>
      </c>
      <c r="U518" s="15" t="str">
        <f t="shared" si="17"/>
        <v>Bank_Axis_AssetOps - TMG</v>
      </c>
      <c r="V518" s="12" t="s">
        <v>126</v>
      </c>
      <c r="W518" s="12" t="s">
        <v>163</v>
      </c>
      <c r="X518" s="12" t="s">
        <v>164</v>
      </c>
      <c r="Y518" s="12" t="s">
        <v>1038</v>
      </c>
      <c r="AA518" s="14">
        <v>97312</v>
      </c>
      <c r="AB518" s="14" t="s">
        <v>857</v>
      </c>
      <c r="AC518" s="12" t="s">
        <v>145</v>
      </c>
      <c r="AD518" s="15" t="str">
        <f t="shared" si="18"/>
        <v>PP- Support Training RCMS - SUP</v>
      </c>
      <c r="AE518" s="12" t="s">
        <v>118</v>
      </c>
      <c r="AF518" s="12" t="s">
        <v>204</v>
      </c>
      <c r="AG518" s="12" t="s">
        <v>205</v>
      </c>
      <c r="AH518" s="12" t="s">
        <v>1038</v>
      </c>
      <c r="AJ518" s="14">
        <v>51473</v>
      </c>
      <c r="AK518" s="14" t="s">
        <v>812</v>
      </c>
    </row>
    <row r="519" spans="6:37">
      <c r="F519" s="45">
        <v>51544</v>
      </c>
      <c r="G519" s="12" t="s">
        <v>117</v>
      </c>
      <c r="R519" s="14">
        <v>40184</v>
      </c>
      <c r="S519" s="14" t="s">
        <v>679</v>
      </c>
      <c r="T519" s="12" t="s">
        <v>185</v>
      </c>
      <c r="U519" s="15" t="str">
        <f t="shared" si="17"/>
        <v>Bank_Axis_AssetOps - TPS</v>
      </c>
      <c r="V519" s="12" t="s">
        <v>126</v>
      </c>
      <c r="W519" s="12" t="s">
        <v>163</v>
      </c>
      <c r="X519" s="12" t="s">
        <v>164</v>
      </c>
      <c r="Y519" s="12" t="s">
        <v>1038</v>
      </c>
      <c r="AA519" s="14">
        <v>97312</v>
      </c>
      <c r="AB519" s="14" t="s">
        <v>857</v>
      </c>
      <c r="AC519" s="12" t="s">
        <v>185</v>
      </c>
      <c r="AD519" s="15" t="str">
        <f t="shared" si="18"/>
        <v>PP- Support Training RCMS - TPS</v>
      </c>
      <c r="AE519" s="12" t="s">
        <v>118</v>
      </c>
      <c r="AF519" s="12" t="s">
        <v>204</v>
      </c>
      <c r="AG519" s="12" t="s">
        <v>205</v>
      </c>
      <c r="AH519" s="12" t="s">
        <v>1038</v>
      </c>
      <c r="AJ519" s="14">
        <v>51475</v>
      </c>
      <c r="AK519" s="14" t="s">
        <v>813</v>
      </c>
    </row>
    <row r="520" spans="6:37">
      <c r="F520" s="45">
        <v>51547</v>
      </c>
      <c r="G520" s="12" t="s">
        <v>117</v>
      </c>
      <c r="R520" s="14">
        <v>93250</v>
      </c>
      <c r="S520" s="14" t="s">
        <v>959</v>
      </c>
      <c r="T520" s="12" t="s">
        <v>1022</v>
      </c>
      <c r="U520" s="15" t="str">
        <f t="shared" si="17"/>
        <v>Banking - MKG</v>
      </c>
      <c r="V520" s="12" t="s">
        <v>104</v>
      </c>
      <c r="W520" s="12" t="s">
        <v>163</v>
      </c>
      <c r="X520" s="12" t="s">
        <v>164</v>
      </c>
      <c r="Y520" s="12" t="s">
        <v>1038</v>
      </c>
      <c r="AA520" s="14">
        <v>97312</v>
      </c>
      <c r="AB520" s="14" t="s">
        <v>857</v>
      </c>
      <c r="AC520" s="12" t="s">
        <v>863</v>
      </c>
      <c r="AD520" s="15" t="str">
        <f t="shared" si="18"/>
        <v>PP- Support Training RCMS - TRA</v>
      </c>
      <c r="AE520" s="12" t="s">
        <v>118</v>
      </c>
      <c r="AF520" s="12" t="s">
        <v>204</v>
      </c>
      <c r="AG520" s="12" t="s">
        <v>205</v>
      </c>
      <c r="AH520" s="12" t="s">
        <v>1038</v>
      </c>
      <c r="AJ520" s="14">
        <v>51476</v>
      </c>
      <c r="AK520" s="14" t="s">
        <v>814</v>
      </c>
    </row>
    <row r="521" spans="6:37">
      <c r="F521" s="45">
        <v>51550</v>
      </c>
      <c r="G521" s="12" t="s">
        <v>117</v>
      </c>
      <c r="R521" s="14">
        <v>93250</v>
      </c>
      <c r="S521" s="14" t="s">
        <v>959</v>
      </c>
      <c r="T521" s="12" t="s">
        <v>145</v>
      </c>
      <c r="U521" s="15" t="str">
        <f t="shared" si="17"/>
        <v>Banking - SUP</v>
      </c>
      <c r="V521" s="12" t="s">
        <v>104</v>
      </c>
      <c r="W521" s="12" t="s">
        <v>163</v>
      </c>
      <c r="X521" s="12" t="s">
        <v>164</v>
      </c>
      <c r="Y521" s="12" t="s">
        <v>1038</v>
      </c>
      <c r="AA521" s="14">
        <v>97312</v>
      </c>
      <c r="AB521" s="14" t="s">
        <v>857</v>
      </c>
      <c r="AC521" s="12" t="s">
        <v>203</v>
      </c>
      <c r="AD521" s="15" t="str">
        <f t="shared" si="18"/>
        <v>PP- Support Training RCMS - TRG</v>
      </c>
      <c r="AE521" s="12" t="s">
        <v>118</v>
      </c>
      <c r="AF521" s="12" t="s">
        <v>204</v>
      </c>
      <c r="AG521" s="12" t="s">
        <v>205</v>
      </c>
      <c r="AH521" s="12" t="s">
        <v>1038</v>
      </c>
      <c r="AJ521" s="14">
        <v>51483</v>
      </c>
      <c r="AK521" s="14" t="s">
        <v>815</v>
      </c>
    </row>
    <row r="522" spans="6:37">
      <c r="F522" s="45">
        <v>51551</v>
      </c>
      <c r="G522" s="12" t="s">
        <v>117</v>
      </c>
      <c r="R522" s="14">
        <v>91322</v>
      </c>
      <c r="S522" s="14" t="s">
        <v>940</v>
      </c>
      <c r="T522" s="12" t="s">
        <v>150</v>
      </c>
      <c r="U522" s="15" t="str">
        <f t="shared" si="17"/>
        <v>Banking SD - CCS</v>
      </c>
      <c r="V522" s="12" t="s">
        <v>104</v>
      </c>
      <c r="W522" s="12" t="s">
        <v>980</v>
      </c>
      <c r="X522" s="12" t="s">
        <v>981</v>
      </c>
      <c r="Y522" s="12" t="s">
        <v>1038</v>
      </c>
      <c r="AA522" s="14">
        <v>97312</v>
      </c>
      <c r="AB522" s="14" t="s">
        <v>857</v>
      </c>
      <c r="AC522" s="12" t="s">
        <v>208</v>
      </c>
      <c r="AD522" s="15" t="str">
        <f t="shared" si="18"/>
        <v>PP- Support Training RCMS - TTR</v>
      </c>
      <c r="AE522" s="12" t="s">
        <v>118</v>
      </c>
      <c r="AF522" s="12" t="s">
        <v>204</v>
      </c>
      <c r="AG522" s="12" t="s">
        <v>205</v>
      </c>
      <c r="AH522" s="12" t="s">
        <v>1038</v>
      </c>
      <c r="AJ522" s="14">
        <v>51488</v>
      </c>
      <c r="AK522" s="14" t="s">
        <v>816</v>
      </c>
    </row>
    <row r="523" spans="6:37">
      <c r="F523" s="45">
        <v>51552</v>
      </c>
      <c r="G523" s="12" t="s">
        <v>117</v>
      </c>
      <c r="R523" s="14">
        <v>91322</v>
      </c>
      <c r="S523" s="14" t="s">
        <v>940</v>
      </c>
      <c r="T523" s="12" t="s">
        <v>145</v>
      </c>
      <c r="U523" s="15" t="str">
        <f t="shared" si="17"/>
        <v>Banking SD - SUP</v>
      </c>
      <c r="V523" s="12" t="s">
        <v>104</v>
      </c>
      <c r="W523" s="12" t="s">
        <v>980</v>
      </c>
      <c r="X523" s="12" t="s">
        <v>981</v>
      </c>
      <c r="Y523" s="12" t="s">
        <v>1038</v>
      </c>
      <c r="AA523" s="14">
        <v>88117</v>
      </c>
      <c r="AB523" s="14" t="s">
        <v>868</v>
      </c>
      <c r="AC523" s="12" t="s">
        <v>116</v>
      </c>
      <c r="AD523" s="15" t="str">
        <f t="shared" si="18"/>
        <v>PP-Coding_Bench - PRD</v>
      </c>
      <c r="AE523" s="12" t="s">
        <v>159</v>
      </c>
      <c r="AF523" s="12" t="s">
        <v>237</v>
      </c>
      <c r="AG523" s="12" t="s">
        <v>238</v>
      </c>
      <c r="AH523" s="12" t="s">
        <v>1038</v>
      </c>
      <c r="AJ523" s="14">
        <v>51491</v>
      </c>
      <c r="AK523" s="14" t="s">
        <v>817</v>
      </c>
    </row>
    <row r="524" spans="6:37">
      <c r="F524" s="45">
        <v>51553</v>
      </c>
      <c r="G524" s="12" t="s">
        <v>117</v>
      </c>
      <c r="R524" s="14">
        <v>88010</v>
      </c>
      <c r="S524" s="14" t="s">
        <v>906</v>
      </c>
      <c r="T524" s="12" t="s">
        <v>185</v>
      </c>
      <c r="U524" s="15" t="str">
        <f t="shared" si="17"/>
        <v>Bankops Common - TPS</v>
      </c>
      <c r="V524" s="12" t="s">
        <v>126</v>
      </c>
      <c r="W524" s="12" t="s">
        <v>163</v>
      </c>
      <c r="X524" s="12" t="s">
        <v>164</v>
      </c>
      <c r="Y524" s="12" t="s">
        <v>1038</v>
      </c>
      <c r="AA524" s="14">
        <v>88117</v>
      </c>
      <c r="AB524" s="14" t="s">
        <v>868</v>
      </c>
      <c r="AC524" s="12" t="s">
        <v>230</v>
      </c>
      <c r="AD524" s="15" t="str">
        <f t="shared" si="18"/>
        <v>PP-Coding_Bench - PRSP</v>
      </c>
      <c r="AE524" s="12" t="s">
        <v>159</v>
      </c>
      <c r="AF524" s="12" t="s">
        <v>237</v>
      </c>
      <c r="AG524" s="12" t="s">
        <v>238</v>
      </c>
      <c r="AH524" s="12" t="s">
        <v>1038</v>
      </c>
      <c r="AJ524" s="14">
        <v>51492</v>
      </c>
      <c r="AK524" s="14" t="s">
        <v>818</v>
      </c>
    </row>
    <row r="525" spans="6:37">
      <c r="F525" s="45">
        <v>51554</v>
      </c>
      <c r="G525" s="12" t="s">
        <v>117</v>
      </c>
      <c r="R525" s="14">
        <v>12029</v>
      </c>
      <c r="S525" s="14" t="s">
        <v>300</v>
      </c>
      <c r="T525" s="12" t="s">
        <v>185</v>
      </c>
      <c r="U525" s="15" t="str">
        <f t="shared" si="17"/>
        <v>BCBS-AZ SOW 2-Credentialling - TPS</v>
      </c>
      <c r="V525" s="12" t="s">
        <v>126</v>
      </c>
      <c r="W525" s="12" t="s">
        <v>163</v>
      </c>
      <c r="X525" s="12" t="s">
        <v>164</v>
      </c>
      <c r="Y525" s="12" t="s">
        <v>1038</v>
      </c>
      <c r="AA525" s="14">
        <v>88117</v>
      </c>
      <c r="AB525" s="14" t="s">
        <v>868</v>
      </c>
      <c r="AC525" s="12" t="s">
        <v>180</v>
      </c>
      <c r="AD525" s="15" t="str">
        <f t="shared" si="18"/>
        <v>PP-Coding_Bench - TMG</v>
      </c>
      <c r="AE525" s="12" t="s">
        <v>159</v>
      </c>
      <c r="AF525" s="12" t="s">
        <v>237</v>
      </c>
      <c r="AG525" s="12" t="s">
        <v>238</v>
      </c>
      <c r="AH525" s="12" t="s">
        <v>1038</v>
      </c>
      <c r="AJ525" s="14">
        <v>51494</v>
      </c>
      <c r="AK525" s="14" t="s">
        <v>819</v>
      </c>
    </row>
    <row r="526" spans="6:37">
      <c r="F526" s="45">
        <v>51555</v>
      </c>
      <c r="G526" s="12" t="s">
        <v>117</v>
      </c>
      <c r="R526" s="14">
        <v>51071</v>
      </c>
      <c r="S526" s="14" t="s">
        <v>1067</v>
      </c>
      <c r="T526" s="12" t="s">
        <v>116</v>
      </c>
      <c r="U526" s="15" t="str">
        <f t="shared" si="17"/>
        <v>BCBSMCloudTestERPHCM - PRD</v>
      </c>
      <c r="V526" s="12" t="s">
        <v>117</v>
      </c>
      <c r="W526" s="12" t="s">
        <v>117</v>
      </c>
      <c r="X526" s="12" t="s">
        <v>117</v>
      </c>
      <c r="Y526" s="12" t="s">
        <v>1038</v>
      </c>
      <c r="AA526" s="14">
        <v>88117</v>
      </c>
      <c r="AB526" s="14" t="s">
        <v>868</v>
      </c>
      <c r="AC526" s="12" t="s">
        <v>185</v>
      </c>
      <c r="AD526" s="15" t="str">
        <f t="shared" si="18"/>
        <v>PP-Coding_Bench - TPS</v>
      </c>
      <c r="AE526" s="12" t="s">
        <v>159</v>
      </c>
      <c r="AF526" s="12" t="s">
        <v>237</v>
      </c>
      <c r="AG526" s="12" t="s">
        <v>238</v>
      </c>
      <c r="AH526" s="12" t="s">
        <v>1038</v>
      </c>
      <c r="AJ526" s="14">
        <v>51496</v>
      </c>
      <c r="AK526" s="14" t="s">
        <v>820</v>
      </c>
    </row>
    <row r="527" spans="6:37">
      <c r="F527" s="45">
        <v>51556</v>
      </c>
      <c r="G527" s="12" t="s">
        <v>117</v>
      </c>
      <c r="R527" s="14">
        <v>95507</v>
      </c>
      <c r="S527" s="14" t="s">
        <v>998</v>
      </c>
      <c r="T527" s="12" t="s">
        <v>145</v>
      </c>
      <c r="U527" s="15" t="str">
        <f t="shared" si="17"/>
        <v>BCP/DR - SUP</v>
      </c>
      <c r="V527" s="12" t="s">
        <v>104</v>
      </c>
      <c r="W527" s="12" t="s">
        <v>263</v>
      </c>
      <c r="X527" s="12" t="s">
        <v>264</v>
      </c>
      <c r="Y527" s="12" t="s">
        <v>1038</v>
      </c>
      <c r="AA527" s="14">
        <v>88129</v>
      </c>
      <c r="AB527" s="14" t="s">
        <v>874</v>
      </c>
      <c r="AC527" s="12" t="s">
        <v>177</v>
      </c>
      <c r="AD527" s="15" t="str">
        <f t="shared" si="18"/>
        <v>PP-RCMS_Bench - NFB/Logo - OPS</v>
      </c>
      <c r="AE527" s="12" t="s">
        <v>154</v>
      </c>
      <c r="AF527" s="12" t="s">
        <v>163</v>
      </c>
      <c r="AG527" s="12" t="s">
        <v>164</v>
      </c>
      <c r="AH527" s="12" t="s">
        <v>1038</v>
      </c>
      <c r="AJ527" s="14">
        <v>51498</v>
      </c>
      <c r="AK527" s="14" t="s">
        <v>821</v>
      </c>
    </row>
    <row r="528" spans="6:37">
      <c r="F528" s="45">
        <v>51557</v>
      </c>
      <c r="G528" s="12" t="s">
        <v>117</v>
      </c>
      <c r="R528" s="14">
        <v>93621</v>
      </c>
      <c r="S528" s="14" t="s">
        <v>302</v>
      </c>
      <c r="T528" s="12" t="s">
        <v>145</v>
      </c>
      <c r="U528" s="15" t="str">
        <f t="shared" si="17"/>
        <v>BD - Sales team/ Compensation - SUP</v>
      </c>
      <c r="V528" s="12" t="s">
        <v>104</v>
      </c>
      <c r="W528" s="12" t="s">
        <v>303</v>
      </c>
      <c r="X528" s="12" t="s">
        <v>114</v>
      </c>
      <c r="Y528" s="12" t="s">
        <v>1038</v>
      </c>
      <c r="AA528" s="14">
        <v>88129</v>
      </c>
      <c r="AB528" s="14" t="s">
        <v>874</v>
      </c>
      <c r="AC528" s="12" t="s">
        <v>116</v>
      </c>
      <c r="AD528" s="15" t="str">
        <f t="shared" si="18"/>
        <v>PP-RCMS_Bench - NFB/Logo - PRD</v>
      </c>
      <c r="AE528" s="12" t="s">
        <v>154</v>
      </c>
      <c r="AF528" s="12" t="s">
        <v>163</v>
      </c>
      <c r="AG528" s="12" t="s">
        <v>164</v>
      </c>
      <c r="AH528" s="12" t="s">
        <v>1038</v>
      </c>
      <c r="AJ528" s="14">
        <v>51502</v>
      </c>
      <c r="AK528" s="14" t="s">
        <v>822</v>
      </c>
    </row>
    <row r="529" spans="6:37">
      <c r="F529" s="45">
        <v>51558</v>
      </c>
      <c r="G529" s="12" t="s">
        <v>117</v>
      </c>
      <c r="R529" s="14">
        <v>93032</v>
      </c>
      <c r="S529" s="14" t="s">
        <v>957</v>
      </c>
      <c r="T529" s="12" t="s">
        <v>145</v>
      </c>
      <c r="U529" s="15" t="str">
        <f t="shared" si="17"/>
        <v>BD Content Sales JC - SUP</v>
      </c>
      <c r="V529" s="12" t="s">
        <v>126</v>
      </c>
      <c r="W529" s="12" t="s">
        <v>163</v>
      </c>
      <c r="X529" s="12" t="s">
        <v>164</v>
      </c>
      <c r="Y529" s="12" t="s">
        <v>1038</v>
      </c>
      <c r="AA529" s="14">
        <v>88129</v>
      </c>
      <c r="AB529" s="14" t="s">
        <v>874</v>
      </c>
      <c r="AC529" s="12" t="s">
        <v>185</v>
      </c>
      <c r="AD529" s="15" t="str">
        <f t="shared" si="18"/>
        <v>PP-RCMS_Bench - NFB/Logo - TPS</v>
      </c>
      <c r="AE529" s="12" t="s">
        <v>154</v>
      </c>
      <c r="AF529" s="12" t="s">
        <v>163</v>
      </c>
      <c r="AG529" s="12" t="s">
        <v>164</v>
      </c>
      <c r="AH529" s="12" t="s">
        <v>1038</v>
      </c>
      <c r="AJ529" s="14">
        <v>51506</v>
      </c>
      <c r="AK529" s="14" t="s">
        <v>823</v>
      </c>
    </row>
    <row r="530" spans="6:37">
      <c r="F530" s="45">
        <v>51559</v>
      </c>
      <c r="G530" s="12" t="s">
        <v>117</v>
      </c>
      <c r="R530" s="14">
        <v>93630</v>
      </c>
      <c r="S530" s="14" t="s">
        <v>966</v>
      </c>
      <c r="T530" s="12" t="s">
        <v>352</v>
      </c>
      <c r="U530" s="15" t="str">
        <f t="shared" si="17"/>
        <v>BD Travel - EAT</v>
      </c>
      <c r="V530" s="12" t="s">
        <v>104</v>
      </c>
      <c r="W530" s="12" t="s">
        <v>303</v>
      </c>
      <c r="X530" s="12" t="s">
        <v>114</v>
      </c>
      <c r="Y530" s="12" t="s">
        <v>1038</v>
      </c>
      <c r="AA530" s="14">
        <v>97311</v>
      </c>
      <c r="AB530" s="14" t="s">
        <v>879</v>
      </c>
      <c r="AC530" s="12" t="s">
        <v>145</v>
      </c>
      <c r="AD530" s="15" t="str">
        <f t="shared" si="18"/>
        <v>PP-Support Training Coding - SUP</v>
      </c>
      <c r="AE530" s="12" t="s">
        <v>159</v>
      </c>
      <c r="AF530" s="12" t="s">
        <v>237</v>
      </c>
      <c r="AG530" s="12" t="s">
        <v>238</v>
      </c>
      <c r="AH530" s="12" t="s">
        <v>1038</v>
      </c>
      <c r="AJ530" s="14">
        <v>51509</v>
      </c>
      <c r="AK530" s="14" t="s">
        <v>824</v>
      </c>
    </row>
    <row r="531" spans="6:37">
      <c r="F531" s="45">
        <v>51560</v>
      </c>
      <c r="G531" s="12" t="s">
        <v>117</v>
      </c>
      <c r="R531" s="14">
        <v>93630</v>
      </c>
      <c r="S531" s="14" t="s">
        <v>966</v>
      </c>
      <c r="T531" s="12" t="s">
        <v>145</v>
      </c>
      <c r="U531" s="15" t="str">
        <f t="shared" si="17"/>
        <v>BD Travel - SUP</v>
      </c>
      <c r="V531" s="12" t="s">
        <v>104</v>
      </c>
      <c r="W531" s="12" t="s">
        <v>303</v>
      </c>
      <c r="X531" s="12" t="s">
        <v>114</v>
      </c>
      <c r="Y531" s="12" t="s">
        <v>1038</v>
      </c>
      <c r="AA531" s="14">
        <v>91084</v>
      </c>
      <c r="AB531" s="14" t="s">
        <v>881</v>
      </c>
      <c r="AC531" s="12" t="s">
        <v>145</v>
      </c>
      <c r="AD531" s="15" t="str">
        <f t="shared" si="18"/>
        <v>Prohance chargeback - OE - SUP</v>
      </c>
      <c r="AE531" s="12" t="s">
        <v>118</v>
      </c>
      <c r="AF531" s="12" t="s">
        <v>401</v>
      </c>
      <c r="AG531" s="12" t="s">
        <v>114</v>
      </c>
      <c r="AH531" s="12" t="s">
        <v>1038</v>
      </c>
      <c r="AJ531" s="14">
        <v>51510</v>
      </c>
      <c r="AK531" s="14" t="s">
        <v>826</v>
      </c>
    </row>
    <row r="532" spans="6:37">
      <c r="F532" s="45">
        <v>51561</v>
      </c>
      <c r="G532" s="12" t="s">
        <v>117</v>
      </c>
      <c r="R532" s="14">
        <v>10852</v>
      </c>
      <c r="S532" s="14" t="s">
        <v>305</v>
      </c>
      <c r="T532" s="12" t="s">
        <v>306</v>
      </c>
      <c r="U532" s="15" t="str">
        <f t="shared" si="17"/>
        <v>Beachbody-DBS - FAO</v>
      </c>
      <c r="V532" s="12" t="s">
        <v>126</v>
      </c>
      <c r="W532" s="12" t="s">
        <v>122</v>
      </c>
      <c r="X532" s="12" t="s">
        <v>114</v>
      </c>
      <c r="Y532" s="12" t="s">
        <v>1038</v>
      </c>
      <c r="AA532" s="14">
        <v>97121</v>
      </c>
      <c r="AB532" s="14" t="s">
        <v>883</v>
      </c>
      <c r="AC532" s="12" t="s">
        <v>121</v>
      </c>
      <c r="AD532" s="15" t="str">
        <f t="shared" si="18"/>
        <v>Project 80 - F&amp;A</v>
      </c>
      <c r="AE532" s="12" t="s">
        <v>118</v>
      </c>
      <c r="AF532" s="12" t="s">
        <v>410</v>
      </c>
      <c r="AG532" s="12" t="s">
        <v>114</v>
      </c>
      <c r="AH532" s="12" t="s">
        <v>1038</v>
      </c>
      <c r="AJ532" s="14">
        <v>51512</v>
      </c>
      <c r="AK532" s="14" t="s">
        <v>827</v>
      </c>
    </row>
    <row r="533" spans="6:37">
      <c r="F533" s="45">
        <v>51563</v>
      </c>
      <c r="G533" s="12" t="s">
        <v>117</v>
      </c>
      <c r="R533" s="14">
        <v>12620</v>
      </c>
      <c r="S533" s="14" t="s">
        <v>308</v>
      </c>
      <c r="T533" s="12" t="s">
        <v>185</v>
      </c>
      <c r="U533" s="15" t="str">
        <f t="shared" si="17"/>
        <v>BedRock - Cred &amp; Enrollment - TPS</v>
      </c>
      <c r="V533" s="12" t="s">
        <v>126</v>
      </c>
      <c r="W533" s="12" t="s">
        <v>163</v>
      </c>
      <c r="X533" s="12" t="s">
        <v>164</v>
      </c>
      <c r="Y533" s="12" t="s">
        <v>1038</v>
      </c>
      <c r="AA533" s="14">
        <v>97121</v>
      </c>
      <c r="AB533" s="14" t="s">
        <v>883</v>
      </c>
      <c r="AC533" s="12" t="s">
        <v>556</v>
      </c>
      <c r="AD533" s="15" t="str">
        <f t="shared" si="18"/>
        <v>Project 80 - HRD</v>
      </c>
      <c r="AE533" s="12" t="s">
        <v>118</v>
      </c>
      <c r="AF533" s="12" t="s">
        <v>410</v>
      </c>
      <c r="AG533" s="12" t="s">
        <v>114</v>
      </c>
      <c r="AH533" s="12" t="s">
        <v>1038</v>
      </c>
      <c r="AJ533" s="14">
        <v>51513</v>
      </c>
      <c r="AK533" s="14" t="s">
        <v>828</v>
      </c>
    </row>
    <row r="534" spans="6:37">
      <c r="F534" s="45">
        <v>51564</v>
      </c>
      <c r="G534" s="12" t="s">
        <v>117</v>
      </c>
      <c r="R534" s="14">
        <v>88156</v>
      </c>
      <c r="S534" s="14" t="s">
        <v>312</v>
      </c>
      <c r="T534" s="12" t="s">
        <v>116</v>
      </c>
      <c r="U534" s="15" t="str">
        <f t="shared" si="17"/>
        <v>Bench - New Business - DHES - PRD</v>
      </c>
      <c r="V534" s="12" t="s">
        <v>117</v>
      </c>
      <c r="W534" s="12" t="s">
        <v>117</v>
      </c>
      <c r="X534" s="12" t="s">
        <v>117</v>
      </c>
      <c r="Y534" s="12" t="s">
        <v>1038</v>
      </c>
      <c r="AA534" s="14">
        <v>97121</v>
      </c>
      <c r="AB534" s="14" t="s">
        <v>883</v>
      </c>
      <c r="AC534" s="12" t="s">
        <v>145</v>
      </c>
      <c r="AD534" s="15" t="str">
        <f t="shared" si="18"/>
        <v>Project 80 - SUP</v>
      </c>
      <c r="AE534" s="12" t="s">
        <v>118</v>
      </c>
      <c r="AF534" s="12" t="s">
        <v>410</v>
      </c>
      <c r="AG534" s="12" t="s">
        <v>114</v>
      </c>
      <c r="AH534" s="12" t="s">
        <v>1038</v>
      </c>
      <c r="AJ534" s="14">
        <v>51514</v>
      </c>
      <c r="AK534" s="14" t="s">
        <v>830</v>
      </c>
    </row>
    <row r="535" spans="6:37">
      <c r="F535" s="45">
        <v>51565</v>
      </c>
      <c r="G535" s="12" t="s">
        <v>117</v>
      </c>
      <c r="R535" s="14">
        <v>88156</v>
      </c>
      <c r="S535" s="14" t="s">
        <v>312</v>
      </c>
      <c r="T535" s="12" t="s">
        <v>145</v>
      </c>
      <c r="U535" s="15" t="str">
        <f t="shared" si="17"/>
        <v>Bench - New Business - DHES - SUP</v>
      </c>
      <c r="V535" s="12" t="s">
        <v>117</v>
      </c>
      <c r="W535" s="12" t="s">
        <v>117</v>
      </c>
      <c r="X535" s="12" t="s">
        <v>117</v>
      </c>
      <c r="Y535" s="12" t="s">
        <v>1038</v>
      </c>
      <c r="AA535" s="14">
        <v>88136</v>
      </c>
      <c r="AB535" s="14" t="s">
        <v>887</v>
      </c>
      <c r="AC535" s="12" t="s">
        <v>116</v>
      </c>
      <c r="AD535" s="15" t="str">
        <f t="shared" si="18"/>
        <v>PY - Operational Mgmt (Payer) - PRD</v>
      </c>
      <c r="AE535" s="12" t="s">
        <v>141</v>
      </c>
      <c r="AF535" s="12" t="s">
        <v>163</v>
      </c>
      <c r="AG535" s="12" t="s">
        <v>164</v>
      </c>
      <c r="AH535" s="12" t="s">
        <v>1038</v>
      </c>
      <c r="AJ535" s="14">
        <v>51517</v>
      </c>
      <c r="AK535" s="14" t="s">
        <v>831</v>
      </c>
    </row>
    <row r="536" spans="6:37">
      <c r="F536" s="45">
        <v>51566</v>
      </c>
      <c r="G536" s="12" t="s">
        <v>117</v>
      </c>
      <c r="R536" s="14">
        <v>88156</v>
      </c>
      <c r="S536" s="14" t="s">
        <v>312</v>
      </c>
      <c r="T536" s="12" t="s">
        <v>185</v>
      </c>
      <c r="U536" s="15" t="str">
        <f t="shared" si="17"/>
        <v>Bench - New Business - DHES - TPS</v>
      </c>
      <c r="V536" s="12" t="s">
        <v>117</v>
      </c>
      <c r="W536" s="12" t="s">
        <v>117</v>
      </c>
      <c r="X536" s="12" t="s">
        <v>117</v>
      </c>
      <c r="Y536" s="12" t="s">
        <v>1038</v>
      </c>
      <c r="AA536" s="14">
        <v>88136</v>
      </c>
      <c r="AB536" s="33" t="s">
        <v>887</v>
      </c>
      <c r="AC536" s="34" t="s">
        <v>230</v>
      </c>
      <c r="AD536" s="15" t="str">
        <f t="shared" si="18"/>
        <v>PY - Operational Mgmt (Payer) - PRSP</v>
      </c>
      <c r="AE536" s="12" t="s">
        <v>141</v>
      </c>
      <c r="AF536" s="12" t="s">
        <v>163</v>
      </c>
      <c r="AG536" s="12" t="s">
        <v>164</v>
      </c>
      <c r="AH536" s="12" t="s">
        <v>1038</v>
      </c>
      <c r="AJ536" s="14">
        <v>51519</v>
      </c>
      <c r="AK536" s="14" t="s">
        <v>832</v>
      </c>
    </row>
    <row r="537" spans="6:37">
      <c r="F537" s="45">
        <v>51567</v>
      </c>
      <c r="G537" s="12" t="s">
        <v>117</v>
      </c>
      <c r="R537" s="14">
        <v>10839</v>
      </c>
      <c r="S537" s="14" t="s">
        <v>423</v>
      </c>
      <c r="T537" s="12" t="s">
        <v>431</v>
      </c>
      <c r="U537" s="15" t="str">
        <f t="shared" si="17"/>
        <v>Beyond Risk Insurance - AGA</v>
      </c>
      <c r="V537" s="12" t="s">
        <v>126</v>
      </c>
      <c r="W537" s="12" t="s">
        <v>163</v>
      </c>
      <c r="X537" s="12" t="s">
        <v>164</v>
      </c>
      <c r="Y537" s="12" t="s">
        <v>1038</v>
      </c>
      <c r="AA537" s="14">
        <v>88136</v>
      </c>
      <c r="AB537" s="33" t="s">
        <v>887</v>
      </c>
      <c r="AC537" s="34" t="s">
        <v>145</v>
      </c>
      <c r="AD537" s="15" t="str">
        <f t="shared" si="18"/>
        <v>PY - Operational Mgmt (Payer) - SUP</v>
      </c>
      <c r="AE537" s="12" t="s">
        <v>141</v>
      </c>
      <c r="AF537" s="12" t="s">
        <v>163</v>
      </c>
      <c r="AG537" s="12" t="s">
        <v>164</v>
      </c>
      <c r="AH537" s="12" t="s">
        <v>1038</v>
      </c>
      <c r="AJ537" s="14">
        <v>51520</v>
      </c>
      <c r="AK537" s="14" t="s">
        <v>833</v>
      </c>
    </row>
    <row r="538" spans="6:37">
      <c r="F538" s="45">
        <v>51569</v>
      </c>
      <c r="G538" s="12" t="s">
        <v>117</v>
      </c>
      <c r="R538" s="14">
        <v>10839</v>
      </c>
      <c r="S538" s="14" t="s">
        <v>423</v>
      </c>
      <c r="T538" s="12" t="s">
        <v>719</v>
      </c>
      <c r="U538" s="15" t="str">
        <f t="shared" si="17"/>
        <v>Beyond Risk Insurance - AGB</v>
      </c>
      <c r="V538" s="12" t="s">
        <v>126</v>
      </c>
      <c r="W538" s="12" t="s">
        <v>163</v>
      </c>
      <c r="X538" s="12" t="s">
        <v>164</v>
      </c>
      <c r="Y538" s="12" t="s">
        <v>1038</v>
      </c>
      <c r="AA538" s="14">
        <v>88136</v>
      </c>
      <c r="AB538" s="33" t="s">
        <v>887</v>
      </c>
      <c r="AC538" s="34" t="s">
        <v>180</v>
      </c>
      <c r="AD538" s="15" t="str">
        <f t="shared" si="18"/>
        <v>PY - Operational Mgmt (Payer) - TMG</v>
      </c>
      <c r="AE538" s="12" t="s">
        <v>141</v>
      </c>
      <c r="AF538" s="12" t="s">
        <v>163</v>
      </c>
      <c r="AG538" s="12" t="s">
        <v>164</v>
      </c>
      <c r="AH538" s="12" t="s">
        <v>1038</v>
      </c>
      <c r="AJ538" s="14">
        <v>51526</v>
      </c>
      <c r="AK538" s="14" t="s">
        <v>836</v>
      </c>
    </row>
    <row r="539" spans="6:37">
      <c r="F539" s="45">
        <v>51570</v>
      </c>
      <c r="G539" s="12" t="s">
        <v>117</v>
      </c>
      <c r="R539" s="14">
        <v>10839</v>
      </c>
      <c r="S539" s="14" t="s">
        <v>423</v>
      </c>
      <c r="T539" s="12" t="s">
        <v>196</v>
      </c>
      <c r="U539" s="15" t="str">
        <f t="shared" si="17"/>
        <v>Beyond Risk Insurance - SUT</v>
      </c>
      <c r="V539" s="12" t="s">
        <v>126</v>
      </c>
      <c r="W539" s="12" t="s">
        <v>163</v>
      </c>
      <c r="X539" s="12" t="s">
        <v>164</v>
      </c>
      <c r="Y539" s="12" t="s">
        <v>1038</v>
      </c>
      <c r="AA539" s="14">
        <v>88136</v>
      </c>
      <c r="AB539" s="33" t="s">
        <v>887</v>
      </c>
      <c r="AC539" s="34" t="s">
        <v>185</v>
      </c>
      <c r="AD539" s="15" t="str">
        <f t="shared" si="18"/>
        <v>PY - Operational Mgmt (Payer) - TPS</v>
      </c>
      <c r="AE539" s="12" t="s">
        <v>141</v>
      </c>
      <c r="AF539" s="12" t="s">
        <v>163</v>
      </c>
      <c r="AG539" s="12" t="s">
        <v>164</v>
      </c>
      <c r="AH539" s="12" t="s">
        <v>1038</v>
      </c>
      <c r="AJ539" s="14">
        <v>51528</v>
      </c>
      <c r="AK539" s="14" t="s">
        <v>837</v>
      </c>
    </row>
    <row r="540" spans="6:37">
      <c r="F540" s="45">
        <v>51571</v>
      </c>
      <c r="G540" s="12" t="s">
        <v>117</v>
      </c>
      <c r="R540" s="14">
        <v>93584</v>
      </c>
      <c r="S540" s="14" t="s">
        <v>961</v>
      </c>
      <c r="T540" s="12" t="s">
        <v>129</v>
      </c>
      <c r="U540" s="15" t="str">
        <f t="shared" si="17"/>
        <v>BFSI_Sales_Investment - MGT</v>
      </c>
      <c r="V540" s="12" t="s">
        <v>104</v>
      </c>
      <c r="W540" s="12" t="s">
        <v>980</v>
      </c>
      <c r="X540" s="12" t="s">
        <v>981</v>
      </c>
      <c r="Y540" s="12" t="s">
        <v>1038</v>
      </c>
      <c r="AA540" s="14">
        <v>88122</v>
      </c>
      <c r="AB540" s="14" t="s">
        <v>893</v>
      </c>
      <c r="AC540" s="12" t="s">
        <v>198</v>
      </c>
      <c r="AD540" s="15" t="str">
        <f t="shared" si="18"/>
        <v>PY-Others Support _Bench - TEC</v>
      </c>
      <c r="AE540" s="12" t="s">
        <v>141</v>
      </c>
      <c r="AF540" s="12" t="s">
        <v>163</v>
      </c>
      <c r="AG540" s="12" t="s">
        <v>164</v>
      </c>
      <c r="AH540" s="12" t="s">
        <v>1038</v>
      </c>
      <c r="AJ540" s="14">
        <v>51534</v>
      </c>
      <c r="AK540" s="14" t="s">
        <v>838</v>
      </c>
    </row>
    <row r="541" spans="6:37">
      <c r="F541" s="45">
        <v>51572</v>
      </c>
      <c r="G541" s="12" t="s">
        <v>117</v>
      </c>
      <c r="R541" s="14">
        <v>51072</v>
      </c>
      <c r="S541" s="14" t="s">
        <v>697</v>
      </c>
      <c r="T541" s="12" t="s">
        <v>116</v>
      </c>
      <c r="U541" s="15" t="str">
        <f t="shared" si="17"/>
        <v>BHM-2111-2411-Cloudtestr-QEC - PRD</v>
      </c>
      <c r="V541" s="12" t="s">
        <v>117</v>
      </c>
      <c r="W541" s="12" t="s">
        <v>117</v>
      </c>
      <c r="X541" s="12" t="s">
        <v>117</v>
      </c>
      <c r="Y541" s="12" t="s">
        <v>1038</v>
      </c>
      <c r="AA541" s="14">
        <v>88122</v>
      </c>
      <c r="AB541" s="14" t="s">
        <v>893</v>
      </c>
      <c r="AC541" s="12" t="s">
        <v>185</v>
      </c>
      <c r="AD541" s="15" t="str">
        <f t="shared" si="18"/>
        <v>PY-Others Support _Bench - TPS</v>
      </c>
      <c r="AE541" s="12" t="s">
        <v>141</v>
      </c>
      <c r="AF541" s="12" t="s">
        <v>163</v>
      </c>
      <c r="AG541" s="12" t="s">
        <v>164</v>
      </c>
      <c r="AH541" s="12" t="s">
        <v>1038</v>
      </c>
      <c r="AJ541" s="14">
        <v>51537</v>
      </c>
      <c r="AK541" s="14" t="s">
        <v>839</v>
      </c>
    </row>
    <row r="542" spans="6:37">
      <c r="F542" s="45">
        <v>51573</v>
      </c>
      <c r="G542" s="12" t="s">
        <v>117</v>
      </c>
      <c r="R542" s="14">
        <v>10694</v>
      </c>
      <c r="S542" s="14" t="s">
        <v>314</v>
      </c>
      <c r="T542" s="12" t="s">
        <v>185</v>
      </c>
      <c r="U542" s="15" t="str">
        <f t="shared" si="17"/>
        <v>BIDT Audit for NACIL - TPS</v>
      </c>
      <c r="V542" s="12" t="s">
        <v>126</v>
      </c>
      <c r="W542" s="12" t="s">
        <v>163</v>
      </c>
      <c r="X542" s="12" t="s">
        <v>164</v>
      </c>
      <c r="Y542" s="12" t="s">
        <v>1038</v>
      </c>
      <c r="AA542" s="14">
        <v>97313</v>
      </c>
      <c r="AB542" s="14" t="s">
        <v>896</v>
      </c>
      <c r="AC542" s="12" t="s">
        <v>129</v>
      </c>
      <c r="AD542" s="15" t="str">
        <f t="shared" si="18"/>
        <v>PY-Support Training - MGT</v>
      </c>
      <c r="AE542" s="12" t="s">
        <v>118</v>
      </c>
      <c r="AF542" s="12" t="s">
        <v>370</v>
      </c>
      <c r="AG542" s="12" t="s">
        <v>205</v>
      </c>
      <c r="AH542" s="12" t="s">
        <v>1038</v>
      </c>
      <c r="AJ542" s="14">
        <v>51540</v>
      </c>
      <c r="AK542" s="14" t="s">
        <v>1084</v>
      </c>
    </row>
    <row r="543" spans="6:37">
      <c r="F543" s="45">
        <v>51574</v>
      </c>
      <c r="G543" s="12" t="s">
        <v>117</v>
      </c>
      <c r="R543" s="14">
        <v>10489</v>
      </c>
      <c r="S543" s="14" t="s">
        <v>247</v>
      </c>
      <c r="T543" s="12" t="s">
        <v>138</v>
      </c>
      <c r="U543" s="15" t="str">
        <f t="shared" si="17"/>
        <v>Blackboard - AP_India - BOS</v>
      </c>
      <c r="V543" s="12" t="s">
        <v>126</v>
      </c>
      <c r="W543" s="12" t="s">
        <v>163</v>
      </c>
      <c r="X543" s="12" t="s">
        <v>164</v>
      </c>
      <c r="Y543" s="12" t="s">
        <v>1038</v>
      </c>
      <c r="AA543" s="14">
        <v>97313</v>
      </c>
      <c r="AB543" s="14" t="s">
        <v>896</v>
      </c>
      <c r="AC543" s="12" t="s">
        <v>116</v>
      </c>
      <c r="AD543" s="15" t="str">
        <f t="shared" si="18"/>
        <v>PY-Support Training - PRD</v>
      </c>
      <c r="AE543" s="12" t="s">
        <v>118</v>
      </c>
      <c r="AF543" s="12" t="s">
        <v>370</v>
      </c>
      <c r="AG543" s="12" t="s">
        <v>205</v>
      </c>
      <c r="AH543" s="12" t="s">
        <v>1038</v>
      </c>
      <c r="AJ543" s="14">
        <v>51547</v>
      </c>
      <c r="AK543" s="14" t="s">
        <v>1085</v>
      </c>
    </row>
    <row r="544" spans="6:37">
      <c r="F544" s="45">
        <v>51577</v>
      </c>
      <c r="G544" s="12" t="s">
        <v>117</v>
      </c>
      <c r="R544" s="14">
        <v>10489</v>
      </c>
      <c r="S544" s="14" t="s">
        <v>247</v>
      </c>
      <c r="T544" s="12" t="s">
        <v>306</v>
      </c>
      <c r="U544" s="15" t="str">
        <f t="shared" si="17"/>
        <v>Blackboard - AP_India - FAO</v>
      </c>
      <c r="V544" s="12" t="s">
        <v>126</v>
      </c>
      <c r="W544" s="12" t="s">
        <v>163</v>
      </c>
      <c r="X544" s="12" t="s">
        <v>164</v>
      </c>
      <c r="Y544" s="12" t="s">
        <v>1038</v>
      </c>
      <c r="AA544" s="14">
        <v>97313</v>
      </c>
      <c r="AB544" s="14" t="s">
        <v>896</v>
      </c>
      <c r="AC544" s="12" t="s">
        <v>145</v>
      </c>
      <c r="AD544" s="15" t="str">
        <f t="shared" si="18"/>
        <v>PY-Support Training - SUP</v>
      </c>
      <c r="AE544" s="12" t="s">
        <v>118</v>
      </c>
      <c r="AF544" s="12" t="s">
        <v>370</v>
      </c>
      <c r="AG544" s="12" t="s">
        <v>205</v>
      </c>
      <c r="AH544" s="12" t="s">
        <v>1038</v>
      </c>
      <c r="AJ544" s="14">
        <v>51552</v>
      </c>
      <c r="AK544" s="14" t="s">
        <v>840</v>
      </c>
    </row>
    <row r="545" spans="6:37">
      <c r="F545" s="45">
        <v>51580</v>
      </c>
      <c r="G545" s="12" t="s">
        <v>117</v>
      </c>
      <c r="R545" s="14">
        <v>10489</v>
      </c>
      <c r="S545" s="14" t="s">
        <v>247</v>
      </c>
      <c r="T545" s="12" t="s">
        <v>145</v>
      </c>
      <c r="U545" s="15" t="str">
        <f t="shared" si="17"/>
        <v>Blackboard - AP_India - SUP</v>
      </c>
      <c r="V545" s="12" t="s">
        <v>126</v>
      </c>
      <c r="W545" s="12" t="s">
        <v>163</v>
      </c>
      <c r="X545" s="12" t="s">
        <v>164</v>
      </c>
      <c r="Y545" s="12" t="s">
        <v>1038</v>
      </c>
      <c r="AA545" s="14">
        <v>97313</v>
      </c>
      <c r="AB545" s="14" t="s">
        <v>896</v>
      </c>
      <c r="AC545" s="12" t="s">
        <v>208</v>
      </c>
      <c r="AD545" s="15" t="str">
        <f t="shared" si="18"/>
        <v>PY-Support Training - TTR</v>
      </c>
      <c r="AE545" s="12" t="s">
        <v>118</v>
      </c>
      <c r="AF545" s="12" t="s">
        <v>370</v>
      </c>
      <c r="AG545" s="12" t="s">
        <v>205</v>
      </c>
      <c r="AH545" s="12" t="s">
        <v>1038</v>
      </c>
      <c r="AJ545" s="14">
        <v>51553</v>
      </c>
      <c r="AK545" s="14" t="s">
        <v>841</v>
      </c>
    </row>
    <row r="546" spans="6:37">
      <c r="F546" s="45">
        <v>51581</v>
      </c>
      <c r="G546" s="12" t="s">
        <v>117</v>
      </c>
      <c r="R546" s="14">
        <v>10489</v>
      </c>
      <c r="S546" s="14" t="s">
        <v>247</v>
      </c>
      <c r="T546" s="12" t="s">
        <v>180</v>
      </c>
      <c r="U546" s="15" t="str">
        <f t="shared" si="17"/>
        <v>Blackboard - AP_India - TMG</v>
      </c>
      <c r="V546" s="12" t="s">
        <v>126</v>
      </c>
      <c r="W546" s="12" t="s">
        <v>163</v>
      </c>
      <c r="X546" s="12" t="s">
        <v>164</v>
      </c>
      <c r="Y546" s="12" t="s">
        <v>1038</v>
      </c>
      <c r="AA546" s="14">
        <v>12320</v>
      </c>
      <c r="AB546" s="14" t="s">
        <v>531</v>
      </c>
      <c r="AC546" s="12" t="s">
        <v>116</v>
      </c>
      <c r="AD546" s="15" t="str">
        <f t="shared" si="18"/>
        <v>Recondo - Maintenance - PRD</v>
      </c>
      <c r="AE546" s="12" t="s">
        <v>117</v>
      </c>
      <c r="AF546" s="12" t="s">
        <v>117</v>
      </c>
      <c r="AG546" s="12" t="s">
        <v>117</v>
      </c>
      <c r="AH546" s="12" t="s">
        <v>1038</v>
      </c>
      <c r="AJ546" s="14">
        <v>51554</v>
      </c>
      <c r="AK546" s="14" t="s">
        <v>842</v>
      </c>
    </row>
    <row r="547" spans="6:37">
      <c r="F547" s="45">
        <v>51582</v>
      </c>
      <c r="G547" s="12" t="s">
        <v>117</v>
      </c>
      <c r="R547" s="14">
        <v>10489</v>
      </c>
      <c r="S547" s="14" t="s">
        <v>247</v>
      </c>
      <c r="T547" s="12" t="s">
        <v>185</v>
      </c>
      <c r="U547" s="15" t="str">
        <f t="shared" si="17"/>
        <v>Blackboard - AP_India - TPS</v>
      </c>
      <c r="V547" s="12" t="s">
        <v>126</v>
      </c>
      <c r="W547" s="12" t="s">
        <v>163</v>
      </c>
      <c r="X547" s="12" t="s">
        <v>164</v>
      </c>
      <c r="Y547" s="12" t="s">
        <v>1038</v>
      </c>
      <c r="AA547" s="14">
        <v>97204</v>
      </c>
      <c r="AB547" s="14" t="s">
        <v>898</v>
      </c>
      <c r="AC547" s="12" t="s">
        <v>129</v>
      </c>
      <c r="AD547" s="15" t="str">
        <f t="shared" si="18"/>
        <v>Recruiting - Sourcing Team - MGT</v>
      </c>
      <c r="AE547" s="12" t="s">
        <v>118</v>
      </c>
      <c r="AF547" s="12" t="s">
        <v>512</v>
      </c>
      <c r="AG547" s="12" t="s">
        <v>114</v>
      </c>
      <c r="AH547" s="12" t="s">
        <v>1038</v>
      </c>
      <c r="AJ547" s="14">
        <v>51555</v>
      </c>
      <c r="AK547" s="14" t="s">
        <v>844</v>
      </c>
    </row>
    <row r="548" spans="6:37">
      <c r="F548" s="45">
        <v>51584</v>
      </c>
      <c r="G548" s="12" t="s">
        <v>117</v>
      </c>
      <c r="R548" s="14">
        <v>51074</v>
      </c>
      <c r="S548" s="14" t="s">
        <v>698</v>
      </c>
      <c r="T548" s="12" t="s">
        <v>145</v>
      </c>
      <c r="U548" s="15" t="str">
        <f t="shared" si="17"/>
        <v>Blackstone-OracleCloudInfrastr - SUP</v>
      </c>
      <c r="V548" s="12" t="s">
        <v>117</v>
      </c>
      <c r="W548" s="12" t="s">
        <v>117</v>
      </c>
      <c r="X548" s="12" t="s">
        <v>117</v>
      </c>
      <c r="Y548" s="12" t="s">
        <v>1038</v>
      </c>
      <c r="AA548" s="14">
        <v>97204</v>
      </c>
      <c r="AB548" s="14" t="s">
        <v>898</v>
      </c>
      <c r="AC548" s="12" t="s">
        <v>514</v>
      </c>
      <c r="AD548" s="15" t="str">
        <f t="shared" si="18"/>
        <v>Recruiting - Sourcing Team - REC</v>
      </c>
      <c r="AE548" s="12" t="s">
        <v>118</v>
      </c>
      <c r="AF548" s="12" t="s">
        <v>512</v>
      </c>
      <c r="AG548" s="12" t="s">
        <v>114</v>
      </c>
      <c r="AH548" s="12" t="s">
        <v>1038</v>
      </c>
      <c r="AJ548" s="14">
        <v>51556</v>
      </c>
      <c r="AK548" s="14" t="s">
        <v>845</v>
      </c>
    </row>
    <row r="549" spans="6:37">
      <c r="F549" s="45">
        <v>51588</v>
      </c>
      <c r="G549" s="12" t="s">
        <v>117</v>
      </c>
      <c r="R549" s="14">
        <v>51379</v>
      </c>
      <c r="S549" s="14" t="s">
        <v>1082</v>
      </c>
      <c r="T549" s="12" t="s">
        <v>116</v>
      </c>
      <c r="U549" s="15" t="str">
        <f t="shared" si="17"/>
        <v>boAteSeal - PRD</v>
      </c>
      <c r="V549" s="12" t="s">
        <v>117</v>
      </c>
      <c r="W549" s="12" t="s">
        <v>117</v>
      </c>
      <c r="X549" s="12" t="s">
        <v>117</v>
      </c>
      <c r="Y549" s="12" t="s">
        <v>1038</v>
      </c>
      <c r="AA549" s="14">
        <v>97204</v>
      </c>
      <c r="AB549" s="14" t="s">
        <v>898</v>
      </c>
      <c r="AC549" s="12" t="s">
        <v>145</v>
      </c>
      <c r="AD549" s="15" t="str">
        <f t="shared" si="18"/>
        <v>Recruiting - Sourcing Team - SUP</v>
      </c>
      <c r="AE549" s="12" t="s">
        <v>118</v>
      </c>
      <c r="AF549" s="12" t="s">
        <v>512</v>
      </c>
      <c r="AG549" s="12" t="s">
        <v>114</v>
      </c>
      <c r="AH549" s="12" t="s">
        <v>1038</v>
      </c>
      <c r="AJ549" s="14">
        <v>51557</v>
      </c>
      <c r="AK549" s="14" t="s">
        <v>847</v>
      </c>
    </row>
    <row r="550" spans="6:37">
      <c r="F550" s="45">
        <v>51589</v>
      </c>
      <c r="G550" s="12" t="s">
        <v>117</v>
      </c>
      <c r="R550" s="14">
        <v>88046</v>
      </c>
      <c r="S550" s="14" t="s">
        <v>318</v>
      </c>
      <c r="T550" s="12" t="s">
        <v>121</v>
      </c>
      <c r="U550" s="15" t="str">
        <f t="shared" si="17"/>
        <v>BPT – SD Support - F&amp;A</v>
      </c>
      <c r="V550" s="12" t="s">
        <v>126</v>
      </c>
      <c r="W550" s="12" t="s">
        <v>122</v>
      </c>
      <c r="X550" s="12" t="s">
        <v>114</v>
      </c>
      <c r="Y550" s="12" t="s">
        <v>1038</v>
      </c>
      <c r="AA550" s="14">
        <v>97223</v>
      </c>
      <c r="AB550" s="14" t="s">
        <v>900</v>
      </c>
      <c r="AC550" s="12" t="s">
        <v>556</v>
      </c>
      <c r="AD550" s="15" t="str">
        <f t="shared" si="18"/>
        <v>Recruitment - CLM - HRD</v>
      </c>
      <c r="AE550" s="12" t="s">
        <v>118</v>
      </c>
      <c r="AF550" s="12" t="s">
        <v>512</v>
      </c>
      <c r="AG550" s="12" t="s">
        <v>114</v>
      </c>
      <c r="AH550" s="12" t="s">
        <v>1038</v>
      </c>
      <c r="AJ550" s="14">
        <v>51558</v>
      </c>
      <c r="AK550" s="14" t="s">
        <v>848</v>
      </c>
    </row>
    <row r="551" spans="6:37">
      <c r="F551" s="45">
        <v>51594</v>
      </c>
      <c r="G551" s="12" t="s">
        <v>117</v>
      </c>
      <c r="R551" s="14">
        <v>88046</v>
      </c>
      <c r="S551" s="14" t="s">
        <v>318</v>
      </c>
      <c r="T551" s="12" t="s">
        <v>306</v>
      </c>
      <c r="U551" s="15" t="str">
        <f t="shared" si="17"/>
        <v>BPT – SD Support - FAO</v>
      </c>
      <c r="V551" s="12" t="s">
        <v>126</v>
      </c>
      <c r="W551" s="12" t="s">
        <v>163</v>
      </c>
      <c r="X551" s="12" t="s">
        <v>164</v>
      </c>
      <c r="Y551" s="12" t="s">
        <v>1038</v>
      </c>
      <c r="AA551" s="14">
        <v>97223</v>
      </c>
      <c r="AB551" s="14" t="s">
        <v>900</v>
      </c>
      <c r="AC551" s="12" t="s">
        <v>129</v>
      </c>
      <c r="AD551" s="15" t="str">
        <f t="shared" si="18"/>
        <v>Recruitment - CLM - MGT</v>
      </c>
      <c r="AE551" s="12" t="s">
        <v>118</v>
      </c>
      <c r="AF551" s="12" t="s">
        <v>512</v>
      </c>
      <c r="AG551" s="12" t="s">
        <v>114</v>
      </c>
      <c r="AH551" s="12" t="s">
        <v>1038</v>
      </c>
      <c r="AJ551" s="14">
        <v>51559</v>
      </c>
      <c r="AK551" s="14" t="s">
        <v>849</v>
      </c>
    </row>
    <row r="552" spans="6:37">
      <c r="F552" s="45">
        <v>51599</v>
      </c>
      <c r="G552" s="12" t="s">
        <v>117</v>
      </c>
      <c r="R552" s="14">
        <v>88046</v>
      </c>
      <c r="S552" s="14" t="s">
        <v>318</v>
      </c>
      <c r="T552" s="12" t="s">
        <v>556</v>
      </c>
      <c r="U552" s="15" t="str">
        <f t="shared" si="17"/>
        <v>BPT – SD Support - HRD</v>
      </c>
      <c r="V552" s="12" t="s">
        <v>126</v>
      </c>
      <c r="W552" s="12" t="s">
        <v>636</v>
      </c>
      <c r="X552" s="12" t="s">
        <v>114</v>
      </c>
      <c r="Y552" s="12" t="s">
        <v>1038</v>
      </c>
      <c r="AA552" s="14">
        <v>97223</v>
      </c>
      <c r="AB552" s="14" t="s">
        <v>900</v>
      </c>
      <c r="AC552" s="12" t="s">
        <v>514</v>
      </c>
      <c r="AD552" s="15" t="str">
        <f t="shared" si="18"/>
        <v>Recruitment - CLM - REC</v>
      </c>
      <c r="AE552" s="12" t="s">
        <v>118</v>
      </c>
      <c r="AF552" s="12" t="s">
        <v>512</v>
      </c>
      <c r="AG552" s="12" t="s">
        <v>114</v>
      </c>
      <c r="AH552" s="12" t="s">
        <v>1038</v>
      </c>
      <c r="AJ552" s="14">
        <v>51560</v>
      </c>
      <c r="AK552" s="14" t="s">
        <v>850</v>
      </c>
    </row>
    <row r="553" spans="6:37">
      <c r="F553" s="45">
        <v>51600</v>
      </c>
      <c r="G553" s="12" t="s">
        <v>117</v>
      </c>
      <c r="R553" s="14">
        <v>88046</v>
      </c>
      <c r="S553" s="14" t="s">
        <v>318</v>
      </c>
      <c r="T553" s="12" t="s">
        <v>129</v>
      </c>
      <c r="U553" s="15" t="str">
        <f t="shared" si="17"/>
        <v>BPT – SD Support - MGT</v>
      </c>
      <c r="V553" s="12" t="s">
        <v>126</v>
      </c>
      <c r="W553" s="12" t="s">
        <v>163</v>
      </c>
      <c r="X553" s="12" t="s">
        <v>164</v>
      </c>
      <c r="Y553" s="12" t="s">
        <v>1038</v>
      </c>
      <c r="AA553" s="14">
        <v>97223</v>
      </c>
      <c r="AB553" s="14" t="s">
        <v>900</v>
      </c>
      <c r="AC553" s="12" t="s">
        <v>172</v>
      </c>
      <c r="AD553" s="15" t="str">
        <f t="shared" si="18"/>
        <v>Recruitment - CLM - SME</v>
      </c>
      <c r="AE553" s="12" t="s">
        <v>118</v>
      </c>
      <c r="AF553" s="12" t="s">
        <v>512</v>
      </c>
      <c r="AG553" s="12" t="s">
        <v>114</v>
      </c>
      <c r="AH553" s="12" t="s">
        <v>1038</v>
      </c>
      <c r="AJ553" s="14">
        <v>51561</v>
      </c>
      <c r="AK553" s="14" t="s">
        <v>1086</v>
      </c>
    </row>
    <row r="554" spans="6:37">
      <c r="F554" s="45">
        <v>51606</v>
      </c>
      <c r="G554" s="12" t="s">
        <v>117</v>
      </c>
      <c r="R554" s="14">
        <v>88046</v>
      </c>
      <c r="S554" s="14" t="s">
        <v>318</v>
      </c>
      <c r="T554" s="12" t="s">
        <v>578</v>
      </c>
      <c r="U554" s="15" t="str">
        <f t="shared" si="17"/>
        <v>BPT – SD Support - PQM</v>
      </c>
      <c r="V554" s="12" t="s">
        <v>126</v>
      </c>
      <c r="W554" s="12" t="s">
        <v>1023</v>
      </c>
      <c r="X554" s="12" t="s">
        <v>114</v>
      </c>
      <c r="Y554" s="12" t="s">
        <v>1038</v>
      </c>
      <c r="AA554" s="14">
        <v>97223</v>
      </c>
      <c r="AB554" s="14" t="s">
        <v>900</v>
      </c>
      <c r="AC554" s="12" t="s">
        <v>139</v>
      </c>
      <c r="AD554" s="15" t="str">
        <f t="shared" si="18"/>
        <v>Recruitment - CLM - SMGT</v>
      </c>
      <c r="AE554" s="12" t="s">
        <v>118</v>
      </c>
      <c r="AF554" s="12" t="s">
        <v>512</v>
      </c>
      <c r="AG554" s="12" t="s">
        <v>114</v>
      </c>
      <c r="AH554" s="12" t="s">
        <v>1038</v>
      </c>
      <c r="AJ554" s="14">
        <v>51564</v>
      </c>
      <c r="AK554" s="14" t="s">
        <v>1087</v>
      </c>
    </row>
    <row r="555" spans="6:37">
      <c r="F555" s="45">
        <v>82015</v>
      </c>
      <c r="G555" s="12" t="s">
        <v>117</v>
      </c>
      <c r="R555" s="14">
        <v>88046</v>
      </c>
      <c r="S555" s="14" t="s">
        <v>318</v>
      </c>
      <c r="T555" s="12" t="s">
        <v>116</v>
      </c>
      <c r="U555" s="15" t="str">
        <f t="shared" si="17"/>
        <v>BPT – SD Support - PRD</v>
      </c>
      <c r="V555" s="12" t="s">
        <v>126</v>
      </c>
      <c r="W555" s="12" t="s">
        <v>163</v>
      </c>
      <c r="X555" s="12" t="s">
        <v>164</v>
      </c>
      <c r="Y555" s="12" t="s">
        <v>1038</v>
      </c>
      <c r="AA555" s="14">
        <v>97223</v>
      </c>
      <c r="AB555" s="14" t="s">
        <v>900</v>
      </c>
      <c r="AC555" s="12" t="s">
        <v>145</v>
      </c>
      <c r="AD555" s="15" t="str">
        <f t="shared" si="18"/>
        <v>Recruitment - CLM - SUP</v>
      </c>
      <c r="AE555" s="12" t="s">
        <v>118</v>
      </c>
      <c r="AF555" s="12" t="s">
        <v>512</v>
      </c>
      <c r="AG555" s="12" t="s">
        <v>114</v>
      </c>
      <c r="AH555" s="12" t="s">
        <v>1038</v>
      </c>
      <c r="AJ555" s="14">
        <v>51565</v>
      </c>
      <c r="AK555" s="14" t="s">
        <v>1088</v>
      </c>
    </row>
    <row r="556" spans="6:37">
      <c r="F556" s="45">
        <v>82301</v>
      </c>
      <c r="G556" s="12" t="s">
        <v>117</v>
      </c>
      <c r="R556" s="14">
        <v>88046</v>
      </c>
      <c r="S556" s="14" t="s">
        <v>318</v>
      </c>
      <c r="T556" s="12" t="s">
        <v>111</v>
      </c>
      <c r="U556" s="15" t="str">
        <f t="shared" si="17"/>
        <v>BPT – SD Support - QLY</v>
      </c>
      <c r="V556" s="12" t="s">
        <v>112</v>
      </c>
      <c r="W556" s="12" t="s">
        <v>113</v>
      </c>
      <c r="X556" s="12" t="s">
        <v>114</v>
      </c>
      <c r="Y556" s="12" t="s">
        <v>1038</v>
      </c>
      <c r="AA556" s="14">
        <v>97229</v>
      </c>
      <c r="AB556" s="14" t="s">
        <v>909</v>
      </c>
      <c r="AC556" s="12" t="s">
        <v>145</v>
      </c>
      <c r="AD556" s="15" t="str">
        <f t="shared" si="18"/>
        <v>Recruitment - GLA - SUP</v>
      </c>
      <c r="AE556" s="12" t="s">
        <v>118</v>
      </c>
      <c r="AF556" s="12" t="s">
        <v>512</v>
      </c>
      <c r="AG556" s="12" t="s">
        <v>114</v>
      </c>
      <c r="AH556" s="12" t="s">
        <v>1038</v>
      </c>
      <c r="AJ556" s="14">
        <v>51569</v>
      </c>
      <c r="AK556" s="14" t="s">
        <v>1089</v>
      </c>
    </row>
    <row r="557" spans="6:37">
      <c r="F557" s="45">
        <v>82302</v>
      </c>
      <c r="G557" s="12" t="s">
        <v>117</v>
      </c>
      <c r="R557" s="14">
        <v>88046</v>
      </c>
      <c r="S557" s="14" t="s">
        <v>318</v>
      </c>
      <c r="T557" s="12" t="s">
        <v>451</v>
      </c>
      <c r="U557" s="15" t="str">
        <f t="shared" si="17"/>
        <v>BPT – SD Support - SLS</v>
      </c>
      <c r="V557" s="12" t="s">
        <v>126</v>
      </c>
      <c r="W557" s="12" t="s">
        <v>163</v>
      </c>
      <c r="X557" s="12" t="s">
        <v>164</v>
      </c>
      <c r="Y557" s="12" t="s">
        <v>1038</v>
      </c>
      <c r="AA557" s="14">
        <v>97229</v>
      </c>
      <c r="AB557" s="14" t="s">
        <v>909</v>
      </c>
      <c r="AC557" s="12" t="s">
        <v>203</v>
      </c>
      <c r="AD557" s="15" t="str">
        <f t="shared" si="18"/>
        <v>Recruitment - GLA - TRG</v>
      </c>
      <c r="AE557" s="12" t="s">
        <v>118</v>
      </c>
      <c r="AF557" s="12" t="s">
        <v>512</v>
      </c>
      <c r="AG557" s="12" t="s">
        <v>114</v>
      </c>
      <c r="AH557" s="12" t="s">
        <v>1038</v>
      </c>
      <c r="AJ557" s="14">
        <v>51571</v>
      </c>
      <c r="AK557" s="14" t="s">
        <v>1090</v>
      </c>
    </row>
    <row r="558" spans="6:37">
      <c r="F558" s="45">
        <v>82303</v>
      </c>
      <c r="G558" s="12" t="s">
        <v>117</v>
      </c>
      <c r="R558" s="14">
        <v>88046</v>
      </c>
      <c r="S558" s="14" t="s">
        <v>318</v>
      </c>
      <c r="T558" s="12" t="s">
        <v>145</v>
      </c>
      <c r="U558" s="15" t="str">
        <f t="shared" si="17"/>
        <v>BPT – SD Support - SUP</v>
      </c>
      <c r="V558" s="12" t="s">
        <v>126</v>
      </c>
      <c r="W558" s="12" t="s">
        <v>163</v>
      </c>
      <c r="X558" s="12" t="s">
        <v>164</v>
      </c>
      <c r="Y558" s="12" t="s">
        <v>1038</v>
      </c>
      <c r="AA558" s="14">
        <v>97217</v>
      </c>
      <c r="AB558" s="14" t="s">
        <v>912</v>
      </c>
      <c r="AC558" s="12" t="s">
        <v>556</v>
      </c>
      <c r="AD558" s="15" t="str">
        <f t="shared" si="18"/>
        <v>Recruitment – Leadership - HRD</v>
      </c>
      <c r="AE558" s="12" t="s">
        <v>118</v>
      </c>
      <c r="AF558" s="12" t="s">
        <v>512</v>
      </c>
      <c r="AG558" s="12" t="s">
        <v>114</v>
      </c>
      <c r="AH558" s="12" t="s">
        <v>1038</v>
      </c>
      <c r="AJ558" s="14">
        <v>51572</v>
      </c>
      <c r="AK558" s="14" t="s">
        <v>852</v>
      </c>
    </row>
    <row r="559" spans="6:37">
      <c r="F559" s="45">
        <v>82304</v>
      </c>
      <c r="G559" s="12" t="s">
        <v>117</v>
      </c>
      <c r="R559" s="14">
        <v>88046</v>
      </c>
      <c r="S559" s="14" t="s">
        <v>318</v>
      </c>
      <c r="T559" s="12" t="s">
        <v>185</v>
      </c>
      <c r="U559" s="15" t="str">
        <f t="shared" si="17"/>
        <v>BPT – SD Support - TPS</v>
      </c>
      <c r="V559" s="12" t="s">
        <v>126</v>
      </c>
      <c r="W559" s="12" t="s">
        <v>163</v>
      </c>
      <c r="X559" s="12" t="s">
        <v>164</v>
      </c>
      <c r="Y559" s="12" t="s">
        <v>1038</v>
      </c>
      <c r="AA559" s="14">
        <v>97217</v>
      </c>
      <c r="AB559" s="14" t="s">
        <v>912</v>
      </c>
      <c r="AC559" s="12" t="s">
        <v>514</v>
      </c>
      <c r="AD559" s="15" t="str">
        <f t="shared" si="18"/>
        <v>Recruitment – Leadership - REC</v>
      </c>
      <c r="AE559" s="12" t="s">
        <v>118</v>
      </c>
      <c r="AF559" s="12" t="s">
        <v>512</v>
      </c>
      <c r="AG559" s="12" t="s">
        <v>114</v>
      </c>
      <c r="AH559" s="12" t="s">
        <v>1038</v>
      </c>
      <c r="AJ559" s="14">
        <v>51574</v>
      </c>
      <c r="AK559" s="14" t="s">
        <v>1091</v>
      </c>
    </row>
    <row r="560" spans="6:37">
      <c r="F560" s="45">
        <v>82305</v>
      </c>
      <c r="G560" s="12" t="s">
        <v>117</v>
      </c>
      <c r="R560" s="14">
        <v>88046</v>
      </c>
      <c r="S560" s="14" t="s">
        <v>318</v>
      </c>
      <c r="T560" s="12" t="s">
        <v>203</v>
      </c>
      <c r="U560" s="15" t="str">
        <f t="shared" si="17"/>
        <v>BPT – SD Support - TRG</v>
      </c>
      <c r="V560" s="12" t="s">
        <v>112</v>
      </c>
      <c r="W560" s="12" t="s">
        <v>204</v>
      </c>
      <c r="X560" s="12" t="s">
        <v>205</v>
      </c>
      <c r="Y560" s="12" t="s">
        <v>1038</v>
      </c>
      <c r="AA560" s="14">
        <v>97217</v>
      </c>
      <c r="AB560" s="14" t="s">
        <v>912</v>
      </c>
      <c r="AC560" s="12" t="s">
        <v>145</v>
      </c>
      <c r="AD560" s="15" t="str">
        <f t="shared" si="18"/>
        <v>Recruitment – Leadership - SUP</v>
      </c>
      <c r="AE560" s="12" t="s">
        <v>118</v>
      </c>
      <c r="AF560" s="12" t="s">
        <v>512</v>
      </c>
      <c r="AG560" s="12" t="s">
        <v>114</v>
      </c>
      <c r="AH560" s="12" t="s">
        <v>1038</v>
      </c>
      <c r="AJ560" s="14">
        <v>51581</v>
      </c>
      <c r="AK560" s="14" t="s">
        <v>1050</v>
      </c>
    </row>
    <row r="561" spans="6:37">
      <c r="F561" s="45">
        <v>86229</v>
      </c>
      <c r="G561" s="12" t="s">
        <v>117</v>
      </c>
      <c r="R561" s="14">
        <v>10828</v>
      </c>
      <c r="S561" s="14" t="s">
        <v>413</v>
      </c>
      <c r="T561" s="12" t="s">
        <v>138</v>
      </c>
      <c r="U561" s="15" t="str">
        <f t="shared" si="17"/>
        <v>Bridgecrest FAO - BOS</v>
      </c>
      <c r="V561" s="12" t="s">
        <v>126</v>
      </c>
      <c r="W561" s="12" t="s">
        <v>163</v>
      </c>
      <c r="X561" s="12" t="s">
        <v>164</v>
      </c>
      <c r="Y561" s="12" t="s">
        <v>1038</v>
      </c>
      <c r="AA561" s="14">
        <v>97230</v>
      </c>
      <c r="AB561" s="14" t="s">
        <v>913</v>
      </c>
      <c r="AC561" s="12" t="s">
        <v>129</v>
      </c>
      <c r="AD561" s="15" t="str">
        <f t="shared" si="18"/>
        <v>Recruitment - Program SS - MGT</v>
      </c>
      <c r="AE561" s="12" t="s">
        <v>118</v>
      </c>
      <c r="AF561" s="12" t="s">
        <v>512</v>
      </c>
      <c r="AG561" s="12" t="s">
        <v>114</v>
      </c>
      <c r="AH561" s="12" t="s">
        <v>1038</v>
      </c>
      <c r="AJ561" s="14">
        <v>51588</v>
      </c>
      <c r="AK561" s="14" t="s">
        <v>1092</v>
      </c>
    </row>
    <row r="562" spans="6:37">
      <c r="F562" s="45">
        <v>86230</v>
      </c>
      <c r="G562" s="12" t="s">
        <v>117</v>
      </c>
      <c r="R562" s="14">
        <v>10828</v>
      </c>
      <c r="S562" s="14" t="s">
        <v>413</v>
      </c>
      <c r="T562" s="12" t="s">
        <v>306</v>
      </c>
      <c r="U562" s="15" t="str">
        <f t="shared" si="17"/>
        <v>Bridgecrest FAO - FAO</v>
      </c>
      <c r="V562" s="12" t="s">
        <v>126</v>
      </c>
      <c r="W562" s="12" t="s">
        <v>163</v>
      </c>
      <c r="X562" s="12" t="s">
        <v>164</v>
      </c>
      <c r="Y562" s="12" t="s">
        <v>1038</v>
      </c>
      <c r="AA562" s="14">
        <v>97230</v>
      </c>
      <c r="AB562" s="14" t="s">
        <v>913</v>
      </c>
      <c r="AC562" s="12" t="s">
        <v>514</v>
      </c>
      <c r="AD562" s="15" t="str">
        <f t="shared" si="18"/>
        <v>Recruitment - Program SS - REC</v>
      </c>
      <c r="AE562" s="12" t="s">
        <v>118</v>
      </c>
      <c r="AF562" s="12" t="s">
        <v>512</v>
      </c>
      <c r="AG562" s="12" t="s">
        <v>114</v>
      </c>
      <c r="AH562" s="12" t="s">
        <v>1038</v>
      </c>
      <c r="AJ562" s="14">
        <v>51589</v>
      </c>
      <c r="AK562" s="14" t="s">
        <v>1058</v>
      </c>
    </row>
    <row r="563" spans="6:37">
      <c r="F563" s="45">
        <v>86231</v>
      </c>
      <c r="G563" s="12" t="s">
        <v>117</v>
      </c>
      <c r="R563" s="14">
        <v>10828</v>
      </c>
      <c r="S563" s="14" t="s">
        <v>413</v>
      </c>
      <c r="T563" s="12" t="s">
        <v>145</v>
      </c>
      <c r="U563" s="15" t="str">
        <f t="shared" si="17"/>
        <v>Bridgecrest FAO - SUP</v>
      </c>
      <c r="V563" s="12" t="s">
        <v>126</v>
      </c>
      <c r="W563" s="12" t="s">
        <v>163</v>
      </c>
      <c r="X563" s="12" t="s">
        <v>164</v>
      </c>
      <c r="Y563" s="12" t="s">
        <v>1038</v>
      </c>
      <c r="AA563" s="14">
        <v>97230</v>
      </c>
      <c r="AB563" s="14" t="s">
        <v>913</v>
      </c>
      <c r="AC563" s="12" t="s">
        <v>145</v>
      </c>
      <c r="AD563" s="15" t="str">
        <f t="shared" si="18"/>
        <v>Recruitment - Program SS - SUP</v>
      </c>
      <c r="AE563" s="12" t="s">
        <v>118</v>
      </c>
      <c r="AF563" s="12" t="s">
        <v>512</v>
      </c>
      <c r="AG563" s="12" t="s">
        <v>114</v>
      </c>
      <c r="AH563" s="12" t="s">
        <v>1038</v>
      </c>
      <c r="AJ563" s="14">
        <v>51594</v>
      </c>
      <c r="AK563" s="14" t="s">
        <v>1093</v>
      </c>
    </row>
    <row r="564" spans="6:37">
      <c r="F564" s="45">
        <v>86234</v>
      </c>
      <c r="G564" s="12" t="s">
        <v>117</v>
      </c>
      <c r="R564" s="14">
        <v>10828</v>
      </c>
      <c r="S564" s="14" t="s">
        <v>413</v>
      </c>
      <c r="T564" s="12" t="s">
        <v>185</v>
      </c>
      <c r="U564" s="15" t="str">
        <f t="shared" si="17"/>
        <v>Bridgecrest FAO - TPS</v>
      </c>
      <c r="V564" s="12" t="s">
        <v>126</v>
      </c>
      <c r="W564" s="12" t="s">
        <v>163</v>
      </c>
      <c r="X564" s="12" t="s">
        <v>164</v>
      </c>
      <c r="Y564" s="12" t="s">
        <v>1038</v>
      </c>
      <c r="AA564" s="14">
        <v>95260</v>
      </c>
      <c r="AB564" s="14" t="s">
        <v>914</v>
      </c>
      <c r="AC564" s="12" t="s">
        <v>262</v>
      </c>
      <c r="AD564" s="15" t="str">
        <f t="shared" si="18"/>
        <v>Reporting - GSI - GSI</v>
      </c>
      <c r="AE564" s="12" t="s">
        <v>118</v>
      </c>
      <c r="AF564" s="12" t="s">
        <v>263</v>
      </c>
      <c r="AG564" s="12" t="s">
        <v>264</v>
      </c>
      <c r="AH564" s="12" t="s">
        <v>1038</v>
      </c>
      <c r="AJ564" s="14">
        <v>51595</v>
      </c>
      <c r="AK564" s="14" t="s">
        <v>1063</v>
      </c>
    </row>
    <row r="565" spans="6:37">
      <c r="F565" s="45">
        <v>88100</v>
      </c>
      <c r="G565" s="12" t="s">
        <v>117</v>
      </c>
      <c r="R565" s="14">
        <v>10917</v>
      </c>
      <c r="S565" s="14" t="s">
        <v>463</v>
      </c>
      <c r="T565" s="12" t="s">
        <v>185</v>
      </c>
      <c r="U565" s="15" t="str">
        <f t="shared" si="17"/>
        <v>Bridgecrest Legal n Compliance - TPS</v>
      </c>
      <c r="V565" s="12" t="s">
        <v>126</v>
      </c>
      <c r="W565" s="12" t="s">
        <v>163</v>
      </c>
      <c r="X565" s="12" t="s">
        <v>164</v>
      </c>
      <c r="Y565" s="12" t="s">
        <v>1038</v>
      </c>
      <c r="AA565" s="14">
        <v>95260</v>
      </c>
      <c r="AB565" s="14" t="s">
        <v>914</v>
      </c>
      <c r="AC565" s="12" t="s">
        <v>415</v>
      </c>
      <c r="AD565" s="15" t="str">
        <f t="shared" si="18"/>
        <v>Reporting - GSI - GTI</v>
      </c>
      <c r="AE565" s="12" t="s">
        <v>118</v>
      </c>
      <c r="AF565" s="12" t="s">
        <v>263</v>
      </c>
      <c r="AG565" s="12" t="s">
        <v>264</v>
      </c>
      <c r="AH565" s="12" t="s">
        <v>1038</v>
      </c>
      <c r="AJ565" s="14">
        <v>51599</v>
      </c>
      <c r="AK565" s="14" t="s">
        <v>1094</v>
      </c>
    </row>
    <row r="566" spans="6:37">
      <c r="F566" s="45">
        <v>88137</v>
      </c>
      <c r="G566" s="12" t="s">
        <v>117</v>
      </c>
      <c r="R566" s="14">
        <v>10163</v>
      </c>
      <c r="S566" s="14" t="s">
        <v>1052</v>
      </c>
      <c r="T566" s="12" t="s">
        <v>121</v>
      </c>
      <c r="U566" s="15" t="str">
        <f t="shared" si="17"/>
        <v>Bridgecrest_Growth - F&amp;A</v>
      </c>
      <c r="V566" s="12" t="s">
        <v>126</v>
      </c>
      <c r="W566" s="12" t="s">
        <v>163</v>
      </c>
      <c r="X566" s="12" t="s">
        <v>164</v>
      </c>
      <c r="Y566" s="12" t="s">
        <v>1038</v>
      </c>
      <c r="AA566" s="14">
        <v>95260</v>
      </c>
      <c r="AB566" s="14" t="s">
        <v>914</v>
      </c>
      <c r="AC566" s="12" t="s">
        <v>145</v>
      </c>
      <c r="AD566" s="15" t="str">
        <f t="shared" si="18"/>
        <v>Reporting - GSI - SUP</v>
      </c>
      <c r="AE566" s="12" t="s">
        <v>118</v>
      </c>
      <c r="AF566" s="12" t="s">
        <v>263</v>
      </c>
      <c r="AG566" s="12" t="s">
        <v>264</v>
      </c>
      <c r="AH566" s="12" t="s">
        <v>1038</v>
      </c>
      <c r="AJ566" s="14">
        <v>51600</v>
      </c>
      <c r="AK566" s="14" t="s">
        <v>1095</v>
      </c>
    </row>
    <row r="567" spans="6:37">
      <c r="F567" s="45">
        <v>88146</v>
      </c>
      <c r="G567" s="12" t="s">
        <v>117</v>
      </c>
      <c r="R567" s="14">
        <v>87100</v>
      </c>
      <c r="S567" s="14" t="s">
        <v>322</v>
      </c>
      <c r="T567" s="12" t="s">
        <v>139</v>
      </c>
      <c r="U567" s="15" t="str">
        <f t="shared" si="17"/>
        <v>BTS COMMON JC_93605 - SMGT</v>
      </c>
      <c r="V567" s="12" t="s">
        <v>104</v>
      </c>
      <c r="W567" s="12" t="s">
        <v>323</v>
      </c>
      <c r="X567" s="12" t="s">
        <v>114</v>
      </c>
      <c r="Y567" s="12" t="s">
        <v>1038</v>
      </c>
      <c r="AA567" s="14">
        <v>95220</v>
      </c>
      <c r="AB567" s="14" t="s">
        <v>915</v>
      </c>
      <c r="AC567" s="12" t="s">
        <v>262</v>
      </c>
      <c r="AD567" s="15" t="str">
        <f t="shared" si="18"/>
        <v>Requirements Team - GSI</v>
      </c>
      <c r="AE567" s="12" t="s">
        <v>118</v>
      </c>
      <c r="AF567" s="12" t="s">
        <v>263</v>
      </c>
      <c r="AG567" s="12" t="s">
        <v>264</v>
      </c>
      <c r="AH567" s="12" t="s">
        <v>1038</v>
      </c>
      <c r="AJ567" s="14">
        <v>51604</v>
      </c>
      <c r="AK567" s="14" t="s">
        <v>1057</v>
      </c>
    </row>
    <row r="568" spans="6:37">
      <c r="F568" s="45">
        <v>88156</v>
      </c>
      <c r="G568" s="12" t="s">
        <v>117</v>
      </c>
      <c r="R568" s="14">
        <v>87100</v>
      </c>
      <c r="S568" s="14" t="s">
        <v>322</v>
      </c>
      <c r="T568" s="12" t="s">
        <v>145</v>
      </c>
      <c r="U568" s="15" t="str">
        <f t="shared" si="17"/>
        <v>BTS COMMON JC_93605 - SUP</v>
      </c>
      <c r="V568" s="12" t="s">
        <v>104</v>
      </c>
      <c r="W568" s="12" t="s">
        <v>323</v>
      </c>
      <c r="X568" s="12" t="s">
        <v>114</v>
      </c>
      <c r="Y568" s="12" t="s">
        <v>1038</v>
      </c>
      <c r="AA568" s="14">
        <v>95220</v>
      </c>
      <c r="AB568" s="14" t="s">
        <v>915</v>
      </c>
      <c r="AC568" s="12" t="s">
        <v>129</v>
      </c>
      <c r="AD568" s="15" t="str">
        <f t="shared" si="18"/>
        <v>Requirements Team - MGT</v>
      </c>
      <c r="AE568" s="12" t="s">
        <v>118</v>
      </c>
      <c r="AF568" s="12" t="s">
        <v>263</v>
      </c>
      <c r="AG568" s="12" t="s">
        <v>264</v>
      </c>
      <c r="AH568" s="12" t="s">
        <v>1038</v>
      </c>
      <c r="AJ568" s="14">
        <v>51606</v>
      </c>
      <c r="AK568" s="14" t="s">
        <v>1096</v>
      </c>
    </row>
    <row r="569" spans="6:37">
      <c r="F569" s="45">
        <v>88250</v>
      </c>
      <c r="G569" s="12" t="s">
        <v>117</v>
      </c>
      <c r="R569" s="14">
        <v>93601</v>
      </c>
      <c r="S569" s="14" t="s">
        <v>964</v>
      </c>
      <c r="T569" s="12" t="s">
        <v>133</v>
      </c>
      <c r="U569" s="15" t="str">
        <f t="shared" si="17"/>
        <v>Business &amp; Financial Research - AMG</v>
      </c>
      <c r="V569" s="12" t="s">
        <v>126</v>
      </c>
      <c r="W569" s="12" t="s">
        <v>184</v>
      </c>
      <c r="X569" s="12" t="s">
        <v>184</v>
      </c>
      <c r="Y569" s="12" t="s">
        <v>1038</v>
      </c>
      <c r="AA569" s="14">
        <v>95220</v>
      </c>
      <c r="AB569" s="14" t="s">
        <v>915</v>
      </c>
      <c r="AC569" s="12" t="s">
        <v>145</v>
      </c>
      <c r="AD569" s="15" t="str">
        <f t="shared" si="18"/>
        <v>Requirements Team - SUP</v>
      </c>
      <c r="AE569" s="12" t="s">
        <v>118</v>
      </c>
      <c r="AF569" s="12" t="s">
        <v>263</v>
      </c>
      <c r="AG569" s="12" t="s">
        <v>264</v>
      </c>
      <c r="AH569" s="12" t="s">
        <v>1038</v>
      </c>
      <c r="AJ569" s="14">
        <v>80005</v>
      </c>
      <c r="AK569" s="14" t="s">
        <v>853</v>
      </c>
    </row>
    <row r="570" spans="6:37">
      <c r="F570" s="45">
        <v>89001</v>
      </c>
      <c r="G570" s="12" t="s">
        <v>117</v>
      </c>
      <c r="R570" s="14">
        <v>93601</v>
      </c>
      <c r="S570" s="14" t="s">
        <v>964</v>
      </c>
      <c r="T570" s="12" t="s">
        <v>835</v>
      </c>
      <c r="U570" s="15" t="str">
        <f t="shared" si="17"/>
        <v>Business &amp; Financial Research - BTG</v>
      </c>
      <c r="V570" s="12" t="s">
        <v>126</v>
      </c>
      <c r="W570" s="12" t="s">
        <v>184</v>
      </c>
      <c r="X570" s="12" t="s">
        <v>184</v>
      </c>
      <c r="Y570" s="12" t="s">
        <v>1038</v>
      </c>
      <c r="AA570" s="14">
        <v>10824</v>
      </c>
      <c r="AB570" s="14" t="s">
        <v>411</v>
      </c>
      <c r="AC570" s="12" t="s">
        <v>193</v>
      </c>
      <c r="AD570" s="15" t="str">
        <f t="shared" si="18"/>
        <v>Saks-data engineering POD-Ind - DEV</v>
      </c>
      <c r="AE570" s="12" t="s">
        <v>117</v>
      </c>
      <c r="AF570" s="12" t="s">
        <v>117</v>
      </c>
      <c r="AG570" s="12" t="s">
        <v>117</v>
      </c>
      <c r="AH570" s="12" t="s">
        <v>1038</v>
      </c>
      <c r="AJ570" s="14">
        <v>80006</v>
      </c>
      <c r="AK570" s="14" t="s">
        <v>854</v>
      </c>
    </row>
    <row r="571" spans="6:37">
      <c r="F571" s="45">
        <v>89002</v>
      </c>
      <c r="G571" s="12" t="s">
        <v>117</v>
      </c>
      <c r="R571" s="14">
        <v>93601</v>
      </c>
      <c r="S571" s="14" t="s">
        <v>964</v>
      </c>
      <c r="T571" s="12" t="s">
        <v>1020</v>
      </c>
      <c r="U571" s="15" t="str">
        <f t="shared" si="17"/>
        <v>Business &amp; Financial Research - CNS</v>
      </c>
      <c r="V571" s="12" t="s">
        <v>126</v>
      </c>
      <c r="W571" s="12" t="s">
        <v>184</v>
      </c>
      <c r="X571" s="12" t="s">
        <v>184</v>
      </c>
      <c r="Y571" s="12" t="s">
        <v>1038</v>
      </c>
      <c r="AA571" s="14">
        <v>51537</v>
      </c>
      <c r="AB571" s="14" t="s">
        <v>839</v>
      </c>
      <c r="AC571" s="12" t="s">
        <v>145</v>
      </c>
      <c r="AD571" s="15" t="str">
        <f t="shared" si="18"/>
        <v>SDS-NRUCFC-2312-2405-Tester-R - SUP</v>
      </c>
      <c r="AE571" s="12" t="s">
        <v>117</v>
      </c>
      <c r="AF571" s="12" t="s">
        <v>117</v>
      </c>
      <c r="AG571" s="12" t="s">
        <v>117</v>
      </c>
      <c r="AH571" s="12" t="s">
        <v>1038</v>
      </c>
      <c r="AJ571" s="14">
        <v>82001</v>
      </c>
      <c r="AK571" s="14" t="s">
        <v>856</v>
      </c>
    </row>
    <row r="572" spans="6:37">
      <c r="F572" s="45">
        <v>89003</v>
      </c>
      <c r="G572" s="12" t="s">
        <v>117</v>
      </c>
      <c r="R572" s="14">
        <v>93601</v>
      </c>
      <c r="S572" s="14" t="s">
        <v>964</v>
      </c>
      <c r="T572" s="12" t="s">
        <v>352</v>
      </c>
      <c r="U572" s="15" t="str">
        <f t="shared" si="17"/>
        <v>Business &amp; Financial Research - EAT</v>
      </c>
      <c r="V572" s="12" t="s">
        <v>126</v>
      </c>
      <c r="W572" s="12" t="s">
        <v>184</v>
      </c>
      <c r="X572" s="12" t="s">
        <v>184</v>
      </c>
      <c r="Y572" s="12" t="s">
        <v>1038</v>
      </c>
      <c r="AA572" s="14">
        <v>95503</v>
      </c>
      <c r="AB572" s="14" t="s">
        <v>917</v>
      </c>
      <c r="AC572" s="12" t="s">
        <v>415</v>
      </c>
      <c r="AD572" s="15" t="str">
        <f t="shared" si="18"/>
        <v>Security Engineering - GTI</v>
      </c>
      <c r="AE572" s="12" t="s">
        <v>118</v>
      </c>
      <c r="AF572" s="12" t="s">
        <v>918</v>
      </c>
      <c r="AG572" s="12" t="s">
        <v>264</v>
      </c>
      <c r="AH572" s="12" t="s">
        <v>1038</v>
      </c>
      <c r="AJ572" s="14">
        <v>82003</v>
      </c>
      <c r="AK572" s="14" t="s">
        <v>859</v>
      </c>
    </row>
    <row r="573" spans="6:37">
      <c r="F573" s="45">
        <v>89004</v>
      </c>
      <c r="G573" s="12" t="s">
        <v>117</v>
      </c>
      <c r="R573" s="14">
        <v>93601</v>
      </c>
      <c r="S573" s="14" t="s">
        <v>964</v>
      </c>
      <c r="T573" s="12" t="s">
        <v>1022</v>
      </c>
      <c r="U573" s="15" t="str">
        <f t="shared" si="17"/>
        <v>Business &amp; Financial Research - MKG</v>
      </c>
      <c r="V573" s="12" t="s">
        <v>126</v>
      </c>
      <c r="W573" s="12" t="s">
        <v>184</v>
      </c>
      <c r="X573" s="12" t="s">
        <v>184</v>
      </c>
      <c r="Y573" s="12" t="s">
        <v>1038</v>
      </c>
      <c r="AA573" s="14">
        <v>95503</v>
      </c>
      <c r="AB573" s="14" t="s">
        <v>917</v>
      </c>
      <c r="AC573" s="12" t="s">
        <v>145</v>
      </c>
      <c r="AD573" s="15" t="str">
        <f t="shared" si="18"/>
        <v>Security Engineering - SUP</v>
      </c>
      <c r="AE573" s="12" t="s">
        <v>118</v>
      </c>
      <c r="AF573" s="12" t="s">
        <v>918</v>
      </c>
      <c r="AG573" s="12" t="s">
        <v>264</v>
      </c>
      <c r="AH573" s="12" t="s">
        <v>1038</v>
      </c>
      <c r="AJ573" s="14">
        <v>82004</v>
      </c>
      <c r="AK573" s="14" t="s">
        <v>860</v>
      </c>
    </row>
    <row r="574" spans="6:37">
      <c r="F574" s="45">
        <v>89005</v>
      </c>
      <c r="G574" s="12" t="s">
        <v>117</v>
      </c>
      <c r="R574" s="14">
        <v>93601</v>
      </c>
      <c r="S574" s="14" t="s">
        <v>964</v>
      </c>
      <c r="T574" s="12" t="s">
        <v>116</v>
      </c>
      <c r="U574" s="15" t="str">
        <f t="shared" si="17"/>
        <v>Business &amp; Financial Research - PRD</v>
      </c>
      <c r="V574" s="12" t="s">
        <v>126</v>
      </c>
      <c r="W574" s="12" t="s">
        <v>184</v>
      </c>
      <c r="X574" s="12" t="s">
        <v>184</v>
      </c>
      <c r="Y574" s="12" t="s">
        <v>1038</v>
      </c>
      <c r="AA574" s="14">
        <v>92104</v>
      </c>
      <c r="AB574" s="14" t="s">
        <v>919</v>
      </c>
      <c r="AC574" s="12" t="s">
        <v>920</v>
      </c>
      <c r="AD574" s="15" t="str">
        <f t="shared" si="18"/>
        <v>Security Management - GM - FSM</v>
      </c>
      <c r="AE574" s="12" t="s">
        <v>118</v>
      </c>
      <c r="AF574" s="12" t="s">
        <v>518</v>
      </c>
      <c r="AG574" s="12" t="s">
        <v>350</v>
      </c>
      <c r="AH574" s="12" t="s">
        <v>1038</v>
      </c>
      <c r="AJ574" s="14">
        <v>82005</v>
      </c>
      <c r="AK574" s="14" t="s">
        <v>861</v>
      </c>
    </row>
    <row r="575" spans="6:37">
      <c r="F575" s="45">
        <v>89006</v>
      </c>
      <c r="G575" s="12" t="s">
        <v>117</v>
      </c>
      <c r="R575" s="14">
        <v>93601</v>
      </c>
      <c r="S575" s="14" t="s">
        <v>964</v>
      </c>
      <c r="T575" s="12" t="s">
        <v>510</v>
      </c>
      <c r="U575" s="15" t="str">
        <f t="shared" si="17"/>
        <v>Business &amp; Financial Research - RST</v>
      </c>
      <c r="V575" s="12" t="s">
        <v>126</v>
      </c>
      <c r="W575" s="12" t="s">
        <v>184</v>
      </c>
      <c r="X575" s="12" t="s">
        <v>184</v>
      </c>
      <c r="Y575" s="12" t="s">
        <v>1038</v>
      </c>
      <c r="AA575" s="14">
        <v>92104</v>
      </c>
      <c r="AB575" s="14" t="s">
        <v>919</v>
      </c>
      <c r="AC575" s="12" t="s">
        <v>145</v>
      </c>
      <c r="AD575" s="15" t="str">
        <f t="shared" si="18"/>
        <v>Security Management - GM - SUP</v>
      </c>
      <c r="AE575" s="12" t="s">
        <v>118</v>
      </c>
      <c r="AF575" s="12" t="s">
        <v>518</v>
      </c>
      <c r="AG575" s="12" t="s">
        <v>350</v>
      </c>
      <c r="AH575" s="12" t="s">
        <v>1038</v>
      </c>
      <c r="AJ575" s="14">
        <v>82006</v>
      </c>
      <c r="AK575" s="14" t="s">
        <v>862</v>
      </c>
    </row>
    <row r="576" spans="6:37">
      <c r="F576" s="45">
        <v>89007</v>
      </c>
      <c r="G576" s="12" t="s">
        <v>117</v>
      </c>
      <c r="R576" s="14">
        <v>93601</v>
      </c>
      <c r="S576" s="14" t="s">
        <v>964</v>
      </c>
      <c r="T576" s="12" t="s">
        <v>145</v>
      </c>
      <c r="U576" s="15" t="str">
        <f t="shared" si="17"/>
        <v>Business &amp; Financial Research - SUP</v>
      </c>
      <c r="V576" s="12" t="s">
        <v>126</v>
      </c>
      <c r="W576" s="12" t="s">
        <v>184</v>
      </c>
      <c r="X576" s="12" t="s">
        <v>184</v>
      </c>
      <c r="Y576" s="12" t="s">
        <v>1038</v>
      </c>
      <c r="AA576" s="14">
        <v>95106</v>
      </c>
      <c r="AB576" s="14" t="s">
        <v>921</v>
      </c>
      <c r="AC576" s="12" t="s">
        <v>415</v>
      </c>
      <c r="AD576" s="15" t="str">
        <f t="shared" si="18"/>
        <v>Server - GTI</v>
      </c>
      <c r="AE576" s="12" t="s">
        <v>118</v>
      </c>
      <c r="AF576" s="12" t="s">
        <v>263</v>
      </c>
      <c r="AG576" s="12" t="s">
        <v>264</v>
      </c>
      <c r="AH576" s="12" t="s">
        <v>1038</v>
      </c>
      <c r="AJ576" s="14">
        <v>82007</v>
      </c>
      <c r="AK576" s="14" t="s">
        <v>864</v>
      </c>
    </row>
    <row r="577" spans="6:37">
      <c r="F577" s="45">
        <v>89008</v>
      </c>
      <c r="G577" s="12" t="s">
        <v>117</v>
      </c>
      <c r="R577" s="14">
        <v>93601</v>
      </c>
      <c r="S577" s="14" t="s">
        <v>964</v>
      </c>
      <c r="T577" s="12" t="s">
        <v>180</v>
      </c>
      <c r="U577" s="15" t="str">
        <f t="shared" si="17"/>
        <v>Business &amp; Financial Research - TMG</v>
      </c>
      <c r="V577" s="12" t="s">
        <v>126</v>
      </c>
      <c r="W577" s="12" t="s">
        <v>184</v>
      </c>
      <c r="X577" s="12" t="s">
        <v>184</v>
      </c>
      <c r="Y577" s="12" t="s">
        <v>1038</v>
      </c>
      <c r="AA577" s="14">
        <v>95106</v>
      </c>
      <c r="AB577" s="14" t="s">
        <v>921</v>
      </c>
      <c r="AC577" s="12" t="s">
        <v>145</v>
      </c>
      <c r="AD577" s="15" t="str">
        <f t="shared" si="18"/>
        <v>Server - SUP</v>
      </c>
      <c r="AE577" s="12" t="s">
        <v>118</v>
      </c>
      <c r="AF577" s="12" t="s">
        <v>263</v>
      </c>
      <c r="AG577" s="12" t="s">
        <v>264</v>
      </c>
      <c r="AH577" s="12" t="s">
        <v>1038</v>
      </c>
      <c r="AJ577" s="14">
        <v>82009</v>
      </c>
      <c r="AK577" s="14" t="s">
        <v>865</v>
      </c>
    </row>
    <row r="578" spans="6:37">
      <c r="F578" s="45">
        <v>89009</v>
      </c>
      <c r="G578" s="12" t="s">
        <v>117</v>
      </c>
      <c r="R578" s="14">
        <v>96120</v>
      </c>
      <c r="S578" s="14" t="s">
        <v>325</v>
      </c>
      <c r="T578" s="12" t="s">
        <v>139</v>
      </c>
      <c r="U578" s="15" t="str">
        <f t="shared" si="17"/>
        <v>Business Contracting - SMGT</v>
      </c>
      <c r="V578" s="12" t="s">
        <v>104</v>
      </c>
      <c r="W578" s="12" t="s">
        <v>326</v>
      </c>
      <c r="X578" s="12" t="s">
        <v>114</v>
      </c>
      <c r="Y578" s="12" t="s">
        <v>1038</v>
      </c>
      <c r="AA578" s="14">
        <v>91004</v>
      </c>
      <c r="AB578" s="14" t="s">
        <v>923</v>
      </c>
      <c r="AC578" s="12" t="s">
        <v>133</v>
      </c>
      <c r="AD578" s="15" t="str">
        <f t="shared" si="18"/>
        <v>Service  Excellence - AMG</v>
      </c>
      <c r="AE578" s="12" t="s">
        <v>118</v>
      </c>
      <c r="AF578" s="12" t="s">
        <v>401</v>
      </c>
      <c r="AG578" s="12" t="s">
        <v>114</v>
      </c>
      <c r="AH578" s="12" t="s">
        <v>1038</v>
      </c>
      <c r="AJ578" s="14">
        <v>82010</v>
      </c>
      <c r="AK578" s="14" t="s">
        <v>866</v>
      </c>
    </row>
    <row r="579" spans="6:37">
      <c r="F579" s="45">
        <v>89010</v>
      </c>
      <c r="G579" s="12" t="s">
        <v>117</v>
      </c>
      <c r="R579" s="14">
        <v>96120</v>
      </c>
      <c r="S579" s="14" t="s">
        <v>325</v>
      </c>
      <c r="T579" s="12" t="s">
        <v>145</v>
      </c>
      <c r="U579" s="15" t="str">
        <f t="shared" ref="U579:U642" si="19">S579&amp;" - "&amp;T579</f>
        <v>Business Contracting - SUP</v>
      </c>
      <c r="V579" s="12" t="s">
        <v>104</v>
      </c>
      <c r="W579" s="12" t="s">
        <v>326</v>
      </c>
      <c r="X579" s="12" t="s">
        <v>114</v>
      </c>
      <c r="Y579" s="12" t="s">
        <v>1038</v>
      </c>
      <c r="AA579" s="14">
        <v>91004</v>
      </c>
      <c r="AB579" s="14" t="s">
        <v>923</v>
      </c>
      <c r="AC579" s="12" t="s">
        <v>129</v>
      </c>
      <c r="AD579" s="15" t="str">
        <f t="shared" ref="AD579:AD642" si="20">AB579&amp;" - "&amp;AC579</f>
        <v>Service  Excellence - MGT</v>
      </c>
      <c r="AE579" s="12" t="s">
        <v>118</v>
      </c>
      <c r="AF579" s="12" t="s">
        <v>401</v>
      </c>
      <c r="AG579" s="12" t="s">
        <v>114</v>
      </c>
      <c r="AH579" s="12" t="s">
        <v>1038</v>
      </c>
      <c r="AJ579" s="14">
        <v>82011</v>
      </c>
      <c r="AK579" s="14" t="s">
        <v>869</v>
      </c>
    </row>
    <row r="580" spans="6:37">
      <c r="F580" s="45">
        <v>89011</v>
      </c>
      <c r="G580" s="12" t="s">
        <v>117</v>
      </c>
      <c r="H580" s="3"/>
      <c r="R580" s="14">
        <v>93000</v>
      </c>
      <c r="S580" s="14" t="s">
        <v>303</v>
      </c>
      <c r="T580" s="12" t="s">
        <v>129</v>
      </c>
      <c r="U580" s="15" t="str">
        <f t="shared" si="19"/>
        <v>Business Development - MGT</v>
      </c>
      <c r="V580" s="12" t="s">
        <v>104</v>
      </c>
      <c r="W580" s="12" t="s">
        <v>303</v>
      </c>
      <c r="X580" s="12" t="s">
        <v>114</v>
      </c>
      <c r="Y580" s="12" t="s">
        <v>1038</v>
      </c>
      <c r="AA580" s="14">
        <v>91004</v>
      </c>
      <c r="AB580" s="14" t="s">
        <v>923</v>
      </c>
      <c r="AC580" s="12" t="s">
        <v>177</v>
      </c>
      <c r="AD580" s="15" t="str">
        <f t="shared" si="20"/>
        <v>Service  Excellence - OPS</v>
      </c>
      <c r="AE580" s="12" t="s">
        <v>118</v>
      </c>
      <c r="AF580" s="12" t="s">
        <v>401</v>
      </c>
      <c r="AG580" s="12" t="s">
        <v>114</v>
      </c>
      <c r="AH580" s="12" t="s">
        <v>1038</v>
      </c>
      <c r="AJ580" s="14">
        <v>82014</v>
      </c>
      <c r="AK580" s="14" t="s">
        <v>870</v>
      </c>
    </row>
    <row r="581" spans="6:37">
      <c r="F581" s="45">
        <v>89012</v>
      </c>
      <c r="G581" s="12" t="s">
        <v>117</v>
      </c>
      <c r="R581" s="14">
        <v>93000</v>
      </c>
      <c r="S581" s="14" t="s">
        <v>303</v>
      </c>
      <c r="T581" s="12" t="s">
        <v>145</v>
      </c>
      <c r="U581" s="15" t="str">
        <f t="shared" si="19"/>
        <v>Business Development - SUP</v>
      </c>
      <c r="V581" s="12" t="s">
        <v>104</v>
      </c>
      <c r="W581" s="12" t="s">
        <v>303</v>
      </c>
      <c r="X581" s="12" t="s">
        <v>114</v>
      </c>
      <c r="Y581" s="12" t="s">
        <v>1038</v>
      </c>
      <c r="AA581" s="14">
        <v>91004</v>
      </c>
      <c r="AB581" s="14" t="s">
        <v>923</v>
      </c>
      <c r="AC581" s="12" t="s">
        <v>230</v>
      </c>
      <c r="AD581" s="15" t="str">
        <f t="shared" si="20"/>
        <v>Service  Excellence - PRSP</v>
      </c>
      <c r="AE581" s="12" t="s">
        <v>118</v>
      </c>
      <c r="AF581" s="12" t="s">
        <v>401</v>
      </c>
      <c r="AG581" s="12" t="s">
        <v>114</v>
      </c>
      <c r="AH581" s="12" t="s">
        <v>1038</v>
      </c>
      <c r="AJ581" s="14">
        <v>82016</v>
      </c>
      <c r="AK581" s="14" t="s">
        <v>871</v>
      </c>
    </row>
    <row r="582" spans="6:37">
      <c r="F582" s="45">
        <v>91030</v>
      </c>
      <c r="G582" s="12" t="s">
        <v>117</v>
      </c>
      <c r="R582" s="14">
        <v>12345</v>
      </c>
      <c r="S582" s="14" t="s">
        <v>329</v>
      </c>
      <c r="T582" s="12" t="s">
        <v>177</v>
      </c>
      <c r="U582" s="15" t="str">
        <f t="shared" si="19"/>
        <v>California Dept of Public Heal - OPS</v>
      </c>
      <c r="V582" s="12" t="s">
        <v>126</v>
      </c>
      <c r="W582" s="12" t="s">
        <v>163</v>
      </c>
      <c r="X582" s="12" t="s">
        <v>164</v>
      </c>
      <c r="Y582" s="12" t="s">
        <v>1038</v>
      </c>
      <c r="AA582" s="14">
        <v>91004</v>
      </c>
      <c r="AB582" s="14" t="s">
        <v>923</v>
      </c>
      <c r="AC582" s="12" t="s">
        <v>111</v>
      </c>
      <c r="AD582" s="15" t="str">
        <f t="shared" si="20"/>
        <v>Service  Excellence - QLY</v>
      </c>
      <c r="AE582" s="12" t="s">
        <v>118</v>
      </c>
      <c r="AF582" s="12" t="s">
        <v>401</v>
      </c>
      <c r="AG582" s="12" t="s">
        <v>114</v>
      </c>
      <c r="AH582" s="12" t="s">
        <v>1038</v>
      </c>
      <c r="AJ582" s="14">
        <v>82101</v>
      </c>
      <c r="AK582" s="14" t="s">
        <v>873</v>
      </c>
    </row>
    <row r="583" spans="6:37">
      <c r="F583" s="45">
        <v>91118</v>
      </c>
      <c r="G583" s="12" t="s">
        <v>117</v>
      </c>
      <c r="R583" s="14">
        <v>12345</v>
      </c>
      <c r="S583" s="14" t="s">
        <v>329</v>
      </c>
      <c r="T583" s="12" t="s">
        <v>116</v>
      </c>
      <c r="U583" s="15" t="str">
        <f t="shared" si="19"/>
        <v>California Dept of Public Heal - PRD</v>
      </c>
      <c r="V583" s="12" t="s">
        <v>126</v>
      </c>
      <c r="W583" s="12" t="s">
        <v>163</v>
      </c>
      <c r="X583" s="12" t="s">
        <v>164</v>
      </c>
      <c r="Y583" s="12" t="s">
        <v>1038</v>
      </c>
      <c r="AA583" s="14">
        <v>91004</v>
      </c>
      <c r="AB583" s="14" t="s">
        <v>923</v>
      </c>
      <c r="AC583" s="12" t="s">
        <v>139</v>
      </c>
      <c r="AD583" s="15" t="str">
        <f t="shared" si="20"/>
        <v>Service  Excellence - SMGT</v>
      </c>
      <c r="AE583" s="12" t="s">
        <v>118</v>
      </c>
      <c r="AF583" s="12" t="s">
        <v>401</v>
      </c>
      <c r="AG583" s="12" t="s">
        <v>114</v>
      </c>
      <c r="AH583" s="12" t="s">
        <v>1038</v>
      </c>
      <c r="AJ583" s="14">
        <v>82102</v>
      </c>
      <c r="AK583" s="14" t="s">
        <v>875</v>
      </c>
    </row>
    <row r="584" spans="6:37">
      <c r="F584" s="45">
        <v>91402</v>
      </c>
      <c r="G584" s="12" t="s">
        <v>117</v>
      </c>
      <c r="R584" s="14">
        <v>12345</v>
      </c>
      <c r="S584" s="14" t="s">
        <v>329</v>
      </c>
      <c r="T584" s="12" t="s">
        <v>332</v>
      </c>
      <c r="U584" s="15" t="str">
        <f t="shared" si="19"/>
        <v>California Dept of Public Heal - RCF</v>
      </c>
      <c r="V584" s="12" t="s">
        <v>126</v>
      </c>
      <c r="W584" s="12" t="s">
        <v>163</v>
      </c>
      <c r="X584" s="12" t="s">
        <v>164</v>
      </c>
      <c r="Y584" s="12" t="s">
        <v>1038</v>
      </c>
      <c r="AA584" s="14">
        <v>91004</v>
      </c>
      <c r="AB584" s="14" t="s">
        <v>923</v>
      </c>
      <c r="AC584" s="12" t="s">
        <v>145</v>
      </c>
      <c r="AD584" s="15" t="str">
        <f t="shared" si="20"/>
        <v>Service  Excellence - SUP</v>
      </c>
      <c r="AE584" s="12" t="s">
        <v>118</v>
      </c>
      <c r="AF584" s="12" t="s">
        <v>401</v>
      </c>
      <c r="AG584" s="12" t="s">
        <v>114</v>
      </c>
      <c r="AH584" s="12" t="s">
        <v>1038</v>
      </c>
      <c r="AJ584" s="14">
        <v>82300</v>
      </c>
      <c r="AK584" s="14" t="s">
        <v>877</v>
      </c>
    </row>
    <row r="585" spans="6:37">
      <c r="F585" s="45">
        <v>91403</v>
      </c>
      <c r="G585" s="12" t="s">
        <v>117</v>
      </c>
      <c r="R585" s="14">
        <v>12345</v>
      </c>
      <c r="S585" s="14" t="s">
        <v>329</v>
      </c>
      <c r="T585" s="12" t="s">
        <v>145</v>
      </c>
      <c r="U585" s="15" t="str">
        <f t="shared" si="19"/>
        <v>California Dept of Public Heal - SUP</v>
      </c>
      <c r="V585" s="12" t="s">
        <v>126</v>
      </c>
      <c r="W585" s="12" t="s">
        <v>163</v>
      </c>
      <c r="X585" s="12" t="s">
        <v>164</v>
      </c>
      <c r="Y585" s="12" t="s">
        <v>1038</v>
      </c>
      <c r="AA585" s="14">
        <v>91004</v>
      </c>
      <c r="AB585" s="14" t="s">
        <v>923</v>
      </c>
      <c r="AC585" s="12" t="s">
        <v>925</v>
      </c>
      <c r="AD585" s="15" t="str">
        <f t="shared" si="20"/>
        <v>Service  Excellence - SXL</v>
      </c>
      <c r="AE585" s="12" t="s">
        <v>118</v>
      </c>
      <c r="AF585" s="12" t="s">
        <v>401</v>
      </c>
      <c r="AG585" s="12" t="s">
        <v>114</v>
      </c>
      <c r="AH585" s="12" t="s">
        <v>1038</v>
      </c>
      <c r="AJ585" s="14">
        <v>83001</v>
      </c>
      <c r="AK585" s="14" t="s">
        <v>878</v>
      </c>
    </row>
    <row r="586" spans="6:37">
      <c r="F586" s="45">
        <v>91404</v>
      </c>
      <c r="G586" s="12" t="s">
        <v>117</v>
      </c>
      <c r="R586" s="14">
        <v>12345</v>
      </c>
      <c r="S586" s="14" t="s">
        <v>329</v>
      </c>
      <c r="T586" s="12" t="s">
        <v>185</v>
      </c>
      <c r="U586" s="15" t="str">
        <f t="shared" si="19"/>
        <v>California Dept of Public Heal - TPS</v>
      </c>
      <c r="V586" s="12" t="s">
        <v>126</v>
      </c>
      <c r="W586" s="12" t="s">
        <v>163</v>
      </c>
      <c r="X586" s="12" t="s">
        <v>164</v>
      </c>
      <c r="Y586" s="12" t="s">
        <v>1038</v>
      </c>
      <c r="AA586" s="14">
        <v>91004</v>
      </c>
      <c r="AB586" s="14" t="s">
        <v>923</v>
      </c>
      <c r="AC586" s="12" t="s">
        <v>180</v>
      </c>
      <c r="AD586" s="15" t="str">
        <f t="shared" si="20"/>
        <v>Service  Excellence - TMG</v>
      </c>
      <c r="AE586" s="12" t="s">
        <v>118</v>
      </c>
      <c r="AF586" s="12" t="s">
        <v>401</v>
      </c>
      <c r="AG586" s="12" t="s">
        <v>114</v>
      </c>
      <c r="AH586" s="12" t="s">
        <v>1038</v>
      </c>
      <c r="AJ586" s="14">
        <v>83002</v>
      </c>
      <c r="AK586" s="14" t="s">
        <v>880</v>
      </c>
    </row>
    <row r="587" spans="6:37">
      <c r="F587" s="45">
        <v>91405</v>
      </c>
      <c r="G587" s="12" t="s">
        <v>117</v>
      </c>
      <c r="R587" s="14">
        <v>51077</v>
      </c>
      <c r="S587" s="14" t="s">
        <v>1068</v>
      </c>
      <c r="T587" s="12" t="s">
        <v>116</v>
      </c>
      <c r="U587" s="15" t="str">
        <f t="shared" si="19"/>
        <v>CanonCloudTestrEBS - PRD</v>
      </c>
      <c r="V587" s="12" t="s">
        <v>117</v>
      </c>
      <c r="W587" s="12" t="s">
        <v>117</v>
      </c>
      <c r="X587" s="12" t="s">
        <v>117</v>
      </c>
      <c r="Y587" s="12" t="s">
        <v>1038</v>
      </c>
      <c r="AA587" s="14">
        <v>91737</v>
      </c>
      <c r="AB587" s="14" t="s">
        <v>927</v>
      </c>
      <c r="AC587" s="12" t="s">
        <v>145</v>
      </c>
      <c r="AD587" s="15" t="str">
        <f t="shared" si="20"/>
        <v>Service Delivery - Healthcare - SUP</v>
      </c>
      <c r="AE587" s="12" t="s">
        <v>154</v>
      </c>
      <c r="AF587" s="12" t="s">
        <v>163</v>
      </c>
      <c r="AG587" s="12" t="s">
        <v>164</v>
      </c>
      <c r="AH587" s="12" t="s">
        <v>1038</v>
      </c>
      <c r="AJ587" s="14">
        <v>86205</v>
      </c>
      <c r="AK587" s="14" t="s">
        <v>882</v>
      </c>
    </row>
    <row r="588" spans="6:37">
      <c r="F588" s="45">
        <v>91406</v>
      </c>
      <c r="G588" s="12" t="s">
        <v>117</v>
      </c>
      <c r="R588" s="14">
        <v>10916</v>
      </c>
      <c r="S588" s="14" t="s">
        <v>461</v>
      </c>
      <c r="T588" s="12" t="s">
        <v>138</v>
      </c>
      <c r="U588" s="15" t="str">
        <f t="shared" si="19"/>
        <v>Carvana Back-office Support - BOS</v>
      </c>
      <c r="V588" s="12" t="s">
        <v>126</v>
      </c>
      <c r="W588" s="12" t="s">
        <v>163</v>
      </c>
      <c r="X588" s="12" t="s">
        <v>164</v>
      </c>
      <c r="Y588" s="12" t="s">
        <v>1038</v>
      </c>
      <c r="AA588" s="14">
        <v>97245</v>
      </c>
      <c r="AB588" s="14" t="s">
        <v>929</v>
      </c>
      <c r="AC588" s="12" t="s">
        <v>129</v>
      </c>
      <c r="AD588" s="15" t="str">
        <f t="shared" si="20"/>
        <v>SGS Digital Recruitment - MGT</v>
      </c>
      <c r="AE588" s="12" t="s">
        <v>118</v>
      </c>
      <c r="AF588" s="12" t="s">
        <v>512</v>
      </c>
      <c r="AG588" s="12" t="s">
        <v>114</v>
      </c>
      <c r="AH588" s="12" t="s">
        <v>1038</v>
      </c>
      <c r="AJ588" s="14">
        <v>86206</v>
      </c>
      <c r="AK588" s="14" t="s">
        <v>884</v>
      </c>
    </row>
    <row r="589" spans="6:37">
      <c r="F589" s="45">
        <v>91451</v>
      </c>
      <c r="G589" s="12" t="s">
        <v>117</v>
      </c>
      <c r="R589" s="14">
        <v>10916</v>
      </c>
      <c r="S589" s="14" t="s">
        <v>461</v>
      </c>
      <c r="T589" s="12" t="s">
        <v>185</v>
      </c>
      <c r="U589" s="15" t="str">
        <f t="shared" si="19"/>
        <v>Carvana Back-office Support - TPS</v>
      </c>
      <c r="V589" s="12" t="s">
        <v>126</v>
      </c>
      <c r="W589" s="12" t="s">
        <v>163</v>
      </c>
      <c r="X589" s="12" t="s">
        <v>164</v>
      </c>
      <c r="Y589" s="12" t="s">
        <v>1038</v>
      </c>
      <c r="AA589" s="14">
        <v>97245</v>
      </c>
      <c r="AB589" s="14" t="s">
        <v>929</v>
      </c>
      <c r="AC589" s="12" t="s">
        <v>514</v>
      </c>
      <c r="AD589" s="15" t="str">
        <f t="shared" si="20"/>
        <v>SGS Digital Recruitment - REC</v>
      </c>
      <c r="AE589" s="12" t="s">
        <v>118</v>
      </c>
      <c r="AF589" s="12" t="s">
        <v>512</v>
      </c>
      <c r="AG589" s="12" t="s">
        <v>114</v>
      </c>
      <c r="AH589" s="12" t="s">
        <v>1038</v>
      </c>
      <c r="AJ589" s="14">
        <v>86207</v>
      </c>
      <c r="AK589" s="14" t="s">
        <v>885</v>
      </c>
    </row>
    <row r="590" spans="6:37">
      <c r="F590" s="45">
        <v>91453</v>
      </c>
      <c r="G590" s="12" t="s">
        <v>117</v>
      </c>
      <c r="R590" s="14">
        <v>12425</v>
      </c>
      <c r="S590" s="14" t="s">
        <v>342</v>
      </c>
      <c r="T590" s="12" t="s">
        <v>230</v>
      </c>
      <c r="U590" s="15" t="str">
        <f t="shared" si="19"/>
        <v>Centene - Conduct DMHC PAAS - PRSP</v>
      </c>
      <c r="V590" s="12" t="s">
        <v>126</v>
      </c>
      <c r="W590" s="12" t="s">
        <v>163</v>
      </c>
      <c r="X590" s="12" t="s">
        <v>164</v>
      </c>
      <c r="Y590" s="12" t="s">
        <v>1038</v>
      </c>
      <c r="AA590" s="14">
        <v>97245</v>
      </c>
      <c r="AB590" s="14" t="s">
        <v>929</v>
      </c>
      <c r="AC590" s="12" t="s">
        <v>145</v>
      </c>
      <c r="AD590" s="15" t="str">
        <f t="shared" si="20"/>
        <v>SGS Digital Recruitment - SUP</v>
      </c>
      <c r="AE590" s="12" t="s">
        <v>118</v>
      </c>
      <c r="AF590" s="12" t="s">
        <v>512</v>
      </c>
      <c r="AG590" s="12" t="s">
        <v>114</v>
      </c>
      <c r="AH590" s="12" t="s">
        <v>1038</v>
      </c>
      <c r="AJ590" s="14">
        <v>86209</v>
      </c>
      <c r="AK590" s="14" t="s">
        <v>886</v>
      </c>
    </row>
    <row r="591" spans="6:37">
      <c r="F591" s="45">
        <v>91454</v>
      </c>
      <c r="G591" s="12" t="s">
        <v>117</v>
      </c>
      <c r="R591" s="14">
        <v>12425</v>
      </c>
      <c r="S591" s="14" t="s">
        <v>342</v>
      </c>
      <c r="T591" s="12" t="s">
        <v>145</v>
      </c>
      <c r="U591" s="15" t="str">
        <f t="shared" si="19"/>
        <v>Centene - Conduct DMHC PAAS - SUP</v>
      </c>
      <c r="V591" s="12" t="s">
        <v>126</v>
      </c>
      <c r="W591" s="12" t="s">
        <v>163</v>
      </c>
      <c r="X591" s="12" t="s">
        <v>164</v>
      </c>
      <c r="Y591" s="12" t="s">
        <v>1038</v>
      </c>
      <c r="AA591" s="14">
        <v>98006</v>
      </c>
      <c r="AB591" s="14" t="s">
        <v>932</v>
      </c>
      <c r="AC591" s="12" t="s">
        <v>133</v>
      </c>
      <c r="AD591" s="15" t="str">
        <f t="shared" si="20"/>
        <v>SHARED SERVICES - TRAVEL - AMG</v>
      </c>
      <c r="AE591" s="12" t="s">
        <v>118</v>
      </c>
      <c r="AF591" s="12" t="s">
        <v>518</v>
      </c>
      <c r="AG591" s="12" t="s">
        <v>350</v>
      </c>
      <c r="AH591" s="12" t="s">
        <v>1038</v>
      </c>
      <c r="AJ591" s="14">
        <v>86210</v>
      </c>
      <c r="AK591" s="14" t="s">
        <v>888</v>
      </c>
    </row>
    <row r="592" spans="6:37">
      <c r="F592" s="45">
        <v>91738</v>
      </c>
      <c r="G592" s="12" t="s">
        <v>117</v>
      </c>
      <c r="R592" s="14">
        <v>12425</v>
      </c>
      <c r="S592" s="14" t="s">
        <v>342</v>
      </c>
      <c r="T592" s="12" t="s">
        <v>185</v>
      </c>
      <c r="U592" s="15" t="str">
        <f t="shared" si="19"/>
        <v>Centene - Conduct DMHC PAAS - TPS</v>
      </c>
      <c r="V592" s="12" t="s">
        <v>126</v>
      </c>
      <c r="W592" s="12" t="s">
        <v>163</v>
      </c>
      <c r="X592" s="12" t="s">
        <v>164</v>
      </c>
      <c r="Y592" s="12" t="s">
        <v>1038</v>
      </c>
      <c r="AA592" s="14">
        <v>98006</v>
      </c>
      <c r="AB592" s="14" t="s">
        <v>932</v>
      </c>
      <c r="AC592" s="12" t="s">
        <v>129</v>
      </c>
      <c r="AD592" s="15" t="str">
        <f t="shared" si="20"/>
        <v>SHARED SERVICES - TRAVEL - MGT</v>
      </c>
      <c r="AE592" s="12" t="s">
        <v>118</v>
      </c>
      <c r="AF592" s="12" t="s">
        <v>518</v>
      </c>
      <c r="AG592" s="12" t="s">
        <v>350</v>
      </c>
      <c r="AH592" s="12" t="s">
        <v>1038</v>
      </c>
      <c r="AJ592" s="14">
        <v>86218</v>
      </c>
      <c r="AK592" s="14" t="s">
        <v>889</v>
      </c>
    </row>
    <row r="593" spans="6:37">
      <c r="F593" s="45">
        <v>93031</v>
      </c>
      <c r="G593" s="12" t="s">
        <v>117</v>
      </c>
      <c r="R593" s="14">
        <v>90000</v>
      </c>
      <c r="S593" s="14" t="s">
        <v>347</v>
      </c>
      <c r="T593" s="12" t="s">
        <v>348</v>
      </c>
      <c r="U593" s="15" t="str">
        <f t="shared" si="19"/>
        <v>Chairman &amp; CEO Office - ADM</v>
      </c>
      <c r="V593" s="12" t="s">
        <v>104</v>
      </c>
      <c r="W593" s="12" t="s">
        <v>518</v>
      </c>
      <c r="X593" s="12" t="s">
        <v>350</v>
      </c>
      <c r="Y593" s="12" t="s">
        <v>1038</v>
      </c>
      <c r="AA593" s="14">
        <v>98006</v>
      </c>
      <c r="AB593" s="14" t="s">
        <v>932</v>
      </c>
      <c r="AC593" s="12" t="s">
        <v>145</v>
      </c>
      <c r="AD593" s="15" t="str">
        <f t="shared" si="20"/>
        <v>SHARED SERVICES - TRAVEL - SUP</v>
      </c>
      <c r="AE593" s="12" t="s">
        <v>118</v>
      </c>
      <c r="AF593" s="12" t="s">
        <v>518</v>
      </c>
      <c r="AG593" s="12" t="s">
        <v>350</v>
      </c>
      <c r="AH593" s="12" t="s">
        <v>1038</v>
      </c>
      <c r="AJ593" s="14">
        <v>86220</v>
      </c>
      <c r="AK593" s="14" t="s">
        <v>420</v>
      </c>
    </row>
    <row r="594" spans="6:37">
      <c r="F594" s="45">
        <v>93450</v>
      </c>
      <c r="G594" s="12" t="s">
        <v>117</v>
      </c>
      <c r="R594" s="14">
        <v>90000</v>
      </c>
      <c r="S594" s="14" t="s">
        <v>347</v>
      </c>
      <c r="T594" s="12" t="s">
        <v>352</v>
      </c>
      <c r="U594" s="15" t="str">
        <f t="shared" si="19"/>
        <v>Chairman &amp; CEO Office - EAT</v>
      </c>
      <c r="V594" s="12" t="s">
        <v>104</v>
      </c>
      <c r="W594" s="12" t="s">
        <v>518</v>
      </c>
      <c r="X594" s="12" t="s">
        <v>350</v>
      </c>
      <c r="Y594" s="12" t="s">
        <v>1038</v>
      </c>
      <c r="AA594" s="14">
        <v>98006</v>
      </c>
      <c r="AB594" s="14" t="s">
        <v>932</v>
      </c>
      <c r="AC594" s="12" t="s">
        <v>180</v>
      </c>
      <c r="AD594" s="15" t="str">
        <f t="shared" si="20"/>
        <v>SHARED SERVICES - TRAVEL - TMG</v>
      </c>
      <c r="AE594" s="12" t="s">
        <v>118</v>
      </c>
      <c r="AF594" s="12" t="s">
        <v>518</v>
      </c>
      <c r="AG594" s="12" t="s">
        <v>350</v>
      </c>
      <c r="AH594" s="12" t="s">
        <v>1038</v>
      </c>
      <c r="AJ594" s="14">
        <v>86223</v>
      </c>
      <c r="AK594" s="14" t="s">
        <v>891</v>
      </c>
    </row>
    <row r="595" spans="6:37">
      <c r="F595" s="45">
        <v>93582</v>
      </c>
      <c r="G595" s="12" t="s">
        <v>117</v>
      </c>
      <c r="R595" s="14">
        <v>90000</v>
      </c>
      <c r="S595" s="14" t="s">
        <v>347</v>
      </c>
      <c r="T595" s="12" t="s">
        <v>145</v>
      </c>
      <c r="U595" s="15" t="str">
        <f t="shared" si="19"/>
        <v>Chairman &amp; CEO Office - SUP</v>
      </c>
      <c r="V595" s="12" t="s">
        <v>104</v>
      </c>
      <c r="W595" s="12" t="s">
        <v>518</v>
      </c>
      <c r="X595" s="12" t="s">
        <v>350</v>
      </c>
      <c r="Y595" s="12" t="s">
        <v>1038</v>
      </c>
      <c r="AA595" s="14">
        <v>95500</v>
      </c>
      <c r="AB595" s="14" t="s">
        <v>935</v>
      </c>
      <c r="AC595" s="12" t="s">
        <v>584</v>
      </c>
      <c r="AD595" s="15" t="str">
        <f t="shared" si="20"/>
        <v>SHD - STE</v>
      </c>
      <c r="AE595" s="12" t="s">
        <v>118</v>
      </c>
      <c r="AF595" s="12" t="s">
        <v>918</v>
      </c>
      <c r="AG595" s="12" t="s">
        <v>264</v>
      </c>
      <c r="AH595" s="12" t="s">
        <v>1038</v>
      </c>
      <c r="AJ595" s="14">
        <v>86224</v>
      </c>
      <c r="AK595" s="14" t="s">
        <v>892</v>
      </c>
    </row>
    <row r="596" spans="6:37">
      <c r="F596" s="45">
        <v>93588</v>
      </c>
      <c r="G596" s="12" t="s">
        <v>117</v>
      </c>
      <c r="R596" s="14">
        <v>90000</v>
      </c>
      <c r="S596" s="14" t="s">
        <v>347</v>
      </c>
      <c r="T596" s="12" t="s">
        <v>180</v>
      </c>
      <c r="U596" s="15" t="str">
        <f t="shared" si="19"/>
        <v>Chairman &amp; CEO Office - TMG</v>
      </c>
      <c r="V596" s="12" t="s">
        <v>104</v>
      </c>
      <c r="W596" s="12" t="s">
        <v>518</v>
      </c>
      <c r="X596" s="12" t="s">
        <v>350</v>
      </c>
      <c r="Y596" s="12" t="s">
        <v>1038</v>
      </c>
      <c r="AA596" s="14">
        <v>95500</v>
      </c>
      <c r="AB596" s="14" t="s">
        <v>935</v>
      </c>
      <c r="AC596" s="12" t="s">
        <v>145</v>
      </c>
      <c r="AD596" s="15" t="str">
        <f t="shared" si="20"/>
        <v>SHD - SUP</v>
      </c>
      <c r="AE596" s="12" t="s">
        <v>118</v>
      </c>
      <c r="AF596" s="12" t="s">
        <v>918</v>
      </c>
      <c r="AG596" s="12" t="s">
        <v>264</v>
      </c>
      <c r="AH596" s="12" t="s">
        <v>1038</v>
      </c>
      <c r="AJ596" s="14">
        <v>86225</v>
      </c>
      <c r="AK596" s="14" t="s">
        <v>894</v>
      </c>
    </row>
    <row r="597" spans="6:37">
      <c r="F597" s="45">
        <v>93589</v>
      </c>
      <c r="G597" s="12" t="s">
        <v>117</v>
      </c>
      <c r="R597" s="14">
        <v>12243</v>
      </c>
      <c r="S597" s="14" t="s">
        <v>355</v>
      </c>
      <c r="T597" s="12" t="s">
        <v>193</v>
      </c>
      <c r="U597" s="15" t="str">
        <f t="shared" si="19"/>
        <v>ChartFast Web Application-Impl - DEV</v>
      </c>
      <c r="V597" s="12" t="s">
        <v>117</v>
      </c>
      <c r="W597" s="12" t="s">
        <v>117</v>
      </c>
      <c r="X597" s="12" t="s">
        <v>117</v>
      </c>
      <c r="Y597" s="12" t="s">
        <v>1038</v>
      </c>
      <c r="AA597" s="14">
        <v>93808</v>
      </c>
      <c r="AB597" s="14" t="s">
        <v>937</v>
      </c>
      <c r="AC597" s="12" t="s">
        <v>835</v>
      </c>
      <c r="AD597" s="15" t="str">
        <f t="shared" si="20"/>
        <v>SHS Solutioning - TnT - BTG</v>
      </c>
      <c r="AE597" s="12" t="s">
        <v>118</v>
      </c>
      <c r="AF597" s="12" t="s">
        <v>938</v>
      </c>
      <c r="AG597" s="12" t="s">
        <v>114</v>
      </c>
      <c r="AH597" s="12" t="s">
        <v>1038</v>
      </c>
      <c r="AJ597" s="14">
        <v>86226</v>
      </c>
      <c r="AK597" s="14" t="s">
        <v>895</v>
      </c>
    </row>
    <row r="598" spans="6:37">
      <c r="F598" s="45">
        <v>93593</v>
      </c>
      <c r="G598" s="12" t="s">
        <v>117</v>
      </c>
      <c r="R598" s="14">
        <v>12243</v>
      </c>
      <c r="S598" s="14" t="s">
        <v>355</v>
      </c>
      <c r="T598" s="12" t="s">
        <v>177</v>
      </c>
      <c r="U598" s="15" t="str">
        <f t="shared" si="19"/>
        <v>ChartFast Web Application-Impl - OPS</v>
      </c>
      <c r="V598" s="12" t="s">
        <v>117</v>
      </c>
      <c r="W598" s="12" t="s">
        <v>117</v>
      </c>
      <c r="X598" s="12" t="s">
        <v>117</v>
      </c>
      <c r="Y598" s="12" t="s">
        <v>1038</v>
      </c>
      <c r="AA598" s="14">
        <v>93808</v>
      </c>
      <c r="AB598" s="14" t="s">
        <v>937</v>
      </c>
      <c r="AC598" s="12" t="s">
        <v>145</v>
      </c>
      <c r="AD598" s="15" t="str">
        <f t="shared" si="20"/>
        <v>SHS Solutioning - TnT - SUP</v>
      </c>
      <c r="AE598" s="12" t="s">
        <v>118</v>
      </c>
      <c r="AF598" s="12" t="s">
        <v>938</v>
      </c>
      <c r="AG598" s="12" t="s">
        <v>114</v>
      </c>
      <c r="AH598" s="12" t="s">
        <v>1038</v>
      </c>
      <c r="AJ598" s="35">
        <v>86227</v>
      </c>
      <c r="AK598" s="14" t="s">
        <v>1097</v>
      </c>
    </row>
    <row r="599" spans="6:37">
      <c r="F599" s="45">
        <v>93596</v>
      </c>
      <c r="G599" s="12" t="s">
        <v>117</v>
      </c>
      <c r="R599" s="14">
        <v>12243</v>
      </c>
      <c r="S599" s="14" t="s">
        <v>355</v>
      </c>
      <c r="T599" s="12" t="s">
        <v>116</v>
      </c>
      <c r="U599" s="15" t="str">
        <f t="shared" si="19"/>
        <v>ChartFast Web Application-Impl - PRD</v>
      </c>
      <c r="V599" s="12" t="s">
        <v>117</v>
      </c>
      <c r="W599" s="12" t="s">
        <v>117</v>
      </c>
      <c r="X599" s="12" t="s">
        <v>117</v>
      </c>
      <c r="Y599" s="12" t="s">
        <v>1038</v>
      </c>
      <c r="AA599" s="14">
        <v>91082</v>
      </c>
      <c r="AB599" s="14" t="s">
        <v>936</v>
      </c>
      <c r="AC599" s="12" t="s">
        <v>129</v>
      </c>
      <c r="AD599" s="15" t="str">
        <f t="shared" si="20"/>
        <v>SHS-Organizational  Excellence - MGT</v>
      </c>
      <c r="AE599" s="12" t="s">
        <v>118</v>
      </c>
      <c r="AF599" s="12" t="s">
        <v>401</v>
      </c>
      <c r="AG599" s="12" t="s">
        <v>114</v>
      </c>
      <c r="AH599" s="12" t="s">
        <v>1038</v>
      </c>
      <c r="AJ599" s="14">
        <v>86228</v>
      </c>
      <c r="AK599" s="14" t="s">
        <v>897</v>
      </c>
    </row>
    <row r="600" spans="6:37">
      <c r="F600" s="45">
        <v>93631</v>
      </c>
      <c r="G600" s="12" t="s">
        <v>117</v>
      </c>
      <c r="R600" s="14">
        <v>12243</v>
      </c>
      <c r="S600" s="14" t="s">
        <v>355</v>
      </c>
      <c r="T600" s="12" t="s">
        <v>145</v>
      </c>
      <c r="U600" s="15" t="str">
        <f t="shared" si="19"/>
        <v>ChartFast Web Application-Impl - SUP</v>
      </c>
      <c r="V600" s="12" t="s">
        <v>117</v>
      </c>
      <c r="W600" s="12" t="s">
        <v>117</v>
      </c>
      <c r="X600" s="12" t="s">
        <v>117</v>
      </c>
      <c r="Y600" s="12" t="s">
        <v>1038</v>
      </c>
      <c r="AA600" s="14">
        <v>91082</v>
      </c>
      <c r="AB600" s="14" t="s">
        <v>936</v>
      </c>
      <c r="AC600" s="12" t="s">
        <v>145</v>
      </c>
      <c r="AD600" s="15" t="str">
        <f t="shared" si="20"/>
        <v>SHS-Organizational  Excellence - SUP</v>
      </c>
      <c r="AE600" s="12" t="s">
        <v>118</v>
      </c>
      <c r="AF600" s="12" t="s">
        <v>401</v>
      </c>
      <c r="AG600" s="12" t="s">
        <v>114</v>
      </c>
      <c r="AH600" s="12" t="s">
        <v>1038</v>
      </c>
      <c r="AJ600" s="14">
        <v>86229</v>
      </c>
      <c r="AK600" s="14" t="s">
        <v>593</v>
      </c>
    </row>
    <row r="601" spans="6:37">
      <c r="F601" s="45">
        <v>93832</v>
      </c>
      <c r="G601" s="12" t="s">
        <v>117</v>
      </c>
      <c r="R601" s="14">
        <v>10105</v>
      </c>
      <c r="S601" s="14" t="s">
        <v>217</v>
      </c>
      <c r="T601" s="12" t="s">
        <v>185</v>
      </c>
      <c r="U601" s="15" t="str">
        <f t="shared" si="19"/>
        <v>Checkrs - CX Support - TPS</v>
      </c>
      <c r="V601" s="12" t="s">
        <v>126</v>
      </c>
      <c r="W601" s="12" t="s">
        <v>163</v>
      </c>
      <c r="X601" s="12" t="s">
        <v>164</v>
      </c>
      <c r="Y601" s="12" t="s">
        <v>1038</v>
      </c>
      <c r="AA601" s="14">
        <v>93801</v>
      </c>
      <c r="AB601" s="14" t="s">
        <v>942</v>
      </c>
      <c r="AC601" s="12" t="s">
        <v>145</v>
      </c>
      <c r="AD601" s="15" t="str">
        <f t="shared" si="20"/>
        <v>Solutioning - Bid Proposal - SUP</v>
      </c>
      <c r="AE601" s="12" t="s">
        <v>118</v>
      </c>
      <c r="AF601" s="12" t="s">
        <v>938</v>
      </c>
      <c r="AG601" s="12" t="s">
        <v>114</v>
      </c>
      <c r="AH601" s="12" t="s">
        <v>1038</v>
      </c>
      <c r="AJ601" s="14">
        <v>86230</v>
      </c>
      <c r="AK601" s="14" t="s">
        <v>596</v>
      </c>
    </row>
    <row r="602" spans="6:37">
      <c r="F602" s="45">
        <v>93834</v>
      </c>
      <c r="G602" s="12" t="s">
        <v>117</v>
      </c>
      <c r="R602" s="14">
        <v>90550</v>
      </c>
      <c r="S602" s="14" t="s">
        <v>1098</v>
      </c>
      <c r="T602" s="12" t="s">
        <v>145</v>
      </c>
      <c r="U602" s="15" t="str">
        <f t="shared" si="19"/>
        <v>Chief Delivery Officer - SUP</v>
      </c>
      <c r="V602" s="12" t="s">
        <v>104</v>
      </c>
      <c r="W602" s="12" t="s">
        <v>373</v>
      </c>
      <c r="X602" s="12" t="s">
        <v>114</v>
      </c>
      <c r="Y602" s="12" t="s">
        <v>1038</v>
      </c>
      <c r="AA602" s="14">
        <v>93806</v>
      </c>
      <c r="AB602" s="14" t="s">
        <v>943</v>
      </c>
      <c r="AC602" s="12" t="s">
        <v>129</v>
      </c>
      <c r="AD602" s="15" t="str">
        <f t="shared" si="20"/>
        <v>Solutioning - BPT - FTP - MGT</v>
      </c>
      <c r="AE602" s="12" t="s">
        <v>118</v>
      </c>
      <c r="AF602" s="12" t="s">
        <v>938</v>
      </c>
      <c r="AG602" s="12" t="s">
        <v>114</v>
      </c>
      <c r="AH602" s="12" t="s">
        <v>1038</v>
      </c>
      <c r="AJ602" s="14">
        <v>86231</v>
      </c>
      <c r="AK602" s="14" t="s">
        <v>591</v>
      </c>
    </row>
    <row r="603" spans="6:37">
      <c r="F603" s="45">
        <v>93856</v>
      </c>
      <c r="G603" s="12" t="s">
        <v>117</v>
      </c>
      <c r="R603" s="14">
        <v>51079</v>
      </c>
      <c r="S603" s="14" t="s">
        <v>1069</v>
      </c>
      <c r="T603" s="12" t="s">
        <v>116</v>
      </c>
      <c r="U603" s="15" t="str">
        <f t="shared" si="19"/>
        <v>ChipotleCloudInfraServices - PRD</v>
      </c>
      <c r="V603" s="12" t="s">
        <v>117</v>
      </c>
      <c r="W603" s="12" t="s">
        <v>117</v>
      </c>
      <c r="X603" s="12" t="s">
        <v>117</v>
      </c>
      <c r="Y603" s="12" t="s">
        <v>1038</v>
      </c>
      <c r="AA603" s="14">
        <v>93806</v>
      </c>
      <c r="AB603" s="14" t="s">
        <v>943</v>
      </c>
      <c r="AC603" s="12" t="s">
        <v>139</v>
      </c>
      <c r="AD603" s="15" t="str">
        <f t="shared" si="20"/>
        <v>Solutioning - BPT - FTP - SMGT</v>
      </c>
      <c r="AE603" s="12" t="s">
        <v>118</v>
      </c>
      <c r="AF603" s="12" t="s">
        <v>938</v>
      </c>
      <c r="AG603" s="12" t="s">
        <v>114</v>
      </c>
      <c r="AH603" s="12" t="s">
        <v>1038</v>
      </c>
      <c r="AJ603" s="14">
        <v>86234</v>
      </c>
      <c r="AK603" s="14" t="s">
        <v>594</v>
      </c>
    </row>
    <row r="604" spans="6:37">
      <c r="F604" s="45">
        <v>93858</v>
      </c>
      <c r="G604" s="12" t="s">
        <v>117</v>
      </c>
      <c r="R604" s="14">
        <v>51080</v>
      </c>
      <c r="S604" s="14" t="s">
        <v>1070</v>
      </c>
      <c r="T604" s="12" t="s">
        <v>116</v>
      </c>
      <c r="U604" s="15" t="str">
        <f t="shared" si="19"/>
        <v>ChipotleDBCSDBAandLinuxAdmini - PRD</v>
      </c>
      <c r="V604" s="12" t="s">
        <v>117</v>
      </c>
      <c r="W604" s="12" t="s">
        <v>117</v>
      </c>
      <c r="X604" s="12" t="s">
        <v>117</v>
      </c>
      <c r="Y604" s="12" t="s">
        <v>1038</v>
      </c>
      <c r="AA604" s="14">
        <v>93806</v>
      </c>
      <c r="AB604" s="14" t="s">
        <v>943</v>
      </c>
      <c r="AC604" s="12" t="s">
        <v>145</v>
      </c>
      <c r="AD604" s="15" t="str">
        <f t="shared" si="20"/>
        <v>Solutioning - BPT - FTP - SUP</v>
      </c>
      <c r="AE604" s="12" t="s">
        <v>118</v>
      </c>
      <c r="AF604" s="12" t="s">
        <v>938</v>
      </c>
      <c r="AG604" s="12" t="s">
        <v>114</v>
      </c>
      <c r="AH604" s="12" t="s">
        <v>1038</v>
      </c>
      <c r="AJ604" s="14">
        <v>86250</v>
      </c>
      <c r="AK604" s="14" t="s">
        <v>430</v>
      </c>
    </row>
    <row r="605" spans="6:37">
      <c r="F605" s="45">
        <v>93859</v>
      </c>
      <c r="G605" s="12" t="s">
        <v>117</v>
      </c>
      <c r="R605" s="14">
        <v>51081</v>
      </c>
      <c r="S605" s="14" t="s">
        <v>1071</v>
      </c>
      <c r="T605" s="12" t="s">
        <v>116</v>
      </c>
      <c r="U605" s="15" t="str">
        <f t="shared" si="19"/>
        <v>ChipotleTempStaffingDatabaseA - PRD</v>
      </c>
      <c r="V605" s="12" t="s">
        <v>117</v>
      </c>
      <c r="W605" s="12" t="s">
        <v>117</v>
      </c>
      <c r="X605" s="12" t="s">
        <v>117</v>
      </c>
      <c r="Y605" s="12" t="s">
        <v>1038</v>
      </c>
      <c r="AA605" s="14">
        <v>93807</v>
      </c>
      <c r="AB605" s="14" t="s">
        <v>947</v>
      </c>
      <c r="AC605" s="12" t="s">
        <v>133</v>
      </c>
      <c r="AD605" s="15" t="str">
        <f t="shared" si="20"/>
        <v>Solutioning - CET - AMG</v>
      </c>
      <c r="AE605" s="12" t="s">
        <v>118</v>
      </c>
      <c r="AF605" s="12" t="s">
        <v>938</v>
      </c>
      <c r="AG605" s="12" t="s">
        <v>114</v>
      </c>
      <c r="AH605" s="12" t="s">
        <v>1038</v>
      </c>
      <c r="AJ605" s="14">
        <v>86251</v>
      </c>
      <c r="AK605" s="14" t="s">
        <v>899</v>
      </c>
    </row>
    <row r="606" spans="6:37">
      <c r="F606" s="45" t="s">
        <v>470</v>
      </c>
      <c r="G606" s="12" t="s">
        <v>117</v>
      </c>
      <c r="R606" s="14">
        <v>18072</v>
      </c>
      <c r="S606" s="14" t="s">
        <v>632</v>
      </c>
      <c r="T606" s="12" t="s">
        <v>185</v>
      </c>
      <c r="U606" s="15" t="str">
        <f t="shared" si="19"/>
        <v>CHL QC Loan Boarding Offshore - TPS</v>
      </c>
      <c r="V606" s="12" t="s">
        <v>126</v>
      </c>
      <c r="W606" s="12" t="s">
        <v>163</v>
      </c>
      <c r="X606" s="12" t="s">
        <v>164</v>
      </c>
      <c r="Y606" s="12" t="s">
        <v>1038</v>
      </c>
      <c r="AA606" s="14">
        <v>93807</v>
      </c>
      <c r="AB606" s="14" t="s">
        <v>947</v>
      </c>
      <c r="AC606" s="12" t="s">
        <v>139</v>
      </c>
      <c r="AD606" s="15" t="str">
        <f t="shared" si="20"/>
        <v>Solutioning - CET - SMGT</v>
      </c>
      <c r="AE606" s="12" t="s">
        <v>118</v>
      </c>
      <c r="AF606" s="12" t="s">
        <v>938</v>
      </c>
      <c r="AG606" s="12" t="s">
        <v>114</v>
      </c>
      <c r="AH606" s="12" t="s">
        <v>1038</v>
      </c>
      <c r="AJ606" s="14">
        <v>87100</v>
      </c>
      <c r="AK606" s="14" t="s">
        <v>322</v>
      </c>
    </row>
    <row r="607" spans="6:37">
      <c r="F607" s="45" t="s">
        <v>473</v>
      </c>
      <c r="G607" s="12" t="s">
        <v>117</v>
      </c>
      <c r="R607" s="14">
        <v>10048</v>
      </c>
      <c r="S607" s="14" t="s">
        <v>1041</v>
      </c>
      <c r="T607" s="12" t="s">
        <v>116</v>
      </c>
      <c r="U607" s="15" t="str">
        <f t="shared" si="19"/>
        <v>Clarien  Infrastructure - PRD</v>
      </c>
      <c r="V607" s="12" t="s">
        <v>117</v>
      </c>
      <c r="W607" s="12" t="s">
        <v>117</v>
      </c>
      <c r="X607" s="12" t="s">
        <v>117</v>
      </c>
      <c r="Y607" s="12" t="s">
        <v>1038</v>
      </c>
      <c r="AA607" s="14">
        <v>93807</v>
      </c>
      <c r="AB607" s="14" t="s">
        <v>947</v>
      </c>
      <c r="AC607" s="12" t="s">
        <v>145</v>
      </c>
      <c r="AD607" s="15" t="str">
        <f t="shared" si="20"/>
        <v>Solutioning - CET - SUP</v>
      </c>
      <c r="AE607" s="12" t="s">
        <v>118</v>
      </c>
      <c r="AF607" s="12" t="s">
        <v>938</v>
      </c>
      <c r="AG607" s="12" t="s">
        <v>114</v>
      </c>
      <c r="AH607" s="12" t="s">
        <v>1038</v>
      </c>
      <c r="AJ607" s="14">
        <v>87103</v>
      </c>
      <c r="AK607" s="14" t="s">
        <v>901</v>
      </c>
    </row>
    <row r="608" spans="6:37">
      <c r="F608" s="45" t="s">
        <v>476</v>
      </c>
      <c r="G608" s="12" t="s">
        <v>117</v>
      </c>
      <c r="R608" s="14">
        <v>10014</v>
      </c>
      <c r="S608" s="14" t="s">
        <v>152</v>
      </c>
      <c r="T608" s="12" t="s">
        <v>336</v>
      </c>
      <c r="U608" s="15" t="str">
        <f t="shared" si="19"/>
        <v>Clarien - Salesforce Cost JC - TSL</v>
      </c>
      <c r="V608" s="12" t="s">
        <v>117</v>
      </c>
      <c r="W608" s="12" t="s">
        <v>117</v>
      </c>
      <c r="X608" s="12" t="s">
        <v>117</v>
      </c>
      <c r="Y608" s="12" t="s">
        <v>1038</v>
      </c>
      <c r="AA608" s="14">
        <v>93802</v>
      </c>
      <c r="AB608" s="14" t="s">
        <v>949</v>
      </c>
      <c r="AC608" s="12" t="s">
        <v>121</v>
      </c>
      <c r="AD608" s="15" t="str">
        <f t="shared" si="20"/>
        <v>Solutioning - Pricing - F&amp;A</v>
      </c>
      <c r="AE608" s="12" t="s">
        <v>118</v>
      </c>
      <c r="AF608" s="12" t="s">
        <v>938</v>
      </c>
      <c r="AG608" s="12" t="s">
        <v>114</v>
      </c>
      <c r="AH608" s="12" t="s">
        <v>1038</v>
      </c>
      <c r="AJ608" s="14">
        <v>87104</v>
      </c>
      <c r="AK608" s="14" t="s">
        <v>903</v>
      </c>
    </row>
    <row r="609" spans="6:37">
      <c r="F609" s="45" t="s">
        <v>479</v>
      </c>
      <c r="G609" s="12" t="s">
        <v>117</v>
      </c>
      <c r="H609" s="3"/>
      <c r="R609" s="14">
        <v>10113</v>
      </c>
      <c r="S609" s="14" t="s">
        <v>1047</v>
      </c>
      <c r="T609" s="12" t="s">
        <v>116</v>
      </c>
      <c r="U609" s="15" t="str">
        <f t="shared" si="19"/>
        <v>Clarien  SF Digital Lending - PRD</v>
      </c>
      <c r="V609" s="12" t="s">
        <v>117</v>
      </c>
      <c r="W609" s="12" t="s">
        <v>117</v>
      </c>
      <c r="X609" s="12" t="s">
        <v>117</v>
      </c>
      <c r="Y609" s="12" t="s">
        <v>1038</v>
      </c>
      <c r="AA609" s="14">
        <v>93802</v>
      </c>
      <c r="AB609" s="14" t="s">
        <v>949</v>
      </c>
      <c r="AC609" s="12" t="s">
        <v>129</v>
      </c>
      <c r="AD609" s="15" t="str">
        <f t="shared" si="20"/>
        <v>Solutioning - Pricing - MGT</v>
      </c>
      <c r="AE609" s="12" t="s">
        <v>118</v>
      </c>
      <c r="AF609" s="12" t="s">
        <v>938</v>
      </c>
      <c r="AG609" s="12" t="s">
        <v>114</v>
      </c>
      <c r="AH609" s="12" t="s">
        <v>1038</v>
      </c>
      <c r="AJ609" s="14">
        <v>87105</v>
      </c>
      <c r="AK609" s="14" t="s">
        <v>904</v>
      </c>
    </row>
    <row r="610" spans="6:37">
      <c r="F610" s="45" t="s">
        <v>481</v>
      </c>
      <c r="G610" s="12" t="s">
        <v>117</v>
      </c>
      <c r="R610" s="14">
        <v>10865</v>
      </c>
      <c r="S610" s="14" t="s">
        <v>363</v>
      </c>
      <c r="T610" s="12" t="s">
        <v>145</v>
      </c>
      <c r="U610" s="15" t="str">
        <f t="shared" si="19"/>
        <v>Clarien Bank IT Strategy GRC - SUP</v>
      </c>
      <c r="V610" s="12" t="s">
        <v>117</v>
      </c>
      <c r="W610" s="12" t="s">
        <v>117</v>
      </c>
      <c r="X610" s="12" t="s">
        <v>117</v>
      </c>
      <c r="Y610" s="12" t="s">
        <v>1038</v>
      </c>
      <c r="AA610" s="14">
        <v>93802</v>
      </c>
      <c r="AB610" s="14" t="s">
        <v>949</v>
      </c>
      <c r="AC610" s="12" t="s">
        <v>139</v>
      </c>
      <c r="AD610" s="15" t="str">
        <f t="shared" si="20"/>
        <v>Solutioning - Pricing - SMGT</v>
      </c>
      <c r="AE610" s="12" t="s">
        <v>118</v>
      </c>
      <c r="AF610" s="12" t="s">
        <v>938</v>
      </c>
      <c r="AG610" s="12" t="s">
        <v>114</v>
      </c>
      <c r="AH610" s="12" t="s">
        <v>1038</v>
      </c>
      <c r="AJ610" s="14">
        <v>87107</v>
      </c>
      <c r="AK610" s="14" t="s">
        <v>905</v>
      </c>
    </row>
    <row r="611" spans="6:37">
      <c r="F611" s="45" t="s">
        <v>483</v>
      </c>
      <c r="G611" s="12" t="s">
        <v>117</v>
      </c>
      <c r="H611" s="3"/>
      <c r="R611" s="14">
        <v>10867</v>
      </c>
      <c r="S611" s="14" t="s">
        <v>428</v>
      </c>
      <c r="T611" s="12" t="s">
        <v>150</v>
      </c>
      <c r="U611" s="15" t="str">
        <f t="shared" si="19"/>
        <v>Clarien Bank-Backoff and Fin - CCS</v>
      </c>
      <c r="V611" s="12" t="s">
        <v>126</v>
      </c>
      <c r="W611" s="12" t="s">
        <v>980</v>
      </c>
      <c r="X611" s="12" t="s">
        <v>981</v>
      </c>
      <c r="Y611" s="12" t="s">
        <v>1038</v>
      </c>
      <c r="AA611" s="14">
        <v>93802</v>
      </c>
      <c r="AB611" s="14" t="s">
        <v>949</v>
      </c>
      <c r="AC611" s="12" t="s">
        <v>145</v>
      </c>
      <c r="AD611" s="15" t="str">
        <f t="shared" si="20"/>
        <v>Solutioning - Pricing - SUP</v>
      </c>
      <c r="AE611" s="12" t="s">
        <v>118</v>
      </c>
      <c r="AF611" s="12" t="s">
        <v>938</v>
      </c>
      <c r="AG611" s="12" t="s">
        <v>114</v>
      </c>
      <c r="AH611" s="12" t="s">
        <v>1038</v>
      </c>
      <c r="AJ611" s="14">
        <v>88010</v>
      </c>
      <c r="AK611" s="14" t="s">
        <v>906</v>
      </c>
    </row>
    <row r="612" spans="6:37">
      <c r="F612" s="12">
        <v>10487</v>
      </c>
      <c r="G612" s="12" t="s">
        <v>184</v>
      </c>
      <c r="R612" s="14">
        <v>10867</v>
      </c>
      <c r="S612" s="14" t="s">
        <v>428</v>
      </c>
      <c r="T612" s="12" t="s">
        <v>306</v>
      </c>
      <c r="U612" s="15" t="str">
        <f t="shared" si="19"/>
        <v>Clarien Bank-Backoff and Fin - FAO</v>
      </c>
      <c r="V612" s="12" t="s">
        <v>126</v>
      </c>
      <c r="W612" s="12" t="s">
        <v>980</v>
      </c>
      <c r="X612" s="12" t="s">
        <v>981</v>
      </c>
      <c r="Y612" s="12" t="s">
        <v>1038</v>
      </c>
      <c r="AA612" s="14">
        <v>93803</v>
      </c>
      <c r="AB612" s="14" t="s">
        <v>951</v>
      </c>
      <c r="AC612" s="12" t="s">
        <v>835</v>
      </c>
      <c r="AD612" s="15" t="str">
        <f t="shared" si="20"/>
        <v>Solutioning - TnT - BTG</v>
      </c>
      <c r="AE612" s="12" t="s">
        <v>118</v>
      </c>
      <c r="AF612" s="12" t="s">
        <v>938</v>
      </c>
      <c r="AG612" s="12" t="s">
        <v>114</v>
      </c>
      <c r="AH612" s="12" t="s">
        <v>1038</v>
      </c>
      <c r="AJ612" s="14">
        <v>88025</v>
      </c>
      <c r="AK612" s="14" t="s">
        <v>907</v>
      </c>
    </row>
    <row r="613" spans="6:37">
      <c r="F613" s="12">
        <v>10506</v>
      </c>
      <c r="G613" s="12" t="s">
        <v>184</v>
      </c>
      <c r="R613" s="14">
        <v>95240</v>
      </c>
      <c r="S613" s="14" t="s">
        <v>365</v>
      </c>
      <c r="T613" s="12" t="s">
        <v>262</v>
      </c>
      <c r="U613" s="15" t="str">
        <f t="shared" si="19"/>
        <v>CLM Applications - GSI - GSI</v>
      </c>
      <c r="V613" s="12" t="s">
        <v>104</v>
      </c>
      <c r="W613" s="12" t="s">
        <v>263</v>
      </c>
      <c r="X613" s="12" t="s">
        <v>264</v>
      </c>
      <c r="Y613" s="12" t="s">
        <v>1038</v>
      </c>
      <c r="AA613" s="14">
        <v>93803</v>
      </c>
      <c r="AB613" s="14" t="s">
        <v>951</v>
      </c>
      <c r="AC613" s="12" t="s">
        <v>145</v>
      </c>
      <c r="AD613" s="15" t="str">
        <f t="shared" si="20"/>
        <v>Solutioning - TnT - SUP</v>
      </c>
      <c r="AE613" s="12" t="s">
        <v>118</v>
      </c>
      <c r="AF613" s="12" t="s">
        <v>938</v>
      </c>
      <c r="AG613" s="12" t="s">
        <v>114</v>
      </c>
      <c r="AH613" s="12" t="s">
        <v>1038</v>
      </c>
      <c r="AJ613" s="14">
        <v>88029</v>
      </c>
      <c r="AK613" s="14" t="s">
        <v>910</v>
      </c>
    </row>
    <row r="614" spans="6:37">
      <c r="F614" s="12">
        <v>10507</v>
      </c>
      <c r="G614" s="12" t="s">
        <v>184</v>
      </c>
      <c r="R614" s="14">
        <v>95240</v>
      </c>
      <c r="S614" s="14" t="s">
        <v>365</v>
      </c>
      <c r="T614" s="12" t="s">
        <v>129</v>
      </c>
      <c r="U614" s="15" t="str">
        <f t="shared" si="19"/>
        <v>CLM Applications - GSI - MGT</v>
      </c>
      <c r="V614" s="12" t="s">
        <v>104</v>
      </c>
      <c r="W614" s="12" t="s">
        <v>263</v>
      </c>
      <c r="X614" s="12" t="s">
        <v>264</v>
      </c>
      <c r="Y614" s="12" t="s">
        <v>1038</v>
      </c>
      <c r="AA614" s="14">
        <v>93899</v>
      </c>
      <c r="AB614" s="14" t="s">
        <v>952</v>
      </c>
      <c r="AC614" s="12" t="s">
        <v>352</v>
      </c>
      <c r="AD614" s="15" t="str">
        <f t="shared" si="20"/>
        <v>Solutioning Common - EAT</v>
      </c>
      <c r="AE614" s="12" t="s">
        <v>118</v>
      </c>
      <c r="AF614" s="12" t="s">
        <v>938</v>
      </c>
      <c r="AG614" s="12" t="s">
        <v>114</v>
      </c>
      <c r="AH614" s="12" t="s">
        <v>1038</v>
      </c>
      <c r="AJ614" s="14">
        <v>88034</v>
      </c>
      <c r="AK614" s="14" t="s">
        <v>911</v>
      </c>
    </row>
    <row r="615" spans="6:37">
      <c r="F615" s="12">
        <v>10508</v>
      </c>
      <c r="G615" s="12" t="s">
        <v>184</v>
      </c>
      <c r="R615" s="14">
        <v>95240</v>
      </c>
      <c r="S615" s="14" t="s">
        <v>365</v>
      </c>
      <c r="T615" s="12" t="s">
        <v>145</v>
      </c>
      <c r="U615" s="15" t="str">
        <f t="shared" si="19"/>
        <v>CLM Applications - GSI - SUP</v>
      </c>
      <c r="V615" s="12" t="s">
        <v>104</v>
      </c>
      <c r="W615" s="12" t="s">
        <v>263</v>
      </c>
      <c r="X615" s="12" t="s">
        <v>264</v>
      </c>
      <c r="Y615" s="12" t="s">
        <v>1038</v>
      </c>
      <c r="AA615" s="14">
        <v>93899</v>
      </c>
      <c r="AB615" s="14" t="s">
        <v>952</v>
      </c>
      <c r="AC615" s="12" t="s">
        <v>145</v>
      </c>
      <c r="AD615" s="15" t="str">
        <f t="shared" si="20"/>
        <v>Solutioning Common - SUP</v>
      </c>
      <c r="AE615" s="12" t="s">
        <v>118</v>
      </c>
      <c r="AF615" s="12" t="s">
        <v>938</v>
      </c>
      <c r="AG615" s="12" t="s">
        <v>114</v>
      </c>
      <c r="AH615" s="12" t="s">
        <v>1038</v>
      </c>
      <c r="AJ615" s="14">
        <v>88046</v>
      </c>
      <c r="AK615" s="14" t="s">
        <v>318</v>
      </c>
    </row>
    <row r="616" spans="6:37">
      <c r="F616" s="12">
        <v>10518</v>
      </c>
      <c r="G616" s="12" t="s">
        <v>184</v>
      </c>
      <c r="R616" s="14">
        <v>95510</v>
      </c>
      <c r="S616" s="14" t="s">
        <v>1002</v>
      </c>
      <c r="T616" s="12" t="s">
        <v>145</v>
      </c>
      <c r="U616" s="15" t="str">
        <f t="shared" si="19"/>
        <v>CloudSource RIM - SUP</v>
      </c>
      <c r="V616" s="12" t="s">
        <v>104</v>
      </c>
      <c r="W616" s="12" t="s">
        <v>263</v>
      </c>
      <c r="X616" s="12" t="s">
        <v>264</v>
      </c>
      <c r="Y616" s="12" t="s">
        <v>1038</v>
      </c>
      <c r="AA616" s="14">
        <v>10947</v>
      </c>
      <c r="AB616" s="14" t="s">
        <v>485</v>
      </c>
      <c r="AC616" s="12" t="s">
        <v>116</v>
      </c>
      <c r="AD616" s="15" t="str">
        <f t="shared" si="20"/>
        <v>Spotify DES Cust Cost JC - PRD</v>
      </c>
      <c r="AE616" s="12" t="s">
        <v>117</v>
      </c>
      <c r="AF616" s="12" t="s">
        <v>117</v>
      </c>
      <c r="AG616" s="12" t="s">
        <v>117</v>
      </c>
      <c r="AH616" s="12" t="s">
        <v>1038</v>
      </c>
      <c r="AJ616" s="14">
        <v>88117</v>
      </c>
      <c r="AK616" s="14" t="s">
        <v>868</v>
      </c>
    </row>
    <row r="617" spans="6:37">
      <c r="F617" s="12">
        <v>10713</v>
      </c>
      <c r="G617" s="12" t="s">
        <v>184</v>
      </c>
      <c r="R617" s="14">
        <v>51083</v>
      </c>
      <c r="S617" s="14" t="s">
        <v>699</v>
      </c>
      <c r="T617" s="12" t="s">
        <v>193</v>
      </c>
      <c r="U617" s="15" t="str">
        <f t="shared" si="19"/>
        <v>Cloudtestr-DPW - DEV</v>
      </c>
      <c r="V617" s="12" t="s">
        <v>117</v>
      </c>
      <c r="W617" s="12" t="s">
        <v>117</v>
      </c>
      <c r="X617" s="12" t="s">
        <v>117</v>
      </c>
      <c r="Y617" s="12" t="s">
        <v>1038</v>
      </c>
      <c r="AA617" s="14">
        <v>86223</v>
      </c>
      <c r="AB617" s="14" t="s">
        <v>891</v>
      </c>
      <c r="AC617" s="12" t="s">
        <v>129</v>
      </c>
      <c r="AD617" s="15" t="str">
        <f t="shared" si="20"/>
        <v>SQMS - PH Quality - MGT</v>
      </c>
      <c r="AE617" s="12" t="s">
        <v>148</v>
      </c>
      <c r="AF617" s="12" t="s">
        <v>113</v>
      </c>
      <c r="AG617" s="12" t="s">
        <v>114</v>
      </c>
      <c r="AH617" s="12" t="s">
        <v>1038</v>
      </c>
      <c r="AJ617" s="14">
        <v>88122</v>
      </c>
      <c r="AK617" s="14" t="s">
        <v>893</v>
      </c>
    </row>
    <row r="618" spans="6:37">
      <c r="F618" s="12">
        <v>10714</v>
      </c>
      <c r="G618" s="12" t="s">
        <v>184</v>
      </c>
      <c r="H618" s="3"/>
      <c r="R618" s="14">
        <v>97305</v>
      </c>
      <c r="S618" s="14" t="s">
        <v>369</v>
      </c>
      <c r="T618" s="12" t="s">
        <v>129</v>
      </c>
      <c r="U618" s="15" t="str">
        <f t="shared" si="19"/>
        <v>CLS – ISD &amp; eLearning - MGT</v>
      </c>
      <c r="V618" s="12" t="s">
        <v>104</v>
      </c>
      <c r="W618" s="12" t="s">
        <v>204</v>
      </c>
      <c r="X618" s="12" t="s">
        <v>205</v>
      </c>
      <c r="Y618" s="12" t="s">
        <v>1038</v>
      </c>
      <c r="AA618" s="14">
        <v>86223</v>
      </c>
      <c r="AB618" s="14" t="s">
        <v>891</v>
      </c>
      <c r="AC618" s="12" t="s">
        <v>111</v>
      </c>
      <c r="AD618" s="15" t="str">
        <f t="shared" si="20"/>
        <v>SQMS - PH Quality - QLY</v>
      </c>
      <c r="AE618" s="12" t="s">
        <v>148</v>
      </c>
      <c r="AF618" s="12" t="s">
        <v>113</v>
      </c>
      <c r="AG618" s="12" t="s">
        <v>114</v>
      </c>
      <c r="AH618" s="12" t="s">
        <v>1038</v>
      </c>
      <c r="AJ618" s="14">
        <v>88129</v>
      </c>
      <c r="AK618" s="14" t="s">
        <v>874</v>
      </c>
    </row>
    <row r="619" spans="6:37">
      <c r="F619" s="12">
        <v>10715</v>
      </c>
      <c r="G619" s="12" t="s">
        <v>184</v>
      </c>
      <c r="R619" s="14">
        <v>97305</v>
      </c>
      <c r="S619" s="14" t="s">
        <v>369</v>
      </c>
      <c r="T619" s="12" t="s">
        <v>139</v>
      </c>
      <c r="U619" s="15" t="str">
        <f t="shared" si="19"/>
        <v>CLS – ISD &amp; eLearning - SMGT</v>
      </c>
      <c r="V619" s="12" t="s">
        <v>104</v>
      </c>
      <c r="W619" s="12" t="s">
        <v>204</v>
      </c>
      <c r="X619" s="12" t="s">
        <v>205</v>
      </c>
      <c r="Y619" s="12" t="s">
        <v>1038</v>
      </c>
      <c r="AA619" s="14">
        <v>86223</v>
      </c>
      <c r="AB619" s="14" t="s">
        <v>891</v>
      </c>
      <c r="AC619" s="12" t="s">
        <v>145</v>
      </c>
      <c r="AD619" s="15" t="str">
        <f t="shared" si="20"/>
        <v>SQMS - PH Quality - SUP</v>
      </c>
      <c r="AE619" s="12" t="s">
        <v>148</v>
      </c>
      <c r="AF619" s="12" t="s">
        <v>113</v>
      </c>
      <c r="AG619" s="12" t="s">
        <v>114</v>
      </c>
      <c r="AH619" s="12" t="s">
        <v>1038</v>
      </c>
      <c r="AJ619" s="14">
        <v>88130</v>
      </c>
      <c r="AK619" s="14" t="s">
        <v>855</v>
      </c>
    </row>
    <row r="620" spans="6:37">
      <c r="F620" s="12">
        <v>10716</v>
      </c>
      <c r="G620" s="12" t="s">
        <v>184</v>
      </c>
      <c r="R620" s="14">
        <v>97305</v>
      </c>
      <c r="S620" s="14" t="s">
        <v>369</v>
      </c>
      <c r="T620" s="12" t="s">
        <v>145</v>
      </c>
      <c r="U620" s="15" t="str">
        <f t="shared" si="19"/>
        <v>CLS – ISD &amp; eLearning - SUP</v>
      </c>
      <c r="V620" s="12" t="s">
        <v>104</v>
      </c>
      <c r="W620" s="12" t="s">
        <v>204</v>
      </c>
      <c r="X620" s="12" t="s">
        <v>205</v>
      </c>
      <c r="Y620" s="12" t="s">
        <v>1038</v>
      </c>
      <c r="AA620" s="14">
        <v>86224</v>
      </c>
      <c r="AB620" s="14" t="s">
        <v>892</v>
      </c>
      <c r="AC620" s="12" t="s">
        <v>129</v>
      </c>
      <c r="AD620" s="15" t="str">
        <f t="shared" si="20"/>
        <v>SQMS - PP Quality - MGT</v>
      </c>
      <c r="AE620" s="12" t="s">
        <v>154</v>
      </c>
      <c r="AF620" s="12" t="s">
        <v>113</v>
      </c>
      <c r="AG620" s="12" t="s">
        <v>114</v>
      </c>
      <c r="AH620" s="12" t="s">
        <v>1038</v>
      </c>
      <c r="AJ620" s="14">
        <v>88131</v>
      </c>
      <c r="AK620" s="14" t="s">
        <v>851</v>
      </c>
    </row>
    <row r="621" spans="6:37">
      <c r="F621" s="12">
        <v>10730</v>
      </c>
      <c r="G621" s="12" t="s">
        <v>184</v>
      </c>
      <c r="R621" s="14">
        <v>97305</v>
      </c>
      <c r="S621" s="14" t="s">
        <v>369</v>
      </c>
      <c r="T621" s="12" t="s">
        <v>203</v>
      </c>
      <c r="U621" s="15" t="str">
        <f t="shared" si="19"/>
        <v>CLS – ISD &amp; eLearning - TRG</v>
      </c>
      <c r="V621" s="12" t="s">
        <v>104</v>
      </c>
      <c r="W621" s="12" t="s">
        <v>204</v>
      </c>
      <c r="X621" s="12" t="s">
        <v>205</v>
      </c>
      <c r="Y621" s="12" t="s">
        <v>1038</v>
      </c>
      <c r="AA621" s="14">
        <v>86224</v>
      </c>
      <c r="AB621" s="14" t="s">
        <v>892</v>
      </c>
      <c r="AC621" s="12" t="s">
        <v>111</v>
      </c>
      <c r="AD621" s="15" t="str">
        <f t="shared" si="20"/>
        <v>SQMS - PP Quality - QLY</v>
      </c>
      <c r="AE621" s="12" t="s">
        <v>154</v>
      </c>
      <c r="AF621" s="12" t="s">
        <v>113</v>
      </c>
      <c r="AG621" s="12" t="s">
        <v>114</v>
      </c>
      <c r="AH621" s="12" t="s">
        <v>1038</v>
      </c>
      <c r="AJ621" s="14">
        <v>88136</v>
      </c>
      <c r="AK621" s="14" t="s">
        <v>887</v>
      </c>
    </row>
    <row r="622" spans="6:37">
      <c r="F622" s="12">
        <v>25008</v>
      </c>
      <c r="G622" s="12" t="s">
        <v>184</v>
      </c>
      <c r="R622" s="14">
        <v>12048</v>
      </c>
      <c r="S622" s="14" t="s">
        <v>374</v>
      </c>
      <c r="T622" s="12" t="s">
        <v>177</v>
      </c>
      <c r="U622" s="15" t="str">
        <f t="shared" si="19"/>
        <v>Columbia - CUFPO - OPS</v>
      </c>
      <c r="V622" s="12" t="s">
        <v>126</v>
      </c>
      <c r="W622" s="12" t="s">
        <v>163</v>
      </c>
      <c r="X622" s="12" t="s">
        <v>164</v>
      </c>
      <c r="Y622" s="12" t="s">
        <v>1038</v>
      </c>
      <c r="AA622" s="14">
        <v>86224</v>
      </c>
      <c r="AB622" s="14" t="s">
        <v>892</v>
      </c>
      <c r="AC622" s="12" t="s">
        <v>119</v>
      </c>
      <c r="AD622" s="15" t="str">
        <f t="shared" si="20"/>
        <v>SQMS - PP Quality - SQM</v>
      </c>
      <c r="AE622" s="12" t="s">
        <v>154</v>
      </c>
      <c r="AF622" s="12" t="s">
        <v>113</v>
      </c>
      <c r="AG622" s="12" t="s">
        <v>114</v>
      </c>
      <c r="AH622" s="12" t="s">
        <v>1038</v>
      </c>
      <c r="AJ622" s="14">
        <v>88145</v>
      </c>
      <c r="AK622" s="14" t="s">
        <v>474</v>
      </c>
    </row>
    <row r="623" spans="6:37">
      <c r="F623" s="12">
        <v>40096</v>
      </c>
      <c r="G623" s="12" t="s">
        <v>184</v>
      </c>
      <c r="R623" s="14">
        <v>12048</v>
      </c>
      <c r="S623" s="14" t="s">
        <v>374</v>
      </c>
      <c r="T623" s="12" t="s">
        <v>116</v>
      </c>
      <c r="U623" s="15" t="str">
        <f t="shared" si="19"/>
        <v>Columbia - CUFPO - PRD</v>
      </c>
      <c r="V623" s="12" t="s">
        <v>126</v>
      </c>
      <c r="W623" s="12" t="s">
        <v>163</v>
      </c>
      <c r="X623" s="12" t="s">
        <v>164</v>
      </c>
      <c r="Y623" s="12" t="s">
        <v>1038</v>
      </c>
      <c r="AA623" s="14">
        <v>86224</v>
      </c>
      <c r="AB623" s="14" t="s">
        <v>892</v>
      </c>
      <c r="AC623" s="12" t="s">
        <v>145</v>
      </c>
      <c r="AD623" s="15" t="str">
        <f t="shared" si="20"/>
        <v>SQMS - PP Quality - SUP</v>
      </c>
      <c r="AE623" s="12" t="s">
        <v>154</v>
      </c>
      <c r="AF623" s="12" t="s">
        <v>113</v>
      </c>
      <c r="AG623" s="12" t="s">
        <v>114</v>
      </c>
      <c r="AH623" s="12" t="s">
        <v>1038</v>
      </c>
      <c r="AJ623" s="14">
        <v>88146</v>
      </c>
      <c r="AK623" s="14" t="s">
        <v>206</v>
      </c>
    </row>
    <row r="624" spans="6:37">
      <c r="F624" s="12">
        <v>40097</v>
      </c>
      <c r="G624" s="12" t="s">
        <v>184</v>
      </c>
      <c r="R624" s="14">
        <v>12048</v>
      </c>
      <c r="S624" s="14" t="s">
        <v>374</v>
      </c>
      <c r="T624" s="12" t="s">
        <v>185</v>
      </c>
      <c r="U624" s="15" t="str">
        <f t="shared" si="19"/>
        <v>Columbia - CUFPO - TPS</v>
      </c>
      <c r="V624" s="12" t="s">
        <v>126</v>
      </c>
      <c r="W624" s="12" t="s">
        <v>163</v>
      </c>
      <c r="X624" s="12" t="s">
        <v>164</v>
      </c>
      <c r="Y624" s="12" t="s">
        <v>1038</v>
      </c>
      <c r="AA624" s="35">
        <v>86227</v>
      </c>
      <c r="AB624" s="14" t="s">
        <v>1097</v>
      </c>
      <c r="AC624" s="12" t="s">
        <v>185</v>
      </c>
      <c r="AD624" s="15" t="str">
        <f t="shared" si="20"/>
        <v>SQMS - PP Quality Coding - TPS</v>
      </c>
      <c r="AE624" s="12" t="s">
        <v>159</v>
      </c>
      <c r="AF624" s="12" t="s">
        <v>237</v>
      </c>
      <c r="AG624" s="12" t="s">
        <v>238</v>
      </c>
      <c r="AH624" s="12" t="s">
        <v>1038</v>
      </c>
      <c r="AJ624" s="14">
        <v>88156</v>
      </c>
      <c r="AK624" s="14" t="s">
        <v>312</v>
      </c>
    </row>
    <row r="625" spans="6:37">
      <c r="F625" s="12">
        <v>40224</v>
      </c>
      <c r="G625" s="12" t="s">
        <v>184</v>
      </c>
      <c r="R625" s="14">
        <v>12054</v>
      </c>
      <c r="S625" s="14" t="s">
        <v>378</v>
      </c>
      <c r="T625" s="12" t="s">
        <v>224</v>
      </c>
      <c r="U625" s="15" t="str">
        <f t="shared" si="19"/>
        <v>Columbia – Radiology - FBO - ACM</v>
      </c>
      <c r="V625" s="12" t="s">
        <v>126</v>
      </c>
      <c r="W625" s="12" t="s">
        <v>163</v>
      </c>
      <c r="X625" s="12" t="s">
        <v>164</v>
      </c>
      <c r="Y625" s="12" t="s">
        <v>1038</v>
      </c>
      <c r="AA625" s="14">
        <v>86225</v>
      </c>
      <c r="AB625" s="14" t="s">
        <v>894</v>
      </c>
      <c r="AC625" s="12" t="s">
        <v>129</v>
      </c>
      <c r="AD625" s="15" t="str">
        <f t="shared" si="20"/>
        <v>SQMS - PY Quality BLM - MGT</v>
      </c>
      <c r="AE625" s="12" t="s">
        <v>141</v>
      </c>
      <c r="AF625" s="12" t="s">
        <v>113</v>
      </c>
      <c r="AG625" s="12" t="s">
        <v>114</v>
      </c>
      <c r="AH625" s="12" t="s">
        <v>1038</v>
      </c>
      <c r="AJ625" s="14">
        <v>88157</v>
      </c>
      <c r="AK625" s="14" t="s">
        <v>1055</v>
      </c>
    </row>
    <row r="626" spans="6:37">
      <c r="F626" s="12">
        <v>40225</v>
      </c>
      <c r="G626" s="12" t="s">
        <v>184</v>
      </c>
      <c r="R626" s="14">
        <v>12054</v>
      </c>
      <c r="S626" s="14" t="s">
        <v>378</v>
      </c>
      <c r="T626" s="12" t="s">
        <v>177</v>
      </c>
      <c r="U626" s="15" t="str">
        <f t="shared" si="19"/>
        <v>Columbia – Radiology - FBO - OPS</v>
      </c>
      <c r="V626" s="12" t="s">
        <v>126</v>
      </c>
      <c r="W626" s="12" t="s">
        <v>163</v>
      </c>
      <c r="X626" s="12" t="s">
        <v>164</v>
      </c>
      <c r="Y626" s="12" t="s">
        <v>1038</v>
      </c>
      <c r="AA626" s="14">
        <v>86225</v>
      </c>
      <c r="AB626" s="14" t="s">
        <v>894</v>
      </c>
      <c r="AC626" s="12" t="s">
        <v>116</v>
      </c>
      <c r="AD626" s="15" t="str">
        <f t="shared" si="20"/>
        <v>SQMS - PY Quality BLM - PRD</v>
      </c>
      <c r="AE626" s="12" t="s">
        <v>141</v>
      </c>
      <c r="AF626" s="12" t="s">
        <v>113</v>
      </c>
      <c r="AG626" s="12" t="s">
        <v>114</v>
      </c>
      <c r="AH626" s="12" t="s">
        <v>1038</v>
      </c>
      <c r="AJ626" s="14">
        <v>88250</v>
      </c>
      <c r="AK626" s="14" t="s">
        <v>916</v>
      </c>
    </row>
    <row r="627" spans="6:37">
      <c r="F627" s="12">
        <v>88025</v>
      </c>
      <c r="G627" s="12" t="s">
        <v>184</v>
      </c>
      <c r="R627" s="14">
        <v>12054</v>
      </c>
      <c r="S627" s="14" t="s">
        <v>378</v>
      </c>
      <c r="T627" s="12" t="s">
        <v>116</v>
      </c>
      <c r="U627" s="15" t="str">
        <f t="shared" si="19"/>
        <v>Columbia – Radiology - FBO - PRD</v>
      </c>
      <c r="V627" s="12" t="s">
        <v>126</v>
      </c>
      <c r="W627" s="12" t="s">
        <v>163</v>
      </c>
      <c r="X627" s="12" t="s">
        <v>164</v>
      </c>
      <c r="Y627" s="12" t="s">
        <v>1038</v>
      </c>
      <c r="AA627" s="14">
        <v>86225</v>
      </c>
      <c r="AB627" s="14" t="s">
        <v>894</v>
      </c>
      <c r="AC627" s="12" t="s">
        <v>111</v>
      </c>
      <c r="AD627" s="15" t="str">
        <f t="shared" si="20"/>
        <v>SQMS - PY Quality BLM - QLY</v>
      </c>
      <c r="AE627" s="12" t="s">
        <v>141</v>
      </c>
      <c r="AF627" s="12" t="s">
        <v>113</v>
      </c>
      <c r="AG627" s="12" t="s">
        <v>114</v>
      </c>
      <c r="AH627" s="12" t="s">
        <v>1038</v>
      </c>
      <c r="AJ627" s="14">
        <v>89001</v>
      </c>
      <c r="AK627" s="14" t="s">
        <v>468</v>
      </c>
    </row>
    <row r="628" spans="6:37">
      <c r="F628" s="12">
        <v>93005</v>
      </c>
      <c r="G628" s="12" t="s">
        <v>184</v>
      </c>
      <c r="R628" s="14">
        <v>12054</v>
      </c>
      <c r="S628" s="14" t="s">
        <v>378</v>
      </c>
      <c r="T628" s="12" t="s">
        <v>111</v>
      </c>
      <c r="U628" s="15" t="str">
        <f t="shared" si="19"/>
        <v>Columbia – Radiology - FBO - QLY</v>
      </c>
      <c r="V628" s="12" t="s">
        <v>112</v>
      </c>
      <c r="W628" s="12" t="s">
        <v>113</v>
      </c>
      <c r="X628" s="12" t="s">
        <v>114</v>
      </c>
      <c r="Y628" s="12" t="s">
        <v>1038</v>
      </c>
      <c r="AA628" s="14">
        <v>86225</v>
      </c>
      <c r="AB628" s="14" t="s">
        <v>894</v>
      </c>
      <c r="AC628" s="12" t="s">
        <v>145</v>
      </c>
      <c r="AD628" s="15" t="str">
        <f t="shared" si="20"/>
        <v>SQMS - PY Quality BLM - SUP</v>
      </c>
      <c r="AE628" s="12" t="s">
        <v>141</v>
      </c>
      <c r="AF628" s="12" t="s">
        <v>113</v>
      </c>
      <c r="AG628" s="12" t="s">
        <v>114</v>
      </c>
      <c r="AH628" s="12" t="s">
        <v>1038</v>
      </c>
      <c r="AJ628" s="14">
        <v>89002</v>
      </c>
      <c r="AK628" s="14" t="s">
        <v>471</v>
      </c>
    </row>
    <row r="629" spans="6:37">
      <c r="F629" s="12">
        <v>93032</v>
      </c>
      <c r="G629" s="12" t="s">
        <v>184</v>
      </c>
      <c r="R629" s="14">
        <v>12054</v>
      </c>
      <c r="S629" s="14" t="s">
        <v>378</v>
      </c>
      <c r="T629" s="12" t="s">
        <v>185</v>
      </c>
      <c r="U629" s="15" t="str">
        <f t="shared" si="19"/>
        <v>Columbia – Radiology - FBO - TPS</v>
      </c>
      <c r="V629" s="12" t="s">
        <v>126</v>
      </c>
      <c r="W629" s="12" t="s">
        <v>163</v>
      </c>
      <c r="X629" s="12" t="s">
        <v>164</v>
      </c>
      <c r="Y629" s="12" t="s">
        <v>1038</v>
      </c>
      <c r="AA629" s="14">
        <v>86225</v>
      </c>
      <c r="AB629" s="14" t="s">
        <v>894</v>
      </c>
      <c r="AC629" s="12" t="s">
        <v>180</v>
      </c>
      <c r="AD629" s="15" t="str">
        <f t="shared" si="20"/>
        <v>SQMS - PY Quality BLM - TMG</v>
      </c>
      <c r="AE629" s="12" t="s">
        <v>141</v>
      </c>
      <c r="AF629" s="12" t="s">
        <v>113</v>
      </c>
      <c r="AG629" s="12" t="s">
        <v>114</v>
      </c>
      <c r="AH629" s="12" t="s">
        <v>1038</v>
      </c>
      <c r="AJ629" s="14">
        <v>89003</v>
      </c>
      <c r="AK629" s="14" t="s">
        <v>496</v>
      </c>
    </row>
    <row r="630" spans="6:37">
      <c r="F630" s="12">
        <v>93601</v>
      </c>
      <c r="G630" s="12" t="s">
        <v>184</v>
      </c>
      <c r="R630" s="14">
        <v>96201</v>
      </c>
      <c r="S630" s="14" t="s">
        <v>384</v>
      </c>
      <c r="T630" s="12" t="s">
        <v>145</v>
      </c>
      <c r="U630" s="15" t="str">
        <f t="shared" si="19"/>
        <v>Compliance - Ethics - SUP</v>
      </c>
      <c r="V630" s="12" t="s">
        <v>104</v>
      </c>
      <c r="W630" s="12" t="s">
        <v>385</v>
      </c>
      <c r="X630" s="12" t="s">
        <v>114</v>
      </c>
      <c r="Y630" s="12" t="s">
        <v>1038</v>
      </c>
      <c r="AA630" s="14">
        <v>86225</v>
      </c>
      <c r="AB630" s="14" t="s">
        <v>894</v>
      </c>
      <c r="AC630" s="12" t="s">
        <v>185</v>
      </c>
      <c r="AD630" s="15" t="str">
        <f t="shared" si="20"/>
        <v>SQMS - PY Quality BLM - TPS</v>
      </c>
      <c r="AE630" s="12" t="s">
        <v>141</v>
      </c>
      <c r="AF630" s="12" t="s">
        <v>113</v>
      </c>
      <c r="AG630" s="12" t="s">
        <v>114</v>
      </c>
      <c r="AH630" s="12" t="s">
        <v>1038</v>
      </c>
      <c r="AJ630" s="14">
        <v>89004</v>
      </c>
      <c r="AK630" s="14" t="s">
        <v>496</v>
      </c>
    </row>
    <row r="631" spans="6:37">
      <c r="R631" s="14">
        <v>90402</v>
      </c>
      <c r="S631" s="14" t="s">
        <v>387</v>
      </c>
      <c r="T631" s="12" t="s">
        <v>145</v>
      </c>
      <c r="U631" s="15" t="str">
        <f t="shared" si="19"/>
        <v>Compliance - Risk Management - SUP</v>
      </c>
      <c r="V631" s="12" t="s">
        <v>104</v>
      </c>
      <c r="W631" s="12" t="s">
        <v>385</v>
      </c>
      <c r="X631" s="12" t="s">
        <v>114</v>
      </c>
      <c r="Y631" s="12" t="s">
        <v>1038</v>
      </c>
      <c r="AA631" s="14">
        <v>86226</v>
      </c>
      <c r="AB631" s="14" t="s">
        <v>895</v>
      </c>
      <c r="AC631" s="12" t="s">
        <v>129</v>
      </c>
      <c r="AD631" s="15" t="str">
        <f t="shared" si="20"/>
        <v>SQMS - PY Quality CLM - MGT</v>
      </c>
      <c r="AE631" s="12" t="s">
        <v>141</v>
      </c>
      <c r="AF631" s="12" t="s">
        <v>113</v>
      </c>
      <c r="AG631" s="12" t="s">
        <v>114</v>
      </c>
      <c r="AH631" s="12" t="s">
        <v>1038</v>
      </c>
      <c r="AJ631" s="14">
        <v>89005</v>
      </c>
      <c r="AK631" s="14" t="s">
        <v>496</v>
      </c>
    </row>
    <row r="632" spans="6:37">
      <c r="R632" s="14">
        <v>12057</v>
      </c>
      <c r="S632" s="14" t="s">
        <v>389</v>
      </c>
      <c r="T632" s="12" t="s">
        <v>145</v>
      </c>
      <c r="U632" s="15" t="str">
        <f t="shared" si="19"/>
        <v>Compu Bill Inc - SUP</v>
      </c>
      <c r="V632" s="12" t="s">
        <v>126</v>
      </c>
      <c r="W632" s="12" t="s">
        <v>163</v>
      </c>
      <c r="X632" s="12" t="s">
        <v>164</v>
      </c>
      <c r="Y632" s="12" t="s">
        <v>1038</v>
      </c>
      <c r="AA632" s="14">
        <v>86226</v>
      </c>
      <c r="AB632" s="14" t="s">
        <v>895</v>
      </c>
      <c r="AC632" s="12" t="s">
        <v>116</v>
      </c>
      <c r="AD632" s="15" t="str">
        <f t="shared" si="20"/>
        <v>SQMS - PY Quality CLM - PRD</v>
      </c>
      <c r="AE632" s="12" t="s">
        <v>141</v>
      </c>
      <c r="AF632" s="12" t="s">
        <v>113</v>
      </c>
      <c r="AG632" s="12" t="s">
        <v>114</v>
      </c>
      <c r="AH632" s="12" t="s">
        <v>1038</v>
      </c>
      <c r="AJ632" s="14">
        <v>89006</v>
      </c>
      <c r="AK632" s="14" t="s">
        <v>496</v>
      </c>
    </row>
    <row r="633" spans="6:37">
      <c r="R633" s="14">
        <v>12057</v>
      </c>
      <c r="S633" s="14" t="s">
        <v>389</v>
      </c>
      <c r="T633" s="12" t="s">
        <v>185</v>
      </c>
      <c r="U633" s="15" t="str">
        <f t="shared" si="19"/>
        <v>Compu Bill Inc - TPS</v>
      </c>
      <c r="V633" s="12" t="s">
        <v>126</v>
      </c>
      <c r="W633" s="12" t="s">
        <v>163</v>
      </c>
      <c r="X633" s="12" t="s">
        <v>164</v>
      </c>
      <c r="Y633" s="12" t="s">
        <v>1038</v>
      </c>
      <c r="AA633" s="14">
        <v>86226</v>
      </c>
      <c r="AB633" s="14" t="s">
        <v>895</v>
      </c>
      <c r="AC633" s="12" t="s">
        <v>111</v>
      </c>
      <c r="AD633" s="15" t="str">
        <f t="shared" si="20"/>
        <v>SQMS - PY Quality CLM - QLY</v>
      </c>
      <c r="AE633" s="12" t="s">
        <v>141</v>
      </c>
      <c r="AF633" s="12" t="s">
        <v>113</v>
      </c>
      <c r="AG633" s="12" t="s">
        <v>114</v>
      </c>
      <c r="AH633" s="12" t="s">
        <v>1038</v>
      </c>
      <c r="AJ633" s="14">
        <v>89007</v>
      </c>
      <c r="AK633" s="14" t="s">
        <v>671</v>
      </c>
    </row>
    <row r="634" spans="6:37">
      <c r="R634" s="14">
        <v>12463</v>
      </c>
      <c r="S634" s="14" t="s">
        <v>394</v>
      </c>
      <c r="T634" s="12" t="s">
        <v>177</v>
      </c>
      <c r="U634" s="15" t="str">
        <f t="shared" si="19"/>
        <v>Connexin Software - FBO - OPS</v>
      </c>
      <c r="V634" s="12" t="s">
        <v>126</v>
      </c>
      <c r="W634" s="12" t="s">
        <v>163</v>
      </c>
      <c r="X634" s="12" t="s">
        <v>164</v>
      </c>
      <c r="Y634" s="12" t="s">
        <v>1038</v>
      </c>
      <c r="AA634" s="14">
        <v>86226</v>
      </c>
      <c r="AB634" s="14" t="s">
        <v>895</v>
      </c>
      <c r="AC634" s="12" t="s">
        <v>145</v>
      </c>
      <c r="AD634" s="15" t="str">
        <f t="shared" si="20"/>
        <v>SQMS - PY Quality CLM - SUP</v>
      </c>
      <c r="AE634" s="12" t="s">
        <v>141</v>
      </c>
      <c r="AF634" s="12" t="s">
        <v>113</v>
      </c>
      <c r="AG634" s="12" t="s">
        <v>114</v>
      </c>
      <c r="AH634" s="12" t="s">
        <v>1038</v>
      </c>
      <c r="AJ634" s="14">
        <v>89008</v>
      </c>
      <c r="AK634" s="14" t="s">
        <v>922</v>
      </c>
    </row>
    <row r="635" spans="6:37">
      <c r="R635" s="14">
        <v>12463</v>
      </c>
      <c r="S635" s="14" t="s">
        <v>394</v>
      </c>
      <c r="T635" s="12" t="s">
        <v>116</v>
      </c>
      <c r="U635" s="15" t="str">
        <f t="shared" si="19"/>
        <v>Connexin Software - FBO - PRD</v>
      </c>
      <c r="V635" s="12" t="s">
        <v>126</v>
      </c>
      <c r="W635" s="12" t="s">
        <v>163</v>
      </c>
      <c r="X635" s="12" t="s">
        <v>164</v>
      </c>
      <c r="Y635" s="12" t="s">
        <v>1038</v>
      </c>
      <c r="AA635" s="14">
        <v>86226</v>
      </c>
      <c r="AB635" s="14" t="s">
        <v>895</v>
      </c>
      <c r="AC635" s="12" t="s">
        <v>185</v>
      </c>
      <c r="AD635" s="15" t="str">
        <f t="shared" si="20"/>
        <v>SQMS - PY Quality CLM - TPS</v>
      </c>
      <c r="AE635" s="12" t="s">
        <v>141</v>
      </c>
      <c r="AF635" s="12" t="s">
        <v>113</v>
      </c>
      <c r="AG635" s="12" t="s">
        <v>114</v>
      </c>
      <c r="AH635" s="12" t="s">
        <v>1038</v>
      </c>
      <c r="AJ635" s="14">
        <v>89009</v>
      </c>
      <c r="AK635" s="14" t="s">
        <v>458</v>
      </c>
    </row>
    <row r="636" spans="6:37">
      <c r="R636" s="14">
        <v>12463</v>
      </c>
      <c r="S636" s="14" t="s">
        <v>394</v>
      </c>
      <c r="T636" s="12" t="s">
        <v>332</v>
      </c>
      <c r="U636" s="15" t="str">
        <f t="shared" si="19"/>
        <v>Connexin Software - FBO - RCF</v>
      </c>
      <c r="V636" s="12" t="s">
        <v>126</v>
      </c>
      <c r="W636" s="12" t="s">
        <v>163</v>
      </c>
      <c r="X636" s="12" t="s">
        <v>164</v>
      </c>
      <c r="Y636" s="12" t="s">
        <v>1038</v>
      </c>
      <c r="AA636" s="14">
        <v>86228</v>
      </c>
      <c r="AB636" s="14" t="s">
        <v>897</v>
      </c>
      <c r="AC636" s="12" t="s">
        <v>129</v>
      </c>
      <c r="AD636" s="15" t="str">
        <f t="shared" si="20"/>
        <v>SQMS – Quality (SHS) - MGT</v>
      </c>
      <c r="AE636" s="12" t="s">
        <v>118</v>
      </c>
      <c r="AF636" s="12" t="s">
        <v>113</v>
      </c>
      <c r="AG636" s="12" t="s">
        <v>114</v>
      </c>
      <c r="AH636" s="12" t="s">
        <v>1038</v>
      </c>
      <c r="AJ636" s="14">
        <v>89010</v>
      </c>
      <c r="AK636" s="14" t="s">
        <v>460</v>
      </c>
    </row>
    <row r="637" spans="6:37">
      <c r="R637" s="14">
        <v>12463</v>
      </c>
      <c r="S637" s="14" t="s">
        <v>394</v>
      </c>
      <c r="T637" s="12" t="s">
        <v>185</v>
      </c>
      <c r="U637" s="15" t="str">
        <f t="shared" si="19"/>
        <v>Connexin Software - FBO - TPS</v>
      </c>
      <c r="V637" s="12" t="s">
        <v>126</v>
      </c>
      <c r="W637" s="12" t="s">
        <v>163</v>
      </c>
      <c r="X637" s="12" t="s">
        <v>164</v>
      </c>
      <c r="Y637" s="12" t="s">
        <v>1038</v>
      </c>
      <c r="AA637" s="14">
        <v>86228</v>
      </c>
      <c r="AB637" s="14" t="s">
        <v>897</v>
      </c>
      <c r="AC637" s="12" t="s">
        <v>111</v>
      </c>
      <c r="AD637" s="15" t="str">
        <f t="shared" si="20"/>
        <v>SQMS – Quality (SHS) - QLY</v>
      </c>
      <c r="AE637" s="12" t="s">
        <v>118</v>
      </c>
      <c r="AF637" s="12" t="s">
        <v>113</v>
      </c>
      <c r="AG637" s="12" t="s">
        <v>114</v>
      </c>
      <c r="AH637" s="12" t="s">
        <v>1038</v>
      </c>
      <c r="AJ637" s="14">
        <v>89012</v>
      </c>
      <c r="AK637" s="14" t="s">
        <v>843</v>
      </c>
    </row>
    <row r="638" spans="6:37">
      <c r="R638" s="14">
        <v>82010</v>
      </c>
      <c r="S638" s="14" t="s">
        <v>866</v>
      </c>
      <c r="T638" s="12" t="s">
        <v>129</v>
      </c>
      <c r="U638" s="15" t="str">
        <f t="shared" si="19"/>
        <v>Conversational AI - MGT</v>
      </c>
      <c r="V638" s="12" t="s">
        <v>104</v>
      </c>
      <c r="W638" s="12" t="s">
        <v>263</v>
      </c>
      <c r="X638" s="12" t="s">
        <v>264</v>
      </c>
      <c r="Y638" s="12" t="s">
        <v>1038</v>
      </c>
      <c r="AA638" s="14">
        <v>86228</v>
      </c>
      <c r="AB638" s="14" t="s">
        <v>897</v>
      </c>
      <c r="AC638" s="12" t="s">
        <v>145</v>
      </c>
      <c r="AD638" s="15" t="str">
        <f t="shared" si="20"/>
        <v>SQMS – Quality (SHS) - SUP</v>
      </c>
      <c r="AE638" s="12" t="s">
        <v>118</v>
      </c>
      <c r="AF638" s="12" t="s">
        <v>113</v>
      </c>
      <c r="AG638" s="12" t="s">
        <v>114</v>
      </c>
      <c r="AH638" s="12" t="s">
        <v>1038</v>
      </c>
      <c r="AJ638" s="14">
        <v>90000</v>
      </c>
      <c r="AK638" s="14" t="s">
        <v>347</v>
      </c>
    </row>
    <row r="639" spans="6:37">
      <c r="R639" s="14">
        <v>82010</v>
      </c>
      <c r="S639" s="14" t="s">
        <v>866</v>
      </c>
      <c r="T639" s="12" t="s">
        <v>145</v>
      </c>
      <c r="U639" s="15" t="str">
        <f t="shared" si="19"/>
        <v>Conversational AI - SUP</v>
      </c>
      <c r="V639" s="12" t="s">
        <v>104</v>
      </c>
      <c r="W639" s="12" t="s">
        <v>263</v>
      </c>
      <c r="X639" s="12" t="s">
        <v>264</v>
      </c>
      <c r="Y639" s="12" t="s">
        <v>1038</v>
      </c>
      <c r="AA639" s="31">
        <v>12642</v>
      </c>
      <c r="AB639" s="14" t="s">
        <v>613</v>
      </c>
      <c r="AC639" s="12" t="s">
        <v>116</v>
      </c>
      <c r="AD639" s="15" t="str">
        <f t="shared" si="20"/>
        <v>Steris - Captive BOT - PRD</v>
      </c>
      <c r="AE639" s="12" t="s">
        <v>117</v>
      </c>
      <c r="AF639" s="12" t="s">
        <v>117</v>
      </c>
      <c r="AG639" s="12" t="s">
        <v>117</v>
      </c>
      <c r="AH639" s="12" t="s">
        <v>1038</v>
      </c>
      <c r="AJ639" s="14">
        <v>90100</v>
      </c>
      <c r="AK639" s="14" t="s">
        <v>400</v>
      </c>
    </row>
    <row r="640" spans="6:37">
      <c r="R640" s="14">
        <v>82102</v>
      </c>
      <c r="S640" s="14" t="s">
        <v>875</v>
      </c>
      <c r="T640" s="12" t="s">
        <v>129</v>
      </c>
      <c r="U640" s="15" t="str">
        <f t="shared" si="19"/>
        <v>Conversational IVR - MGT</v>
      </c>
      <c r="V640" s="12" t="s">
        <v>104</v>
      </c>
      <c r="W640" s="12" t="s">
        <v>263</v>
      </c>
      <c r="X640" s="12" t="s">
        <v>264</v>
      </c>
      <c r="Y640" s="12" t="s">
        <v>1038</v>
      </c>
      <c r="AA640" s="14">
        <v>12637</v>
      </c>
      <c r="AB640" s="14" t="s">
        <v>610</v>
      </c>
      <c r="AC640" s="12" t="s">
        <v>116</v>
      </c>
      <c r="AD640" s="15" t="str">
        <f t="shared" si="20"/>
        <v>Steris - Quick Quote App - PRD</v>
      </c>
      <c r="AE640" s="12" t="s">
        <v>117</v>
      </c>
      <c r="AF640" s="12" t="s">
        <v>117</v>
      </c>
      <c r="AG640" s="12" t="s">
        <v>117</v>
      </c>
      <c r="AH640" s="12" t="s">
        <v>1038</v>
      </c>
      <c r="AJ640" s="14">
        <v>90205</v>
      </c>
      <c r="AK640" s="14" t="s">
        <v>412</v>
      </c>
    </row>
    <row r="641" spans="18:37">
      <c r="R641" s="14">
        <v>82102</v>
      </c>
      <c r="S641" s="14" t="s">
        <v>875</v>
      </c>
      <c r="T641" s="12" t="s">
        <v>145</v>
      </c>
      <c r="U641" s="15" t="str">
        <f t="shared" si="19"/>
        <v>Conversational IVR - SUP</v>
      </c>
      <c r="V641" s="12" t="s">
        <v>104</v>
      </c>
      <c r="W641" s="12" t="s">
        <v>263</v>
      </c>
      <c r="X641" s="12" t="s">
        <v>264</v>
      </c>
      <c r="Y641" s="12" t="s">
        <v>1038</v>
      </c>
      <c r="AA641" s="14">
        <v>12537</v>
      </c>
      <c r="AB641" s="14" t="s">
        <v>583</v>
      </c>
      <c r="AC641" s="12" t="s">
        <v>116</v>
      </c>
      <c r="AD641" s="15" t="str">
        <f t="shared" si="20"/>
        <v>Steris Development Staffing - PRD</v>
      </c>
      <c r="AE641" s="12" t="s">
        <v>117</v>
      </c>
      <c r="AF641" s="12" t="s">
        <v>117</v>
      </c>
      <c r="AG641" s="12" t="s">
        <v>117</v>
      </c>
      <c r="AH641" s="12" t="s">
        <v>1038</v>
      </c>
      <c r="AJ641" s="14">
        <v>90402</v>
      </c>
      <c r="AK641" s="14" t="s">
        <v>387</v>
      </c>
    </row>
    <row r="642" spans="18:37">
      <c r="R642" s="14">
        <v>40170</v>
      </c>
      <c r="S642" s="14" t="s">
        <v>677</v>
      </c>
      <c r="T642" s="12" t="s">
        <v>133</v>
      </c>
      <c r="U642" s="15" t="str">
        <f t="shared" si="19"/>
        <v>Copa_PRA - AMG</v>
      </c>
      <c r="V642" s="12" t="s">
        <v>104</v>
      </c>
      <c r="W642" s="12" t="s">
        <v>117</v>
      </c>
      <c r="X642" s="12" t="s">
        <v>117</v>
      </c>
      <c r="Y642" s="12" t="s">
        <v>1038</v>
      </c>
      <c r="AA642" s="14">
        <v>12537</v>
      </c>
      <c r="AB642" s="14" t="s">
        <v>583</v>
      </c>
      <c r="AC642" s="12" t="s">
        <v>145</v>
      </c>
      <c r="AD642" s="15" t="str">
        <f t="shared" si="20"/>
        <v>Steris Development Staffing - SUP</v>
      </c>
      <c r="AE642" s="12" t="s">
        <v>117</v>
      </c>
      <c r="AF642" s="12" t="s">
        <v>117</v>
      </c>
      <c r="AG642" s="12" t="s">
        <v>117</v>
      </c>
      <c r="AH642" s="12" t="s">
        <v>1038</v>
      </c>
      <c r="AJ642" s="14">
        <v>90403</v>
      </c>
      <c r="AK642" s="14" t="s">
        <v>924</v>
      </c>
    </row>
    <row r="643" spans="18:37">
      <c r="R643" s="14">
        <v>40170</v>
      </c>
      <c r="S643" s="14" t="s">
        <v>677</v>
      </c>
      <c r="T643" s="12" t="s">
        <v>116</v>
      </c>
      <c r="U643" s="15" t="str">
        <f t="shared" ref="U643:U706" si="21">S643&amp;" - "&amp;T643</f>
        <v>Copa_PRA - PRD</v>
      </c>
      <c r="V643" s="12" t="s">
        <v>104</v>
      </c>
      <c r="W643" s="12" t="s">
        <v>117</v>
      </c>
      <c r="X643" s="12" t="s">
        <v>117</v>
      </c>
      <c r="Y643" s="12" t="s">
        <v>1038</v>
      </c>
      <c r="AA643" s="14">
        <v>12569</v>
      </c>
      <c r="AB643" s="14" t="s">
        <v>589</v>
      </c>
      <c r="AC643" s="12" t="s">
        <v>116</v>
      </c>
      <c r="AD643" s="15" t="str">
        <f t="shared" ref="AD643:AD706" si="22">AB643&amp;" - "&amp;AC643</f>
        <v>Steris IMS Development Project - PRD</v>
      </c>
      <c r="AE643" s="12" t="s">
        <v>117</v>
      </c>
      <c r="AF643" s="12" t="s">
        <v>117</v>
      </c>
      <c r="AG643" s="12" t="s">
        <v>117</v>
      </c>
      <c r="AH643" s="12" t="s">
        <v>1038</v>
      </c>
      <c r="AJ643" s="14">
        <v>90407</v>
      </c>
      <c r="AK643" s="14" t="s">
        <v>404</v>
      </c>
    </row>
    <row r="644" spans="18:37">
      <c r="R644" s="14">
        <v>40170</v>
      </c>
      <c r="S644" s="14" t="s">
        <v>677</v>
      </c>
      <c r="T644" s="12" t="s">
        <v>145</v>
      </c>
      <c r="U644" s="15" t="str">
        <f t="shared" si="21"/>
        <v>Copa_PRA - SUP</v>
      </c>
      <c r="V644" s="12" t="s">
        <v>104</v>
      </c>
      <c r="W644" s="12" t="s">
        <v>117</v>
      </c>
      <c r="X644" s="12" t="s">
        <v>117</v>
      </c>
      <c r="Y644" s="12" t="s">
        <v>1038</v>
      </c>
      <c r="AA644" s="14">
        <v>12596</v>
      </c>
      <c r="AB644" s="14" t="s">
        <v>595</v>
      </c>
      <c r="AC644" s="12" t="s">
        <v>116</v>
      </c>
      <c r="AD644" s="15" t="str">
        <f t="shared" si="22"/>
        <v>Steris SIC Development - PRD</v>
      </c>
      <c r="AE644" s="12" t="s">
        <v>117</v>
      </c>
      <c r="AF644" s="12" t="s">
        <v>117</v>
      </c>
      <c r="AG644" s="12" t="s">
        <v>117</v>
      </c>
      <c r="AH644" s="12" t="s">
        <v>1038</v>
      </c>
      <c r="AJ644" s="14">
        <v>90414</v>
      </c>
      <c r="AK644" s="14" t="s">
        <v>926</v>
      </c>
    </row>
    <row r="645" spans="18:37">
      <c r="R645" s="14">
        <v>40170</v>
      </c>
      <c r="S645" s="14" t="s">
        <v>677</v>
      </c>
      <c r="T645" s="12" t="s">
        <v>180</v>
      </c>
      <c r="U645" s="15" t="str">
        <f t="shared" si="21"/>
        <v>Copa_PRA - TMG</v>
      </c>
      <c r="V645" s="12" t="s">
        <v>104</v>
      </c>
      <c r="W645" s="12" t="s">
        <v>117</v>
      </c>
      <c r="X645" s="12" t="s">
        <v>117</v>
      </c>
      <c r="Y645" s="12" t="s">
        <v>1038</v>
      </c>
      <c r="AA645" s="14">
        <v>12573</v>
      </c>
      <c r="AB645" s="14" t="s">
        <v>590</v>
      </c>
      <c r="AC645" s="12" t="s">
        <v>116</v>
      </c>
      <c r="AD645" s="15" t="str">
        <f t="shared" si="22"/>
        <v>Steris Summit Development - PRD</v>
      </c>
      <c r="AE645" s="12" t="s">
        <v>117</v>
      </c>
      <c r="AF645" s="12" t="s">
        <v>117</v>
      </c>
      <c r="AG645" s="12" t="s">
        <v>117</v>
      </c>
      <c r="AH645" s="12" t="s">
        <v>1038</v>
      </c>
      <c r="AJ645" s="14">
        <v>90419</v>
      </c>
      <c r="AK645" s="14" t="s">
        <v>928</v>
      </c>
    </row>
    <row r="646" spans="18:37">
      <c r="R646" s="14">
        <v>40170</v>
      </c>
      <c r="S646" s="14" t="s">
        <v>677</v>
      </c>
      <c r="T646" s="12" t="s">
        <v>185</v>
      </c>
      <c r="U646" s="15" t="str">
        <f t="shared" si="21"/>
        <v>Copa_PRA - TPS</v>
      </c>
      <c r="V646" s="12" t="s">
        <v>104</v>
      </c>
      <c r="W646" s="12" t="s">
        <v>117</v>
      </c>
      <c r="X646" s="12" t="s">
        <v>117</v>
      </c>
      <c r="Y646" s="12" t="s">
        <v>1038</v>
      </c>
      <c r="AA646" s="14">
        <v>82009</v>
      </c>
      <c r="AB646" s="14" t="s">
        <v>865</v>
      </c>
      <c r="AC646" s="12" t="s">
        <v>196</v>
      </c>
      <c r="AD646" s="15" t="str">
        <f t="shared" si="22"/>
        <v>Sutherland Robility - SUT</v>
      </c>
      <c r="AE646" s="12" t="s">
        <v>118</v>
      </c>
      <c r="AF646" s="12" t="s">
        <v>117</v>
      </c>
      <c r="AG646" s="12" t="s">
        <v>117</v>
      </c>
      <c r="AH646" s="12" t="s">
        <v>1038</v>
      </c>
      <c r="AJ646" s="14">
        <v>90550</v>
      </c>
      <c r="AK646" s="14" t="s">
        <v>1098</v>
      </c>
    </row>
    <row r="647" spans="18:37">
      <c r="R647" s="14">
        <v>90407</v>
      </c>
      <c r="S647" s="14" t="s">
        <v>404</v>
      </c>
      <c r="T647" s="12" t="s">
        <v>145</v>
      </c>
      <c r="U647" s="15" t="str">
        <f t="shared" si="21"/>
        <v>Corporate - Deal Governance - SUP</v>
      </c>
      <c r="V647" s="12" t="s">
        <v>104</v>
      </c>
      <c r="W647" s="12" t="s">
        <v>405</v>
      </c>
      <c r="X647" s="12" t="s">
        <v>114</v>
      </c>
      <c r="Y647" s="12" t="s">
        <v>1038</v>
      </c>
      <c r="AA647" s="14">
        <v>96104</v>
      </c>
      <c r="AB647" s="14" t="s">
        <v>969</v>
      </c>
      <c r="AC647" s="12" t="s">
        <v>121</v>
      </c>
      <c r="AD647" s="15" t="str">
        <f t="shared" si="22"/>
        <v>Taxation Global - F&amp;A</v>
      </c>
      <c r="AE647" s="12" t="s">
        <v>118</v>
      </c>
      <c r="AF647" s="12" t="s">
        <v>122</v>
      </c>
      <c r="AG647" s="12" t="s">
        <v>114</v>
      </c>
      <c r="AH647" s="12" t="s">
        <v>1038</v>
      </c>
      <c r="AJ647" s="14">
        <v>90567</v>
      </c>
      <c r="AK647" s="14" t="s">
        <v>930</v>
      </c>
    </row>
    <row r="648" spans="18:37">
      <c r="R648" s="14">
        <v>96114</v>
      </c>
      <c r="S648" s="14" t="s">
        <v>407</v>
      </c>
      <c r="T648" s="12" t="s">
        <v>129</v>
      </c>
      <c r="U648" s="15" t="str">
        <f t="shared" si="21"/>
        <v>Corporate Accounting - MGT</v>
      </c>
      <c r="V648" s="12" t="s">
        <v>104</v>
      </c>
      <c r="W648" s="12" t="s">
        <v>405</v>
      </c>
      <c r="X648" s="12" t="s">
        <v>114</v>
      </c>
      <c r="Y648" s="12" t="s">
        <v>1038</v>
      </c>
      <c r="AA648" s="14">
        <v>96104</v>
      </c>
      <c r="AB648" s="14" t="s">
        <v>969</v>
      </c>
      <c r="AC648" s="12" t="s">
        <v>139</v>
      </c>
      <c r="AD648" s="15" t="str">
        <f t="shared" si="22"/>
        <v>Taxation Global - SMGT</v>
      </c>
      <c r="AE648" s="12" t="s">
        <v>118</v>
      </c>
      <c r="AF648" s="12" t="s">
        <v>122</v>
      </c>
      <c r="AG648" s="12" t="s">
        <v>114</v>
      </c>
      <c r="AH648" s="12" t="s">
        <v>1038</v>
      </c>
      <c r="AJ648" s="14">
        <v>91000</v>
      </c>
      <c r="AK648" s="14" t="s">
        <v>931</v>
      </c>
    </row>
    <row r="649" spans="18:37">
      <c r="R649" s="14">
        <v>90414</v>
      </c>
      <c r="S649" s="14" t="s">
        <v>926</v>
      </c>
      <c r="T649" s="12" t="s">
        <v>111</v>
      </c>
      <c r="U649" s="15" t="str">
        <f t="shared" si="21"/>
        <v>Cost &amp; Efficiency - QLY</v>
      </c>
      <c r="V649" s="12" t="s">
        <v>104</v>
      </c>
      <c r="W649" s="12" t="s">
        <v>113</v>
      </c>
      <c r="X649" s="12" t="s">
        <v>114</v>
      </c>
      <c r="Y649" s="12" t="s">
        <v>1038</v>
      </c>
      <c r="AA649" s="14">
        <v>96104</v>
      </c>
      <c r="AB649" s="14" t="s">
        <v>969</v>
      </c>
      <c r="AC649" s="12" t="s">
        <v>145</v>
      </c>
      <c r="AD649" s="15" t="str">
        <f t="shared" si="22"/>
        <v>Taxation Global - SUP</v>
      </c>
      <c r="AE649" s="12" t="s">
        <v>118</v>
      </c>
      <c r="AF649" s="12" t="s">
        <v>122</v>
      </c>
      <c r="AG649" s="12" t="s">
        <v>114</v>
      </c>
      <c r="AH649" s="12" t="s">
        <v>1038</v>
      </c>
      <c r="AJ649" s="14">
        <v>91004</v>
      </c>
      <c r="AK649" s="14" t="s">
        <v>923</v>
      </c>
    </row>
    <row r="650" spans="18:37">
      <c r="R650" s="14">
        <v>97101</v>
      </c>
      <c r="S650" s="14" t="s">
        <v>409</v>
      </c>
      <c r="T650" s="12" t="s">
        <v>145</v>
      </c>
      <c r="U650" s="15" t="str">
        <f t="shared" si="21"/>
        <v>CPO Office - SUP</v>
      </c>
      <c r="V650" s="12" t="s">
        <v>104</v>
      </c>
      <c r="W650" s="12" t="s">
        <v>410</v>
      </c>
      <c r="X650" s="12" t="s">
        <v>114</v>
      </c>
      <c r="Y650" s="12" t="s">
        <v>1038</v>
      </c>
      <c r="AA650" s="14">
        <v>91601</v>
      </c>
      <c r="AB650" s="14" t="s">
        <v>946</v>
      </c>
      <c r="AC650" s="12" t="s">
        <v>262</v>
      </c>
      <c r="AD650" s="15" t="str">
        <f t="shared" si="22"/>
        <v>Telecom SD Global - GSI</v>
      </c>
      <c r="AE650" s="12" t="s">
        <v>118</v>
      </c>
      <c r="AF650" s="12" t="s">
        <v>405</v>
      </c>
      <c r="AG650" s="12" t="s">
        <v>114</v>
      </c>
      <c r="AH650" s="12" t="s">
        <v>1038</v>
      </c>
      <c r="AJ650" s="14">
        <v>91024</v>
      </c>
      <c r="AK650" s="14" t="s">
        <v>933</v>
      </c>
    </row>
    <row r="651" spans="18:37">
      <c r="R651" s="14">
        <v>40224</v>
      </c>
      <c r="S651" s="14" t="s">
        <v>683</v>
      </c>
      <c r="T651" s="12" t="s">
        <v>116</v>
      </c>
      <c r="U651" s="15" t="str">
        <f t="shared" si="21"/>
        <v>Credit Research - PRD</v>
      </c>
      <c r="V651" s="12" t="s">
        <v>126</v>
      </c>
      <c r="W651" s="12" t="s">
        <v>184</v>
      </c>
      <c r="X651" s="12" t="s">
        <v>184</v>
      </c>
      <c r="Y651" s="12" t="s">
        <v>1038</v>
      </c>
      <c r="AA651" s="14">
        <v>91601</v>
      </c>
      <c r="AB651" s="14" t="s">
        <v>946</v>
      </c>
      <c r="AC651" s="12" t="s">
        <v>116</v>
      </c>
      <c r="AD651" s="15" t="str">
        <f t="shared" si="22"/>
        <v>Telecom SD Global - PRD</v>
      </c>
      <c r="AE651" s="12" t="s">
        <v>118</v>
      </c>
      <c r="AF651" s="12" t="s">
        <v>405</v>
      </c>
      <c r="AG651" s="12" t="s">
        <v>114</v>
      </c>
      <c r="AH651" s="12" t="s">
        <v>1038</v>
      </c>
      <c r="AJ651" s="14">
        <v>91030</v>
      </c>
      <c r="AK651" s="14" t="s">
        <v>696</v>
      </c>
    </row>
    <row r="652" spans="18:37">
      <c r="R652" s="14">
        <v>40224</v>
      </c>
      <c r="S652" s="14" t="s">
        <v>683</v>
      </c>
      <c r="T652" s="12" t="s">
        <v>172</v>
      </c>
      <c r="U652" s="15" t="str">
        <f t="shared" si="21"/>
        <v>Credit Research - SME</v>
      </c>
      <c r="V652" s="12" t="s">
        <v>126</v>
      </c>
      <c r="W652" s="12" t="s">
        <v>184</v>
      </c>
      <c r="X652" s="12" t="s">
        <v>184</v>
      </c>
      <c r="Y652" s="12" t="s">
        <v>1038</v>
      </c>
      <c r="AA652" s="14">
        <v>91601</v>
      </c>
      <c r="AB652" s="14" t="s">
        <v>946</v>
      </c>
      <c r="AC652" s="12" t="s">
        <v>145</v>
      </c>
      <c r="AD652" s="15" t="str">
        <f t="shared" si="22"/>
        <v>Telecom SD Global - SUP</v>
      </c>
      <c r="AE652" s="12" t="s">
        <v>118</v>
      </c>
      <c r="AF652" s="12" t="s">
        <v>405</v>
      </c>
      <c r="AG652" s="12" t="s">
        <v>114</v>
      </c>
      <c r="AH652" s="12" t="s">
        <v>1038</v>
      </c>
      <c r="AJ652" s="14">
        <v>91059</v>
      </c>
      <c r="AK652" s="14" t="s">
        <v>462</v>
      </c>
    </row>
    <row r="653" spans="18:37">
      <c r="R653" s="14">
        <v>40224</v>
      </c>
      <c r="S653" s="14" t="s">
        <v>683</v>
      </c>
      <c r="T653" s="12" t="s">
        <v>145</v>
      </c>
      <c r="U653" s="15" t="str">
        <f t="shared" si="21"/>
        <v>Credit Research - SUP</v>
      </c>
      <c r="V653" s="12" t="s">
        <v>126</v>
      </c>
      <c r="W653" s="12" t="s">
        <v>184</v>
      </c>
      <c r="X653" s="12" t="s">
        <v>184</v>
      </c>
      <c r="Y653" s="12" t="s">
        <v>1038</v>
      </c>
      <c r="AA653" s="14">
        <v>95104</v>
      </c>
      <c r="AB653" s="14" t="s">
        <v>974</v>
      </c>
      <c r="AC653" s="12" t="s">
        <v>415</v>
      </c>
      <c r="AD653" s="15" t="str">
        <f t="shared" si="22"/>
        <v>Telephony - GTI</v>
      </c>
      <c r="AE653" s="12" t="s">
        <v>118</v>
      </c>
      <c r="AF653" s="12" t="s">
        <v>263</v>
      </c>
      <c r="AG653" s="12" t="s">
        <v>264</v>
      </c>
      <c r="AH653" s="12" t="s">
        <v>1038</v>
      </c>
      <c r="AJ653" s="14">
        <v>91077</v>
      </c>
      <c r="AK653" s="14" t="s">
        <v>934</v>
      </c>
    </row>
    <row r="654" spans="18:37">
      <c r="R654" s="14">
        <v>10715</v>
      </c>
      <c r="S654" s="14" t="s">
        <v>330</v>
      </c>
      <c r="T654" s="12" t="s">
        <v>138</v>
      </c>
      <c r="U654" s="15" t="str">
        <f t="shared" si="21"/>
        <v>CREDIT RESEARCH NEW LOGO - BOS</v>
      </c>
      <c r="V654" s="12" t="s">
        <v>126</v>
      </c>
      <c r="W654" s="12" t="s">
        <v>184</v>
      </c>
      <c r="X654" s="12" t="s">
        <v>184</v>
      </c>
      <c r="Y654" s="12" t="s">
        <v>1038</v>
      </c>
      <c r="AA654" s="14">
        <v>95104</v>
      </c>
      <c r="AB654" s="14" t="s">
        <v>974</v>
      </c>
      <c r="AC654" s="12" t="s">
        <v>145</v>
      </c>
      <c r="AD654" s="15" t="str">
        <f t="shared" si="22"/>
        <v>Telephony - SUP</v>
      </c>
      <c r="AE654" s="12" t="s">
        <v>118</v>
      </c>
      <c r="AF654" s="12" t="s">
        <v>263</v>
      </c>
      <c r="AG654" s="12" t="s">
        <v>264</v>
      </c>
      <c r="AH654" s="12" t="s">
        <v>1038</v>
      </c>
      <c r="AJ654" s="14">
        <v>91082</v>
      </c>
      <c r="AK654" s="14" t="s">
        <v>936</v>
      </c>
    </row>
    <row r="655" spans="18:37">
      <c r="R655" s="14">
        <v>10506</v>
      </c>
      <c r="S655" s="14" t="s">
        <v>255</v>
      </c>
      <c r="T655" s="12" t="s">
        <v>116</v>
      </c>
      <c r="U655" s="15" t="str">
        <f t="shared" si="21"/>
        <v>Credit Research NFB - PRD</v>
      </c>
      <c r="V655" s="12" t="s">
        <v>126</v>
      </c>
      <c r="W655" s="12" t="s">
        <v>184</v>
      </c>
      <c r="X655" s="12" t="s">
        <v>184</v>
      </c>
      <c r="Y655" s="12" t="s">
        <v>1038</v>
      </c>
      <c r="AA655" s="14">
        <v>12409</v>
      </c>
      <c r="AB655" s="14" t="s">
        <v>541</v>
      </c>
      <c r="AC655" s="12" t="s">
        <v>230</v>
      </c>
      <c r="AD655" s="15" t="str">
        <f t="shared" si="22"/>
        <v>Temple University - Coding - PRSP</v>
      </c>
      <c r="AE655" s="12" t="s">
        <v>159</v>
      </c>
      <c r="AF655" s="12" t="s">
        <v>237</v>
      </c>
      <c r="AG655" s="12" t="s">
        <v>238</v>
      </c>
      <c r="AH655" s="12" t="s">
        <v>1038</v>
      </c>
      <c r="AJ655" s="14">
        <v>91084</v>
      </c>
      <c r="AK655" s="14" t="s">
        <v>881</v>
      </c>
    </row>
    <row r="656" spans="18:37">
      <c r="R656" s="14">
        <v>10506</v>
      </c>
      <c r="S656" s="14" t="s">
        <v>255</v>
      </c>
      <c r="T656" s="12" t="s">
        <v>145</v>
      </c>
      <c r="U656" s="15" t="str">
        <f t="shared" si="21"/>
        <v>Credit Research NFB - SUP</v>
      </c>
      <c r="V656" s="12" t="s">
        <v>126</v>
      </c>
      <c r="W656" s="12" t="s">
        <v>184</v>
      </c>
      <c r="X656" s="12" t="s">
        <v>184</v>
      </c>
      <c r="Y656" s="12" t="s">
        <v>1038</v>
      </c>
      <c r="AA656" s="14">
        <v>12409</v>
      </c>
      <c r="AB656" s="14" t="s">
        <v>541</v>
      </c>
      <c r="AC656" s="12" t="s">
        <v>145</v>
      </c>
      <c r="AD656" s="15" t="str">
        <f t="shared" si="22"/>
        <v>Temple University - Coding - SUP</v>
      </c>
      <c r="AE656" s="12" t="s">
        <v>159</v>
      </c>
      <c r="AF656" s="12" t="s">
        <v>237</v>
      </c>
      <c r="AG656" s="12" t="s">
        <v>238</v>
      </c>
      <c r="AH656" s="12" t="s">
        <v>1038</v>
      </c>
      <c r="AJ656" s="14">
        <v>91118</v>
      </c>
      <c r="AK656" s="14" t="s">
        <v>939</v>
      </c>
    </row>
    <row r="657" spans="18:37">
      <c r="R657" s="14">
        <v>28076</v>
      </c>
      <c r="S657" s="14" t="s">
        <v>655</v>
      </c>
      <c r="T657" s="12" t="s">
        <v>116</v>
      </c>
      <c r="U657" s="15" t="str">
        <f t="shared" si="21"/>
        <v>CreditShop 1stParty Collection - PRD</v>
      </c>
      <c r="V657" s="12" t="s">
        <v>126</v>
      </c>
      <c r="W657" s="12" t="s">
        <v>178</v>
      </c>
      <c r="X657" s="12" t="s">
        <v>128</v>
      </c>
      <c r="Y657" s="12" t="s">
        <v>1038</v>
      </c>
      <c r="AA657" s="14">
        <v>12409</v>
      </c>
      <c r="AB657" s="14" t="s">
        <v>541</v>
      </c>
      <c r="AC657" s="12" t="s">
        <v>185</v>
      </c>
      <c r="AD657" s="15" t="str">
        <f t="shared" si="22"/>
        <v>Temple University - Coding - TPS</v>
      </c>
      <c r="AE657" s="12" t="s">
        <v>159</v>
      </c>
      <c r="AF657" s="12" t="s">
        <v>237</v>
      </c>
      <c r="AG657" s="12" t="s">
        <v>238</v>
      </c>
      <c r="AH657" s="12" t="s">
        <v>1038</v>
      </c>
      <c r="AJ657" s="14">
        <v>91322</v>
      </c>
      <c r="AK657" s="14" t="s">
        <v>940</v>
      </c>
    </row>
    <row r="658" spans="18:37">
      <c r="R658" s="14">
        <v>10830</v>
      </c>
      <c r="S658" s="14" t="s">
        <v>416</v>
      </c>
      <c r="T658" s="12" t="s">
        <v>144</v>
      </c>
      <c r="U658" s="15" t="str">
        <f t="shared" si="21"/>
        <v>Cricut WFMaaS - CCOD</v>
      </c>
      <c r="V658" s="12" t="s">
        <v>112</v>
      </c>
      <c r="W658" s="12" t="s">
        <v>867</v>
      </c>
      <c r="X658" s="12" t="s">
        <v>114</v>
      </c>
      <c r="Y658" s="12" t="s">
        <v>1038</v>
      </c>
      <c r="AA658" s="14">
        <v>51247</v>
      </c>
      <c r="AB658" s="14" t="s">
        <v>745</v>
      </c>
      <c r="AC658" s="12" t="s">
        <v>116</v>
      </c>
      <c r="AD658" s="15" t="str">
        <f t="shared" si="22"/>
        <v>TFW-2201-2212-DevelopmentBlank - PRD</v>
      </c>
      <c r="AE658" s="12" t="s">
        <v>117</v>
      </c>
      <c r="AF658" s="12" t="s">
        <v>117</v>
      </c>
      <c r="AG658" s="12" t="s">
        <v>117</v>
      </c>
      <c r="AH658" s="12" t="s">
        <v>1038</v>
      </c>
      <c r="AJ658" s="14">
        <v>91324</v>
      </c>
      <c r="AK658" s="14" t="s">
        <v>941</v>
      </c>
    </row>
    <row r="659" spans="18:37">
      <c r="R659" s="14">
        <v>10830</v>
      </c>
      <c r="S659" s="14" t="s">
        <v>416</v>
      </c>
      <c r="T659" s="12" t="s">
        <v>145</v>
      </c>
      <c r="U659" s="15" t="str">
        <f t="shared" si="21"/>
        <v>Cricut WFMaaS - SUP</v>
      </c>
      <c r="V659" s="12" t="s">
        <v>112</v>
      </c>
      <c r="W659" s="12" t="s">
        <v>867</v>
      </c>
      <c r="X659" s="12" t="s">
        <v>114</v>
      </c>
      <c r="Y659" s="12" t="s">
        <v>1038</v>
      </c>
      <c r="AA659" s="35">
        <v>51447</v>
      </c>
      <c r="AB659" s="14" t="s">
        <v>798</v>
      </c>
      <c r="AC659" s="12" t="s">
        <v>145</v>
      </c>
      <c r="AD659" s="15" t="str">
        <f t="shared" si="22"/>
        <v>TFW-2301-2302-QE-Customer-Prot - SUP</v>
      </c>
      <c r="AE659" s="12" t="s">
        <v>117</v>
      </c>
      <c r="AF659" s="12" t="s">
        <v>117</v>
      </c>
      <c r="AG659" s="12" t="s">
        <v>117</v>
      </c>
      <c r="AH659" s="12" t="s">
        <v>1038</v>
      </c>
      <c r="AJ659" s="14">
        <v>91402</v>
      </c>
      <c r="AK659" s="14" t="s">
        <v>687</v>
      </c>
    </row>
    <row r="660" spans="18:37">
      <c r="R660" s="14">
        <v>90205</v>
      </c>
      <c r="S660" s="14" t="s">
        <v>412</v>
      </c>
      <c r="T660" s="12" t="s">
        <v>352</v>
      </c>
      <c r="U660" s="15" t="str">
        <f t="shared" si="21"/>
        <v>CTO Office - EAT</v>
      </c>
      <c r="V660" s="12" t="s">
        <v>104</v>
      </c>
      <c r="W660" s="12" t="s">
        <v>263</v>
      </c>
      <c r="X660" s="12" t="s">
        <v>264</v>
      </c>
      <c r="Y660" s="12" t="s">
        <v>1038</v>
      </c>
      <c r="AA660" s="14">
        <v>12164</v>
      </c>
      <c r="AB660" s="14" t="s">
        <v>524</v>
      </c>
      <c r="AC660" s="12" t="s">
        <v>111</v>
      </c>
      <c r="AD660" s="15" t="str">
        <f t="shared" si="22"/>
        <v>The Govt. of Bermuda - TPA - QLY</v>
      </c>
      <c r="AE660" s="12" t="s">
        <v>118</v>
      </c>
      <c r="AF660" s="12" t="s">
        <v>113</v>
      </c>
      <c r="AG660" s="12" t="s">
        <v>114</v>
      </c>
      <c r="AH660" s="12" t="s">
        <v>1038</v>
      </c>
      <c r="AJ660" s="14">
        <v>91404</v>
      </c>
      <c r="AK660" s="14" t="s">
        <v>533</v>
      </c>
    </row>
    <row r="661" spans="18:37">
      <c r="R661" s="14">
        <v>90205</v>
      </c>
      <c r="S661" s="14" t="s">
        <v>412</v>
      </c>
      <c r="T661" s="12" t="s">
        <v>262</v>
      </c>
      <c r="U661" s="15" t="str">
        <f t="shared" si="21"/>
        <v>CTO Office - GSI</v>
      </c>
      <c r="V661" s="12" t="s">
        <v>104</v>
      </c>
      <c r="W661" s="12" t="s">
        <v>263</v>
      </c>
      <c r="X661" s="12" t="s">
        <v>264</v>
      </c>
      <c r="Y661" s="12" t="s">
        <v>1038</v>
      </c>
      <c r="AA661" s="14">
        <v>12164</v>
      </c>
      <c r="AB661" s="14" t="s">
        <v>524</v>
      </c>
      <c r="AC661" s="12" t="s">
        <v>180</v>
      </c>
      <c r="AD661" s="15" t="str">
        <f t="shared" si="22"/>
        <v>The Govt. of Bermuda - TPA - TMG</v>
      </c>
      <c r="AE661" s="12" t="s">
        <v>141</v>
      </c>
      <c r="AF661" s="12" t="s">
        <v>163</v>
      </c>
      <c r="AG661" s="12" t="s">
        <v>164</v>
      </c>
      <c r="AH661" s="12" t="s">
        <v>1038</v>
      </c>
      <c r="AJ661" s="14">
        <v>91406</v>
      </c>
      <c r="AK661" s="14" t="s">
        <v>1099</v>
      </c>
    </row>
    <row r="662" spans="18:37">
      <c r="R662" s="14">
        <v>90205</v>
      </c>
      <c r="S662" s="14" t="s">
        <v>412</v>
      </c>
      <c r="T662" s="12" t="s">
        <v>415</v>
      </c>
      <c r="U662" s="15" t="str">
        <f t="shared" si="21"/>
        <v>CTO Office - GTI</v>
      </c>
      <c r="V662" s="12" t="s">
        <v>104</v>
      </c>
      <c r="W662" s="12" t="s">
        <v>263</v>
      </c>
      <c r="X662" s="12" t="s">
        <v>264</v>
      </c>
      <c r="Y662" s="12" t="s">
        <v>1038</v>
      </c>
      <c r="AA662" s="14">
        <v>12164</v>
      </c>
      <c r="AB662" s="14" t="s">
        <v>524</v>
      </c>
      <c r="AC662" s="12" t="s">
        <v>185</v>
      </c>
      <c r="AD662" s="15" t="str">
        <f t="shared" si="22"/>
        <v>The Govt. of Bermuda - TPA - TPS</v>
      </c>
      <c r="AE662" s="12" t="s">
        <v>141</v>
      </c>
      <c r="AF662" s="12" t="s">
        <v>163</v>
      </c>
      <c r="AG662" s="12" t="s">
        <v>164</v>
      </c>
      <c r="AH662" s="12" t="s">
        <v>1038</v>
      </c>
      <c r="AJ662" s="14">
        <v>91419</v>
      </c>
      <c r="AK662" s="14" t="s">
        <v>944</v>
      </c>
    </row>
    <row r="663" spans="18:37">
      <c r="R663" s="14">
        <v>90205</v>
      </c>
      <c r="S663" s="14" t="s">
        <v>412</v>
      </c>
      <c r="T663" s="12" t="s">
        <v>129</v>
      </c>
      <c r="U663" s="15" t="str">
        <f t="shared" si="21"/>
        <v>CTO Office - MGT</v>
      </c>
      <c r="V663" s="12" t="s">
        <v>104</v>
      </c>
      <c r="W663" s="12" t="s">
        <v>263</v>
      </c>
      <c r="X663" s="12" t="s">
        <v>264</v>
      </c>
      <c r="Y663" s="12" t="s">
        <v>1038</v>
      </c>
      <c r="AA663" s="14">
        <v>95504</v>
      </c>
      <c r="AB663" s="14" t="s">
        <v>983</v>
      </c>
      <c r="AC663" s="12" t="s">
        <v>129</v>
      </c>
      <c r="AD663" s="15" t="str">
        <f t="shared" si="22"/>
        <v>Threat, Vulnerablity &amp; Inciden - MGT</v>
      </c>
      <c r="AE663" s="12" t="s">
        <v>118</v>
      </c>
      <c r="AF663" s="12" t="s">
        <v>263</v>
      </c>
      <c r="AG663" s="12" t="s">
        <v>264</v>
      </c>
      <c r="AH663" s="12" t="s">
        <v>1038</v>
      </c>
      <c r="AJ663" s="14">
        <v>91453</v>
      </c>
      <c r="AK663" s="14" t="s">
        <v>945</v>
      </c>
    </row>
    <row r="664" spans="18:37">
      <c r="R664" s="14">
        <v>90205</v>
      </c>
      <c r="S664" s="14" t="s">
        <v>412</v>
      </c>
      <c r="T664" s="12" t="s">
        <v>145</v>
      </c>
      <c r="U664" s="15" t="str">
        <f t="shared" si="21"/>
        <v>CTO Office - SUP</v>
      </c>
      <c r="V664" s="12" t="s">
        <v>104</v>
      </c>
      <c r="W664" s="12" t="s">
        <v>263</v>
      </c>
      <c r="X664" s="12" t="s">
        <v>264</v>
      </c>
      <c r="Y664" s="12" t="s">
        <v>1038</v>
      </c>
      <c r="AA664" s="14">
        <v>95504</v>
      </c>
      <c r="AB664" s="14" t="s">
        <v>983</v>
      </c>
      <c r="AC664" s="12" t="s">
        <v>134</v>
      </c>
      <c r="AD664" s="15" t="str">
        <f t="shared" si="22"/>
        <v>Threat, Vulnerablity &amp; Inciden - SEC</v>
      </c>
      <c r="AE664" s="12" t="s">
        <v>118</v>
      </c>
      <c r="AF664" s="12" t="s">
        <v>263</v>
      </c>
      <c r="AG664" s="12" t="s">
        <v>264</v>
      </c>
      <c r="AH664" s="12" t="s">
        <v>1038</v>
      </c>
      <c r="AJ664" s="14">
        <v>91601</v>
      </c>
      <c r="AK664" s="14" t="s">
        <v>946</v>
      </c>
    </row>
    <row r="665" spans="18:37">
      <c r="R665" s="14">
        <v>86251</v>
      </c>
      <c r="S665" s="14" t="s">
        <v>899</v>
      </c>
      <c r="T665" s="12" t="s">
        <v>111</v>
      </c>
      <c r="U665" s="15" t="str">
        <f t="shared" si="21"/>
        <v>Customer Experience - Program - QLY</v>
      </c>
      <c r="V665" s="12" t="s">
        <v>104</v>
      </c>
      <c r="W665" s="12" t="s">
        <v>113</v>
      </c>
      <c r="X665" s="12" t="s">
        <v>114</v>
      </c>
      <c r="Y665" s="12" t="s">
        <v>1038</v>
      </c>
      <c r="AA665" s="14">
        <v>95504</v>
      </c>
      <c r="AB665" s="14" t="s">
        <v>983</v>
      </c>
      <c r="AC665" s="12" t="s">
        <v>145</v>
      </c>
      <c r="AD665" s="15" t="str">
        <f t="shared" si="22"/>
        <v>Threat, Vulnerablity &amp; Inciden - SUP</v>
      </c>
      <c r="AE665" s="12" t="s">
        <v>118</v>
      </c>
      <c r="AF665" s="12" t="s">
        <v>263</v>
      </c>
      <c r="AG665" s="12" t="s">
        <v>264</v>
      </c>
      <c r="AH665" s="12" t="s">
        <v>1038</v>
      </c>
      <c r="AJ665" s="14">
        <v>91737</v>
      </c>
      <c r="AK665" s="14" t="s">
        <v>927</v>
      </c>
    </row>
    <row r="666" spans="18:37">
      <c r="R666" s="14">
        <v>86251</v>
      </c>
      <c r="S666" s="14" t="s">
        <v>899</v>
      </c>
      <c r="T666" s="12" t="s">
        <v>145</v>
      </c>
      <c r="U666" s="15" t="str">
        <f t="shared" si="21"/>
        <v>Customer Experience - Program - SUP</v>
      </c>
      <c r="V666" s="12" t="s">
        <v>104</v>
      </c>
      <c r="W666" s="12" t="s">
        <v>113</v>
      </c>
      <c r="X666" s="12" t="s">
        <v>114</v>
      </c>
      <c r="Y666" s="12" t="s">
        <v>1038</v>
      </c>
      <c r="AA666" s="14">
        <v>95504</v>
      </c>
      <c r="AB666" s="14" t="s">
        <v>983</v>
      </c>
      <c r="AC666" s="12" t="s">
        <v>180</v>
      </c>
      <c r="AD666" s="15" t="str">
        <f t="shared" si="22"/>
        <v>Threat, Vulnerablity &amp; Inciden - TMG</v>
      </c>
      <c r="AE666" s="12" t="s">
        <v>118</v>
      </c>
      <c r="AF666" s="12" t="s">
        <v>263</v>
      </c>
      <c r="AG666" s="12" t="s">
        <v>264</v>
      </c>
      <c r="AH666" s="12" t="s">
        <v>1038</v>
      </c>
      <c r="AJ666" s="14">
        <v>91738</v>
      </c>
      <c r="AK666" s="14" t="s">
        <v>948</v>
      </c>
    </row>
    <row r="667" spans="18:37">
      <c r="R667" s="14">
        <v>86220</v>
      </c>
      <c r="S667" s="14" t="s">
        <v>420</v>
      </c>
      <c r="T667" s="12" t="s">
        <v>150</v>
      </c>
      <c r="U667" s="15" t="str">
        <f t="shared" si="21"/>
        <v>Customer Experience - Quality - CCS</v>
      </c>
      <c r="V667" s="12" t="s">
        <v>104</v>
      </c>
      <c r="W667" s="12" t="s">
        <v>113</v>
      </c>
      <c r="X667" s="12" t="s">
        <v>114</v>
      </c>
      <c r="Y667" s="12" t="s">
        <v>1038</v>
      </c>
      <c r="AA667" s="14">
        <v>89008</v>
      </c>
      <c r="AB667" s="14" t="s">
        <v>922</v>
      </c>
      <c r="AC667" s="12" t="s">
        <v>145</v>
      </c>
      <c r="AD667" s="15" t="str">
        <f t="shared" si="22"/>
        <v>Tracfone wireless Inc - SUP</v>
      </c>
      <c r="AE667" s="12" t="s">
        <v>117</v>
      </c>
      <c r="AF667" s="12" t="s">
        <v>117</v>
      </c>
      <c r="AG667" s="12" t="s">
        <v>117</v>
      </c>
      <c r="AH667" s="12" t="s">
        <v>1038</v>
      </c>
      <c r="AJ667" s="14">
        <v>91800</v>
      </c>
      <c r="AK667" s="14" t="s">
        <v>931</v>
      </c>
    </row>
    <row r="668" spans="18:37">
      <c r="R668" s="14">
        <v>86220</v>
      </c>
      <c r="S668" s="14" t="s">
        <v>420</v>
      </c>
      <c r="T668" s="12" t="s">
        <v>422</v>
      </c>
      <c r="U668" s="15" t="str">
        <f t="shared" si="21"/>
        <v>Customer Experience - Quality - FMEA</v>
      </c>
      <c r="V668" s="12" t="s">
        <v>104</v>
      </c>
      <c r="W668" s="12" t="s">
        <v>113</v>
      </c>
      <c r="X668" s="12" t="s">
        <v>114</v>
      </c>
      <c r="Y668" s="12" t="s">
        <v>1038</v>
      </c>
      <c r="AA668" s="14">
        <v>51457</v>
      </c>
      <c r="AB668" s="14" t="s">
        <v>807</v>
      </c>
      <c r="AC668" s="12" t="s">
        <v>145</v>
      </c>
      <c r="AD668" s="15" t="str">
        <f t="shared" si="22"/>
        <v>TracFone-QE2ManagedServices - SUP</v>
      </c>
      <c r="AE668" s="12" t="s">
        <v>117</v>
      </c>
      <c r="AF668" s="12" t="s">
        <v>117</v>
      </c>
      <c r="AG668" s="12" t="s">
        <v>117</v>
      </c>
      <c r="AH668" s="12" t="s">
        <v>1038</v>
      </c>
      <c r="AJ668" s="14">
        <v>91840</v>
      </c>
      <c r="AK668" s="14" t="s">
        <v>950</v>
      </c>
    </row>
    <row r="669" spans="18:37">
      <c r="R669" s="14">
        <v>86220</v>
      </c>
      <c r="S669" s="14" t="s">
        <v>420</v>
      </c>
      <c r="T669" s="12" t="s">
        <v>129</v>
      </c>
      <c r="U669" s="15" t="str">
        <f t="shared" si="21"/>
        <v>Customer Experience - Quality - MGT</v>
      </c>
      <c r="V669" s="12" t="s">
        <v>104</v>
      </c>
      <c r="W669" s="12" t="s">
        <v>113</v>
      </c>
      <c r="X669" s="12" t="s">
        <v>114</v>
      </c>
      <c r="Y669" s="12" t="s">
        <v>1038</v>
      </c>
      <c r="AA669" s="14">
        <v>97300</v>
      </c>
      <c r="AB669" s="14" t="s">
        <v>984</v>
      </c>
      <c r="AC669" s="12" t="s">
        <v>133</v>
      </c>
      <c r="AD669" s="15" t="str">
        <f t="shared" si="22"/>
        <v>Training - COL - AMG</v>
      </c>
      <c r="AE669" s="12" t="s">
        <v>118</v>
      </c>
      <c r="AF669" s="12" t="s">
        <v>370</v>
      </c>
      <c r="AG669" s="12" t="s">
        <v>205</v>
      </c>
      <c r="AH669" s="12" t="s">
        <v>1038</v>
      </c>
      <c r="AJ669" s="14">
        <v>92101</v>
      </c>
      <c r="AK669" s="14" t="s">
        <v>517</v>
      </c>
    </row>
    <row r="670" spans="18:37">
      <c r="R670" s="14">
        <v>86220</v>
      </c>
      <c r="S670" s="14" t="s">
        <v>420</v>
      </c>
      <c r="T670" s="12" t="s">
        <v>177</v>
      </c>
      <c r="U670" s="15" t="str">
        <f t="shared" si="21"/>
        <v>Customer Experience - Quality - OPS</v>
      </c>
      <c r="V670" s="12" t="s">
        <v>104</v>
      </c>
      <c r="W670" s="12" t="s">
        <v>113</v>
      </c>
      <c r="X670" s="12" t="s">
        <v>114</v>
      </c>
      <c r="Y670" s="12" t="s">
        <v>1038</v>
      </c>
      <c r="AA670" s="14">
        <v>97300</v>
      </c>
      <c r="AB670" s="14" t="s">
        <v>984</v>
      </c>
      <c r="AC670" s="12" t="s">
        <v>352</v>
      </c>
      <c r="AD670" s="15" t="str">
        <f t="shared" si="22"/>
        <v>Training - COL - EAT</v>
      </c>
      <c r="AE670" s="12" t="s">
        <v>118</v>
      </c>
      <c r="AF670" s="12" t="s">
        <v>370</v>
      </c>
      <c r="AG670" s="12" t="s">
        <v>205</v>
      </c>
      <c r="AH670" s="12" t="s">
        <v>1038</v>
      </c>
      <c r="AJ670" s="14">
        <v>92103</v>
      </c>
      <c r="AK670" s="14" t="s">
        <v>713</v>
      </c>
    </row>
    <row r="671" spans="18:37">
      <c r="R671" s="14">
        <v>86220</v>
      </c>
      <c r="S671" s="14" t="s">
        <v>420</v>
      </c>
      <c r="T671" s="12" t="s">
        <v>418</v>
      </c>
      <c r="U671" s="15" t="str">
        <f t="shared" si="21"/>
        <v>Customer Experience - Quality - QLC</v>
      </c>
      <c r="V671" s="12" t="s">
        <v>104</v>
      </c>
      <c r="W671" s="12" t="s">
        <v>113</v>
      </c>
      <c r="X671" s="12" t="s">
        <v>114</v>
      </c>
      <c r="Y671" s="12" t="s">
        <v>1038</v>
      </c>
      <c r="AA671" s="14">
        <v>97300</v>
      </c>
      <c r="AB671" s="14" t="s">
        <v>984</v>
      </c>
      <c r="AC671" s="12" t="s">
        <v>129</v>
      </c>
      <c r="AD671" s="15" t="str">
        <f t="shared" si="22"/>
        <v>Training - COL - MGT</v>
      </c>
      <c r="AE671" s="12" t="s">
        <v>118</v>
      </c>
      <c r="AF671" s="12" t="s">
        <v>370</v>
      </c>
      <c r="AG671" s="12" t="s">
        <v>205</v>
      </c>
      <c r="AH671" s="12" t="s">
        <v>1038</v>
      </c>
      <c r="AJ671" s="14">
        <v>92104</v>
      </c>
      <c r="AK671" s="14" t="s">
        <v>919</v>
      </c>
    </row>
    <row r="672" spans="18:37">
      <c r="R672" s="14">
        <v>86220</v>
      </c>
      <c r="S672" s="14" t="s">
        <v>420</v>
      </c>
      <c r="T672" s="12" t="s">
        <v>111</v>
      </c>
      <c r="U672" s="15" t="str">
        <f t="shared" si="21"/>
        <v>Customer Experience - Quality - QLY</v>
      </c>
      <c r="V672" s="12" t="s">
        <v>104</v>
      </c>
      <c r="W672" s="12" t="s">
        <v>113</v>
      </c>
      <c r="X672" s="12" t="s">
        <v>114</v>
      </c>
      <c r="Y672" s="12" t="s">
        <v>1038</v>
      </c>
      <c r="AA672" s="14">
        <v>97300</v>
      </c>
      <c r="AB672" s="14" t="s">
        <v>984</v>
      </c>
      <c r="AC672" s="12" t="s">
        <v>116</v>
      </c>
      <c r="AD672" s="15" t="str">
        <f t="shared" si="22"/>
        <v>Training - COL - PRD</v>
      </c>
      <c r="AE672" s="12" t="s">
        <v>118</v>
      </c>
      <c r="AF672" s="12" t="s">
        <v>370</v>
      </c>
      <c r="AG672" s="12" t="s">
        <v>205</v>
      </c>
      <c r="AH672" s="12" t="s">
        <v>1038</v>
      </c>
      <c r="AJ672" s="14">
        <v>92116</v>
      </c>
      <c r="AK672" s="14" t="s">
        <v>452</v>
      </c>
    </row>
    <row r="673" spans="18:37">
      <c r="R673" s="14">
        <v>86220</v>
      </c>
      <c r="S673" s="14" t="s">
        <v>420</v>
      </c>
      <c r="T673" s="12" t="s">
        <v>119</v>
      </c>
      <c r="U673" s="15" t="str">
        <f t="shared" si="21"/>
        <v>Customer Experience - Quality - SQM</v>
      </c>
      <c r="V673" s="12" t="s">
        <v>104</v>
      </c>
      <c r="W673" s="12" t="s">
        <v>113</v>
      </c>
      <c r="X673" s="12" t="s">
        <v>114</v>
      </c>
      <c r="Y673" s="12" t="s">
        <v>1038</v>
      </c>
      <c r="AA673" s="14">
        <v>97300</v>
      </c>
      <c r="AB673" s="14" t="s">
        <v>984</v>
      </c>
      <c r="AC673" s="12" t="s">
        <v>139</v>
      </c>
      <c r="AD673" s="15" t="str">
        <f t="shared" si="22"/>
        <v>Training - COL - SMGT</v>
      </c>
      <c r="AE673" s="12" t="s">
        <v>118</v>
      </c>
      <c r="AF673" s="12" t="s">
        <v>370</v>
      </c>
      <c r="AG673" s="12" t="s">
        <v>205</v>
      </c>
      <c r="AH673" s="12" t="s">
        <v>1038</v>
      </c>
      <c r="AJ673" s="14">
        <v>92201</v>
      </c>
      <c r="AK673" s="14" t="s">
        <v>521</v>
      </c>
    </row>
    <row r="674" spans="18:37">
      <c r="R674" s="14">
        <v>86220</v>
      </c>
      <c r="S674" s="14" t="s">
        <v>420</v>
      </c>
      <c r="T674" s="12" t="s">
        <v>145</v>
      </c>
      <c r="U674" s="15" t="str">
        <f t="shared" si="21"/>
        <v>Customer Experience - Quality - SUP</v>
      </c>
      <c r="V674" s="12" t="s">
        <v>104</v>
      </c>
      <c r="W674" s="12" t="s">
        <v>113</v>
      </c>
      <c r="X674" s="12" t="s">
        <v>114</v>
      </c>
      <c r="Y674" s="12" t="s">
        <v>1038</v>
      </c>
      <c r="AA674" s="14">
        <v>97300</v>
      </c>
      <c r="AB674" s="14" t="s">
        <v>984</v>
      </c>
      <c r="AC674" s="12" t="s">
        <v>145</v>
      </c>
      <c r="AD674" s="15" t="str">
        <f t="shared" si="22"/>
        <v>Training - COL - SUP</v>
      </c>
      <c r="AE674" s="12" t="s">
        <v>118</v>
      </c>
      <c r="AF674" s="12" t="s">
        <v>370</v>
      </c>
      <c r="AG674" s="12" t="s">
        <v>205</v>
      </c>
      <c r="AH674" s="12" t="s">
        <v>1038</v>
      </c>
      <c r="AJ674" s="14">
        <v>92203</v>
      </c>
      <c r="AK674" s="14" t="s">
        <v>715</v>
      </c>
    </row>
    <row r="675" spans="18:37">
      <c r="R675" s="14">
        <v>86220</v>
      </c>
      <c r="S675" s="14" t="s">
        <v>420</v>
      </c>
      <c r="T675" s="12" t="s">
        <v>196</v>
      </c>
      <c r="U675" s="15" t="str">
        <f t="shared" si="21"/>
        <v>Customer Experience - Quality - SUT</v>
      </c>
      <c r="V675" s="12" t="s">
        <v>104</v>
      </c>
      <c r="W675" s="12" t="s">
        <v>113</v>
      </c>
      <c r="X675" s="12" t="s">
        <v>114</v>
      </c>
      <c r="Y675" s="12" t="s">
        <v>1038</v>
      </c>
      <c r="AA675" s="14">
        <v>97300</v>
      </c>
      <c r="AB675" s="14" t="s">
        <v>984</v>
      </c>
      <c r="AC675" s="12" t="s">
        <v>198</v>
      </c>
      <c r="AD675" s="15" t="str">
        <f t="shared" si="22"/>
        <v>Training - COL - TEC</v>
      </c>
      <c r="AE675" s="12" t="s">
        <v>118</v>
      </c>
      <c r="AF675" s="12" t="s">
        <v>370</v>
      </c>
      <c r="AG675" s="12" t="s">
        <v>205</v>
      </c>
      <c r="AH675" s="12" t="s">
        <v>1038</v>
      </c>
      <c r="AJ675" s="14">
        <v>93000</v>
      </c>
      <c r="AK675" s="14" t="s">
        <v>303</v>
      </c>
    </row>
    <row r="676" spans="18:37">
      <c r="R676" s="14">
        <v>86220</v>
      </c>
      <c r="S676" s="14" t="s">
        <v>420</v>
      </c>
      <c r="T676" s="12" t="s">
        <v>180</v>
      </c>
      <c r="U676" s="15" t="str">
        <f t="shared" si="21"/>
        <v>Customer Experience - Quality - TMG</v>
      </c>
      <c r="V676" s="12" t="s">
        <v>104</v>
      </c>
      <c r="W676" s="12" t="s">
        <v>113</v>
      </c>
      <c r="X676" s="12" t="s">
        <v>114</v>
      </c>
      <c r="Y676" s="12" t="s">
        <v>1038</v>
      </c>
      <c r="AA676" s="14">
        <v>97300</v>
      </c>
      <c r="AB676" s="14" t="s">
        <v>984</v>
      </c>
      <c r="AC676" s="12" t="s">
        <v>180</v>
      </c>
      <c r="AD676" s="15" t="str">
        <f t="shared" si="22"/>
        <v>Training - COL - TMG</v>
      </c>
      <c r="AE676" s="12" t="s">
        <v>118</v>
      </c>
      <c r="AF676" s="12" t="s">
        <v>370</v>
      </c>
      <c r="AG676" s="12" t="s">
        <v>205</v>
      </c>
      <c r="AH676" s="12" t="s">
        <v>1038</v>
      </c>
      <c r="AJ676" s="14">
        <v>93005</v>
      </c>
      <c r="AK676" s="14" t="s">
        <v>953</v>
      </c>
    </row>
    <row r="677" spans="18:37">
      <c r="R677" s="14">
        <v>86220</v>
      </c>
      <c r="S677" s="14" t="s">
        <v>420</v>
      </c>
      <c r="T677" s="12" t="s">
        <v>208</v>
      </c>
      <c r="U677" s="15" t="str">
        <f t="shared" si="21"/>
        <v>Customer Experience - Quality - TTR</v>
      </c>
      <c r="V677" s="12" t="s">
        <v>104</v>
      </c>
      <c r="W677" s="12" t="s">
        <v>204</v>
      </c>
      <c r="X677" s="12" t="s">
        <v>205</v>
      </c>
      <c r="Y677" s="12" t="s">
        <v>1038</v>
      </c>
      <c r="AA677" s="14">
        <v>97300</v>
      </c>
      <c r="AB677" s="14" t="s">
        <v>984</v>
      </c>
      <c r="AC677" s="12" t="s">
        <v>203</v>
      </c>
      <c r="AD677" s="15" t="str">
        <f t="shared" si="22"/>
        <v>Training - COL - TRG</v>
      </c>
      <c r="AE677" s="12" t="s">
        <v>118</v>
      </c>
      <c r="AF677" s="12" t="s">
        <v>370</v>
      </c>
      <c r="AG677" s="12" t="s">
        <v>205</v>
      </c>
      <c r="AH677" s="12" t="s">
        <v>1038</v>
      </c>
      <c r="AJ677" s="14">
        <v>93022</v>
      </c>
      <c r="AK677" s="14" t="s">
        <v>493</v>
      </c>
    </row>
    <row r="678" spans="18:37">
      <c r="R678" s="14">
        <v>86250</v>
      </c>
      <c r="S678" s="14" t="s">
        <v>430</v>
      </c>
      <c r="T678" s="12" t="s">
        <v>431</v>
      </c>
      <c r="U678" s="15" t="str">
        <f t="shared" si="21"/>
        <v>Customer Experience - SD - AGA</v>
      </c>
      <c r="V678" s="12" t="s">
        <v>104</v>
      </c>
      <c r="W678" s="12" t="s">
        <v>113</v>
      </c>
      <c r="X678" s="12" t="s">
        <v>114</v>
      </c>
      <c r="Y678" s="12" t="s">
        <v>1038</v>
      </c>
      <c r="AA678" s="14">
        <v>97300</v>
      </c>
      <c r="AB678" s="14" t="s">
        <v>984</v>
      </c>
      <c r="AC678" s="12" t="s">
        <v>546</v>
      </c>
      <c r="AD678" s="15" t="str">
        <f t="shared" si="22"/>
        <v>Training - COL - TRN</v>
      </c>
      <c r="AE678" s="12" t="s">
        <v>118</v>
      </c>
      <c r="AF678" s="12" t="s">
        <v>370</v>
      </c>
      <c r="AG678" s="12" t="s">
        <v>205</v>
      </c>
      <c r="AH678" s="12" t="s">
        <v>1038</v>
      </c>
      <c r="AJ678" s="14">
        <v>93024</v>
      </c>
      <c r="AK678" s="14" t="s">
        <v>954</v>
      </c>
    </row>
    <row r="679" spans="18:37">
      <c r="R679" s="14">
        <v>86250</v>
      </c>
      <c r="S679" s="14" t="s">
        <v>430</v>
      </c>
      <c r="T679" s="12" t="s">
        <v>433</v>
      </c>
      <c r="U679" s="15" t="str">
        <f t="shared" si="21"/>
        <v>Customer Experience - SD - ANA</v>
      </c>
      <c r="V679" s="12" t="s">
        <v>104</v>
      </c>
      <c r="W679" s="12" t="s">
        <v>113</v>
      </c>
      <c r="X679" s="12" t="s">
        <v>114</v>
      </c>
      <c r="Y679" s="12" t="s">
        <v>1038</v>
      </c>
      <c r="AA679" s="14">
        <v>97300</v>
      </c>
      <c r="AB679" s="14" t="s">
        <v>984</v>
      </c>
      <c r="AC679" s="12" t="s">
        <v>208</v>
      </c>
      <c r="AD679" s="15" t="str">
        <f t="shared" si="22"/>
        <v>Training - COL - TTR</v>
      </c>
      <c r="AE679" s="12" t="s">
        <v>118</v>
      </c>
      <c r="AF679" s="12" t="s">
        <v>370</v>
      </c>
      <c r="AG679" s="12" t="s">
        <v>205</v>
      </c>
      <c r="AH679" s="12" t="s">
        <v>1038</v>
      </c>
      <c r="AJ679" s="14">
        <v>93026</v>
      </c>
      <c r="AK679" s="14" t="s">
        <v>955</v>
      </c>
    </row>
    <row r="680" spans="18:37">
      <c r="R680" s="14">
        <v>86250</v>
      </c>
      <c r="S680" s="14" t="s">
        <v>430</v>
      </c>
      <c r="T680" s="12" t="s">
        <v>129</v>
      </c>
      <c r="U680" s="15" t="str">
        <f t="shared" si="21"/>
        <v>Customer Experience - SD - MGT</v>
      </c>
      <c r="V680" s="12" t="s">
        <v>104</v>
      </c>
      <c r="W680" s="12" t="s">
        <v>113</v>
      </c>
      <c r="X680" s="12" t="s">
        <v>114</v>
      </c>
      <c r="Y680" s="12" t="s">
        <v>1038</v>
      </c>
      <c r="AA680" s="14">
        <v>97302</v>
      </c>
      <c r="AB680" s="14" t="s">
        <v>987</v>
      </c>
      <c r="AC680" s="12" t="s">
        <v>129</v>
      </c>
      <c r="AD680" s="15" t="str">
        <f t="shared" si="22"/>
        <v>Training - Corporate - MGT</v>
      </c>
      <c r="AE680" s="12" t="s">
        <v>118</v>
      </c>
      <c r="AF680" s="12" t="s">
        <v>988</v>
      </c>
      <c r="AG680" s="12" t="s">
        <v>114</v>
      </c>
      <c r="AH680" s="12" t="s">
        <v>1038</v>
      </c>
      <c r="AJ680" s="14">
        <v>93030</v>
      </c>
      <c r="AK680" s="14" t="s">
        <v>956</v>
      </c>
    </row>
    <row r="681" spans="18:37">
      <c r="R681" s="14">
        <v>86250</v>
      </c>
      <c r="S681" s="14" t="s">
        <v>430</v>
      </c>
      <c r="T681" s="12" t="s">
        <v>418</v>
      </c>
      <c r="U681" s="15" t="str">
        <f t="shared" si="21"/>
        <v>Customer Experience - SD - QLC</v>
      </c>
      <c r="V681" s="12" t="s">
        <v>104</v>
      </c>
      <c r="W681" s="12" t="s">
        <v>113</v>
      </c>
      <c r="X681" s="12" t="s">
        <v>114</v>
      </c>
      <c r="Y681" s="12" t="s">
        <v>1038</v>
      </c>
      <c r="AA681" s="14">
        <v>97302</v>
      </c>
      <c r="AB681" s="14" t="s">
        <v>987</v>
      </c>
      <c r="AC681" s="12" t="s">
        <v>139</v>
      </c>
      <c r="AD681" s="15" t="str">
        <f t="shared" si="22"/>
        <v>Training - Corporate - SMGT</v>
      </c>
      <c r="AE681" s="12" t="s">
        <v>118</v>
      </c>
      <c r="AF681" s="12" t="s">
        <v>988</v>
      </c>
      <c r="AG681" s="12" t="s">
        <v>114</v>
      </c>
      <c r="AH681" s="12" t="s">
        <v>1038</v>
      </c>
      <c r="AJ681" s="14">
        <v>93032</v>
      </c>
      <c r="AK681" s="14" t="s">
        <v>957</v>
      </c>
    </row>
    <row r="682" spans="18:37">
      <c r="R682" s="14">
        <v>86250</v>
      </c>
      <c r="S682" s="14" t="s">
        <v>430</v>
      </c>
      <c r="T682" s="12" t="s">
        <v>111</v>
      </c>
      <c r="U682" s="15" t="str">
        <f t="shared" si="21"/>
        <v>Customer Experience - SD - QLY</v>
      </c>
      <c r="V682" s="12" t="s">
        <v>104</v>
      </c>
      <c r="W682" s="12" t="s">
        <v>113</v>
      </c>
      <c r="X682" s="12" t="s">
        <v>114</v>
      </c>
      <c r="Y682" s="12" t="s">
        <v>1038</v>
      </c>
      <c r="AA682" s="14">
        <v>97302</v>
      </c>
      <c r="AB682" s="14" t="s">
        <v>987</v>
      </c>
      <c r="AC682" s="12" t="s">
        <v>145</v>
      </c>
      <c r="AD682" s="15" t="str">
        <f t="shared" si="22"/>
        <v>Training - Corporate - SUP</v>
      </c>
      <c r="AE682" s="12" t="s">
        <v>118</v>
      </c>
      <c r="AF682" s="12" t="s">
        <v>988</v>
      </c>
      <c r="AG682" s="12" t="s">
        <v>114</v>
      </c>
      <c r="AH682" s="12" t="s">
        <v>1038</v>
      </c>
      <c r="AJ682" s="14">
        <v>93045</v>
      </c>
      <c r="AK682" s="14" t="s">
        <v>662</v>
      </c>
    </row>
    <row r="683" spans="18:37">
      <c r="R683" s="14">
        <v>86250</v>
      </c>
      <c r="S683" s="14" t="s">
        <v>430</v>
      </c>
      <c r="T683" s="12" t="s">
        <v>119</v>
      </c>
      <c r="U683" s="15" t="str">
        <f t="shared" si="21"/>
        <v>Customer Experience - SD - SQM</v>
      </c>
      <c r="V683" s="12" t="s">
        <v>104</v>
      </c>
      <c r="W683" s="12" t="s">
        <v>113</v>
      </c>
      <c r="X683" s="12" t="s">
        <v>114</v>
      </c>
      <c r="Y683" s="12" t="s">
        <v>1038</v>
      </c>
      <c r="AA683" s="14">
        <v>97302</v>
      </c>
      <c r="AB683" s="14" t="s">
        <v>987</v>
      </c>
      <c r="AC683" s="12" t="s">
        <v>863</v>
      </c>
      <c r="AD683" s="15" t="str">
        <f t="shared" si="22"/>
        <v>Training - Corporate - TRA</v>
      </c>
      <c r="AE683" s="12" t="s">
        <v>118</v>
      </c>
      <c r="AF683" s="12" t="s">
        <v>988</v>
      </c>
      <c r="AG683" s="12" t="s">
        <v>114</v>
      </c>
      <c r="AH683" s="12" t="s">
        <v>1038</v>
      </c>
      <c r="AJ683" s="14">
        <v>93101</v>
      </c>
      <c r="AK683" s="14" t="s">
        <v>441</v>
      </c>
    </row>
    <row r="684" spans="18:37">
      <c r="R684" s="14">
        <v>86250</v>
      </c>
      <c r="S684" s="14" t="s">
        <v>430</v>
      </c>
      <c r="T684" s="12" t="s">
        <v>145</v>
      </c>
      <c r="U684" s="15" t="str">
        <f t="shared" si="21"/>
        <v>Customer Experience - SD - SUP</v>
      </c>
      <c r="V684" s="12" t="s">
        <v>104</v>
      </c>
      <c r="W684" s="12" t="s">
        <v>113</v>
      </c>
      <c r="X684" s="12" t="s">
        <v>114</v>
      </c>
      <c r="Y684" s="12" t="s">
        <v>1038</v>
      </c>
      <c r="AA684" s="14">
        <v>97302</v>
      </c>
      <c r="AB684" s="14" t="s">
        <v>987</v>
      </c>
      <c r="AC684" s="12" t="s">
        <v>203</v>
      </c>
      <c r="AD684" s="15" t="str">
        <f t="shared" si="22"/>
        <v>Training - Corporate - TRG</v>
      </c>
      <c r="AE684" s="12" t="s">
        <v>118</v>
      </c>
      <c r="AF684" s="12" t="s">
        <v>988</v>
      </c>
      <c r="AG684" s="12" t="s">
        <v>114</v>
      </c>
      <c r="AH684" s="12" t="s">
        <v>1038</v>
      </c>
      <c r="AJ684" s="14">
        <v>93221</v>
      </c>
      <c r="AK684" s="14" t="s">
        <v>958</v>
      </c>
    </row>
    <row r="685" spans="18:37">
      <c r="R685" s="14">
        <v>86250</v>
      </c>
      <c r="S685" s="14" t="s">
        <v>430</v>
      </c>
      <c r="T685" s="12" t="s">
        <v>185</v>
      </c>
      <c r="U685" s="15" t="str">
        <f t="shared" si="21"/>
        <v>Customer Experience - SD - TPS</v>
      </c>
      <c r="V685" s="12" t="s">
        <v>104</v>
      </c>
      <c r="W685" s="12" t="s">
        <v>113</v>
      </c>
      <c r="X685" s="12" t="s">
        <v>114</v>
      </c>
      <c r="Y685" s="12" t="s">
        <v>1038</v>
      </c>
      <c r="AA685" s="14">
        <v>97302</v>
      </c>
      <c r="AB685" s="14" t="s">
        <v>987</v>
      </c>
      <c r="AC685" s="12" t="s">
        <v>208</v>
      </c>
      <c r="AD685" s="15" t="str">
        <f t="shared" si="22"/>
        <v>Training - Corporate - TTR</v>
      </c>
      <c r="AE685" s="12" t="s">
        <v>118</v>
      </c>
      <c r="AF685" s="12" t="s">
        <v>988</v>
      </c>
      <c r="AG685" s="12" t="s">
        <v>114</v>
      </c>
      <c r="AH685" s="12" t="s">
        <v>1038</v>
      </c>
      <c r="AJ685" s="14">
        <v>93230</v>
      </c>
      <c r="AK685" s="14" t="s">
        <v>343</v>
      </c>
    </row>
    <row r="686" spans="18:37">
      <c r="R686" s="14">
        <v>93101</v>
      </c>
      <c r="S686" s="14" t="s">
        <v>441</v>
      </c>
      <c r="T686" s="12" t="s">
        <v>145</v>
      </c>
      <c r="U686" s="15" t="str">
        <f t="shared" si="21"/>
        <v>Customer Relations - SUP</v>
      </c>
      <c r="V686" s="12" t="s">
        <v>104</v>
      </c>
      <c r="W686" s="12" t="s">
        <v>257</v>
      </c>
      <c r="X686" s="12" t="s">
        <v>114</v>
      </c>
      <c r="Y686" s="12" t="s">
        <v>1038</v>
      </c>
      <c r="AA686" s="14">
        <v>96107</v>
      </c>
      <c r="AB686" s="14" t="s">
        <v>994</v>
      </c>
      <c r="AC686" s="12" t="s">
        <v>121</v>
      </c>
      <c r="AD686" s="15" t="str">
        <f t="shared" si="22"/>
        <v>Treasury - F&amp;A</v>
      </c>
      <c r="AE686" s="12" t="s">
        <v>118</v>
      </c>
      <c r="AF686" s="12" t="s">
        <v>994</v>
      </c>
      <c r="AG686" s="12" t="s">
        <v>114</v>
      </c>
      <c r="AH686" s="12" t="s">
        <v>1038</v>
      </c>
      <c r="AJ686" s="14">
        <v>93250</v>
      </c>
      <c r="AK686" s="14" t="s">
        <v>959</v>
      </c>
    </row>
    <row r="687" spans="18:37">
      <c r="R687" s="14">
        <v>51088</v>
      </c>
      <c r="S687" s="14" t="s">
        <v>700</v>
      </c>
      <c r="T687" s="12" t="s">
        <v>116</v>
      </c>
      <c r="U687" s="15" t="str">
        <f t="shared" si="21"/>
        <v>CW-2204-2303-SOA-APP-Support - PRD</v>
      </c>
      <c r="V687" s="12" t="s">
        <v>117</v>
      </c>
      <c r="W687" s="12" t="s">
        <v>117</v>
      </c>
      <c r="X687" s="12" t="s">
        <v>117</v>
      </c>
      <c r="Y687" s="12" t="s">
        <v>1038</v>
      </c>
      <c r="AA687" s="14">
        <v>96107</v>
      </c>
      <c r="AB687" s="14" t="s">
        <v>994</v>
      </c>
      <c r="AC687" s="12" t="s">
        <v>129</v>
      </c>
      <c r="AD687" s="15" t="str">
        <f t="shared" si="22"/>
        <v>Treasury - MGT</v>
      </c>
      <c r="AE687" s="12" t="s">
        <v>118</v>
      </c>
      <c r="AF687" s="12" t="s">
        <v>994</v>
      </c>
      <c r="AG687" s="12" t="s">
        <v>114</v>
      </c>
      <c r="AH687" s="12" t="s">
        <v>1038</v>
      </c>
      <c r="AJ687" s="14">
        <v>93350</v>
      </c>
      <c r="AK687" s="14" t="s">
        <v>1100</v>
      </c>
    </row>
    <row r="688" spans="18:37">
      <c r="R688" s="14">
        <v>10470</v>
      </c>
      <c r="S688" s="14" t="s">
        <v>240</v>
      </c>
      <c r="T688" s="12" t="s">
        <v>185</v>
      </c>
      <c r="U688" s="15" t="str">
        <f t="shared" si="21"/>
        <v>CX and KA GST - TPS</v>
      </c>
      <c r="V688" s="12" t="s">
        <v>126</v>
      </c>
      <c r="W688" s="12" t="s">
        <v>163</v>
      </c>
      <c r="X688" s="12" t="s">
        <v>164</v>
      </c>
      <c r="Y688" s="12" t="s">
        <v>1038</v>
      </c>
      <c r="AA688" s="14">
        <v>96107</v>
      </c>
      <c r="AB688" s="14" t="s">
        <v>994</v>
      </c>
      <c r="AC688" s="12" t="s">
        <v>139</v>
      </c>
      <c r="AD688" s="15" t="str">
        <f t="shared" si="22"/>
        <v>Treasury - SMGT</v>
      </c>
      <c r="AE688" s="12" t="s">
        <v>118</v>
      </c>
      <c r="AF688" s="12" t="s">
        <v>994</v>
      </c>
      <c r="AG688" s="12" t="s">
        <v>114</v>
      </c>
      <c r="AH688" s="12" t="s">
        <v>1038</v>
      </c>
      <c r="AJ688" s="14">
        <v>93563</v>
      </c>
      <c r="AK688" s="14" t="s">
        <v>960</v>
      </c>
    </row>
    <row r="689" spans="18:37">
      <c r="R689" s="14">
        <v>51385</v>
      </c>
      <c r="S689" s="14" t="s">
        <v>779</v>
      </c>
      <c r="T689" s="12" t="s">
        <v>116</v>
      </c>
      <c r="U689" s="15" t="str">
        <f t="shared" si="21"/>
        <v>DAI-2208-2212-IT_DeveloperLead - PRD</v>
      </c>
      <c r="V689" s="12" t="s">
        <v>117</v>
      </c>
      <c r="W689" s="12" t="s">
        <v>117</v>
      </c>
      <c r="X689" s="12" t="s">
        <v>117</v>
      </c>
      <c r="Y689" s="12" t="s">
        <v>1038</v>
      </c>
      <c r="AA689" s="14">
        <v>96107</v>
      </c>
      <c r="AB689" s="14" t="s">
        <v>994</v>
      </c>
      <c r="AC689" s="12" t="s">
        <v>145</v>
      </c>
      <c r="AD689" s="15" t="str">
        <f t="shared" si="22"/>
        <v>Treasury - SUP</v>
      </c>
      <c r="AE689" s="12" t="s">
        <v>118</v>
      </c>
      <c r="AF689" s="12" t="s">
        <v>994</v>
      </c>
      <c r="AG689" s="12" t="s">
        <v>114</v>
      </c>
      <c r="AH689" s="12" t="s">
        <v>1038</v>
      </c>
      <c r="AJ689" s="14">
        <v>93582</v>
      </c>
      <c r="AK689" s="14" t="s">
        <v>687</v>
      </c>
    </row>
    <row r="690" spans="18:37">
      <c r="R690" s="14">
        <v>51097</v>
      </c>
      <c r="S690" s="14" t="s">
        <v>701</v>
      </c>
      <c r="T690" s="12" t="s">
        <v>116</v>
      </c>
      <c r="U690" s="15" t="str">
        <f t="shared" si="21"/>
        <v>DAI-2304-2312-IT-HelpDesk-Nara - PRD</v>
      </c>
      <c r="V690" s="12" t="s">
        <v>117</v>
      </c>
      <c r="W690" s="12" t="s">
        <v>117</v>
      </c>
      <c r="X690" s="12" t="s">
        <v>117</v>
      </c>
      <c r="Y690" s="12" t="s">
        <v>1038</v>
      </c>
      <c r="AA690" s="14">
        <v>95702</v>
      </c>
      <c r="AB690" s="14" t="s">
        <v>995</v>
      </c>
      <c r="AC690" s="12" t="s">
        <v>145</v>
      </c>
      <c r="AD690" s="15" t="str">
        <f t="shared" si="22"/>
        <v>Unified Communication - SUP</v>
      </c>
      <c r="AE690" s="12" t="s">
        <v>118</v>
      </c>
      <c r="AF690" s="12" t="s">
        <v>263</v>
      </c>
      <c r="AG690" s="12" t="s">
        <v>264</v>
      </c>
      <c r="AH690" s="12" t="s">
        <v>1038</v>
      </c>
      <c r="AJ690" s="14">
        <v>93584</v>
      </c>
      <c r="AK690" s="14" t="s">
        <v>961</v>
      </c>
    </row>
    <row r="691" spans="18:37">
      <c r="R691" s="14">
        <v>51101</v>
      </c>
      <c r="S691" s="14" t="s">
        <v>702</v>
      </c>
      <c r="T691" s="12" t="s">
        <v>116</v>
      </c>
      <c r="U691" s="15" t="str">
        <f t="shared" si="21"/>
        <v>DAI-EAS-OracleEBS-MirMubashirA - PRD</v>
      </c>
      <c r="V691" s="12" t="s">
        <v>117</v>
      </c>
      <c r="W691" s="12" t="s">
        <v>117</v>
      </c>
      <c r="X691" s="12" t="s">
        <v>117</v>
      </c>
      <c r="Y691" s="12" t="s">
        <v>1038</v>
      </c>
      <c r="AA691" s="14">
        <v>12408</v>
      </c>
      <c r="AB691" s="14" t="s">
        <v>540</v>
      </c>
      <c r="AC691" s="12" t="s">
        <v>230</v>
      </c>
      <c r="AD691" s="15" t="str">
        <f t="shared" si="22"/>
        <v>University of Illinois-Coding - PRSP</v>
      </c>
      <c r="AE691" s="12" t="s">
        <v>159</v>
      </c>
      <c r="AF691" s="12" t="s">
        <v>237</v>
      </c>
      <c r="AG691" s="12" t="s">
        <v>238</v>
      </c>
      <c r="AH691" s="12" t="s">
        <v>1038</v>
      </c>
      <c r="AJ691" s="14">
        <v>93589</v>
      </c>
      <c r="AK691" s="14" t="s">
        <v>962</v>
      </c>
    </row>
    <row r="692" spans="18:37">
      <c r="R692" s="14">
        <v>51103</v>
      </c>
      <c r="S692" s="14" t="s">
        <v>703</v>
      </c>
      <c r="T692" s="12" t="s">
        <v>116</v>
      </c>
      <c r="U692" s="15" t="str">
        <f t="shared" si="21"/>
        <v>DAI-HRMS-Vamsi - PRD</v>
      </c>
      <c r="V692" s="12" t="s">
        <v>117</v>
      </c>
      <c r="W692" s="12" t="s">
        <v>117</v>
      </c>
      <c r="X692" s="12" t="s">
        <v>117</v>
      </c>
      <c r="Y692" s="12" t="s">
        <v>1038</v>
      </c>
      <c r="AA692" s="14">
        <v>12408</v>
      </c>
      <c r="AB692" s="14" t="s">
        <v>540</v>
      </c>
      <c r="AC692" s="12" t="s">
        <v>145</v>
      </c>
      <c r="AD692" s="15" t="str">
        <f t="shared" si="22"/>
        <v>University of Illinois-Coding - SUP</v>
      </c>
      <c r="AE692" s="12" t="s">
        <v>159</v>
      </c>
      <c r="AF692" s="12" t="s">
        <v>237</v>
      </c>
      <c r="AG692" s="12" t="s">
        <v>238</v>
      </c>
      <c r="AH692" s="12" t="s">
        <v>1038</v>
      </c>
      <c r="AJ692" s="14">
        <v>93590</v>
      </c>
      <c r="AK692" s="14" t="s">
        <v>963</v>
      </c>
    </row>
    <row r="693" spans="18:37">
      <c r="R693" s="14">
        <v>51104</v>
      </c>
      <c r="S693" s="14" t="s">
        <v>704</v>
      </c>
      <c r="T693" s="12" t="s">
        <v>116</v>
      </c>
      <c r="U693" s="15" t="str">
        <f t="shared" si="21"/>
        <v>DAI-ITInfraDesk - PRD</v>
      </c>
      <c r="V693" s="12" t="s">
        <v>117</v>
      </c>
      <c r="W693" s="12" t="s">
        <v>117</v>
      </c>
      <c r="X693" s="12" t="s">
        <v>117</v>
      </c>
      <c r="Y693" s="12" t="s">
        <v>1038</v>
      </c>
      <c r="AA693" s="14">
        <v>12408</v>
      </c>
      <c r="AB693" s="14" t="s">
        <v>540</v>
      </c>
      <c r="AC693" s="12" t="s">
        <v>185</v>
      </c>
      <c r="AD693" s="15" t="str">
        <f t="shared" si="22"/>
        <v>University of Illinois-Coding - TPS</v>
      </c>
      <c r="AE693" s="12" t="s">
        <v>159</v>
      </c>
      <c r="AF693" s="12" t="s">
        <v>237</v>
      </c>
      <c r="AG693" s="12" t="s">
        <v>238</v>
      </c>
      <c r="AH693" s="12" t="s">
        <v>1038</v>
      </c>
      <c r="AJ693" s="14">
        <v>93601</v>
      </c>
      <c r="AK693" s="14" t="s">
        <v>964</v>
      </c>
    </row>
    <row r="694" spans="18:37">
      <c r="R694" s="14">
        <v>51105</v>
      </c>
      <c r="S694" s="14" t="s">
        <v>705</v>
      </c>
      <c r="T694" s="12" t="s">
        <v>116</v>
      </c>
      <c r="U694" s="15" t="str">
        <f t="shared" si="21"/>
        <v>DAI-O365-Venkat - PRD</v>
      </c>
      <c r="V694" s="12" t="s">
        <v>117</v>
      </c>
      <c r="W694" s="12" t="s">
        <v>117</v>
      </c>
      <c r="X694" s="12" t="s">
        <v>117</v>
      </c>
      <c r="Y694" s="12" t="s">
        <v>1038</v>
      </c>
      <c r="AA694" s="14">
        <v>96727</v>
      </c>
      <c r="AB694" s="14" t="s">
        <v>999</v>
      </c>
      <c r="AC694" s="12" t="s">
        <v>129</v>
      </c>
      <c r="AD694" s="15" t="str">
        <f t="shared" si="22"/>
        <v>Vertical Business Finance - MGT</v>
      </c>
      <c r="AE694" s="12" t="s">
        <v>118</v>
      </c>
      <c r="AF694" s="12" t="s">
        <v>122</v>
      </c>
      <c r="AG694" s="12" t="s">
        <v>114</v>
      </c>
      <c r="AH694" s="12" t="s">
        <v>1038</v>
      </c>
      <c r="AJ694" s="14">
        <v>93604</v>
      </c>
      <c r="AK694" s="14" t="s">
        <v>834</v>
      </c>
    </row>
    <row r="695" spans="18:37">
      <c r="R695" s="14">
        <v>51106</v>
      </c>
      <c r="S695" s="14" t="s">
        <v>706</v>
      </c>
      <c r="T695" s="12" t="s">
        <v>116</v>
      </c>
      <c r="U695" s="15" t="str">
        <f t="shared" si="21"/>
        <v>DAI-OracleAppsTechnical - PRD</v>
      </c>
      <c r="V695" s="12" t="s">
        <v>117</v>
      </c>
      <c r="W695" s="12" t="s">
        <v>117</v>
      </c>
      <c r="X695" s="12" t="s">
        <v>117</v>
      </c>
      <c r="Y695" s="12" t="s">
        <v>1038</v>
      </c>
      <c r="AA695" s="14">
        <v>96727</v>
      </c>
      <c r="AB695" s="14" t="s">
        <v>999</v>
      </c>
      <c r="AC695" s="12" t="s">
        <v>139</v>
      </c>
      <c r="AD695" s="15" t="str">
        <f t="shared" si="22"/>
        <v>Vertical Business Finance - SMGT</v>
      </c>
      <c r="AE695" s="12" t="s">
        <v>118</v>
      </c>
      <c r="AF695" s="12" t="s">
        <v>122</v>
      </c>
      <c r="AG695" s="12" t="s">
        <v>114</v>
      </c>
      <c r="AH695" s="12" t="s">
        <v>1038</v>
      </c>
      <c r="AJ695" s="14">
        <v>93610</v>
      </c>
      <c r="AK695" s="14" t="s">
        <v>965</v>
      </c>
    </row>
    <row r="696" spans="18:37">
      <c r="R696" s="14">
        <v>51115</v>
      </c>
      <c r="S696" s="14" t="s">
        <v>709</v>
      </c>
      <c r="T696" s="12" t="s">
        <v>116</v>
      </c>
      <c r="U696" s="15" t="str">
        <f t="shared" si="21"/>
        <v>Deckers-EBSEnhancement - PRD</v>
      </c>
      <c r="V696" s="12" t="s">
        <v>117</v>
      </c>
      <c r="W696" s="12" t="s">
        <v>117</v>
      </c>
      <c r="X696" s="12" t="s">
        <v>117</v>
      </c>
      <c r="Y696" s="12" t="s">
        <v>1038</v>
      </c>
      <c r="AA696" s="14">
        <v>96727</v>
      </c>
      <c r="AB696" s="14" t="s">
        <v>999</v>
      </c>
      <c r="AC696" s="12" t="s">
        <v>145</v>
      </c>
      <c r="AD696" s="15" t="str">
        <f t="shared" si="22"/>
        <v>Vertical Business Finance - SUP</v>
      </c>
      <c r="AE696" s="12" t="s">
        <v>118</v>
      </c>
      <c r="AF696" s="12" t="s">
        <v>122</v>
      </c>
      <c r="AG696" s="12" t="s">
        <v>114</v>
      </c>
      <c r="AH696" s="12" t="s">
        <v>1038</v>
      </c>
      <c r="AJ696" s="14">
        <v>93621</v>
      </c>
      <c r="AK696" s="14" t="s">
        <v>302</v>
      </c>
    </row>
    <row r="697" spans="18:37">
      <c r="R697" s="14">
        <v>51119</v>
      </c>
      <c r="S697" s="14" t="s">
        <v>710</v>
      </c>
      <c r="T697" s="12" t="s">
        <v>116</v>
      </c>
      <c r="U697" s="15" t="str">
        <f t="shared" si="21"/>
        <v>Deckers-SOAInfraSupport - PRD</v>
      </c>
      <c r="V697" s="12" t="s">
        <v>117</v>
      </c>
      <c r="W697" s="12" t="s">
        <v>117</v>
      </c>
      <c r="X697" s="12" t="s">
        <v>117</v>
      </c>
      <c r="Y697" s="12" t="s">
        <v>1038</v>
      </c>
      <c r="AA697" s="14">
        <v>90100</v>
      </c>
      <c r="AB697" s="14" t="s">
        <v>400</v>
      </c>
      <c r="AC697" s="12" t="s">
        <v>177</v>
      </c>
      <c r="AD697" s="15" t="str">
        <f t="shared" si="22"/>
        <v>Vice Chairman Office - OPS</v>
      </c>
      <c r="AE697" s="12" t="s">
        <v>118</v>
      </c>
      <c r="AF697" s="12" t="s">
        <v>401</v>
      </c>
      <c r="AG697" s="12" t="s">
        <v>114</v>
      </c>
      <c r="AH697" s="12" t="s">
        <v>1038</v>
      </c>
      <c r="AJ697" s="14">
        <v>93625</v>
      </c>
      <c r="AK697" s="14" t="s">
        <v>737</v>
      </c>
    </row>
    <row r="698" spans="18:37">
      <c r="R698" s="14">
        <v>10648</v>
      </c>
      <c r="S698" s="14" t="s">
        <v>283</v>
      </c>
      <c r="T698" s="12" t="s">
        <v>145</v>
      </c>
      <c r="U698" s="15" t="str">
        <f t="shared" si="21"/>
        <v>Dell SmartLeap SW License - SUP</v>
      </c>
      <c r="V698" s="12" t="s">
        <v>104</v>
      </c>
      <c r="W698" s="12" t="s">
        <v>117</v>
      </c>
      <c r="X698" s="12" t="s">
        <v>117</v>
      </c>
      <c r="Y698" s="12" t="s">
        <v>1038</v>
      </c>
      <c r="AA698" s="14">
        <v>90100</v>
      </c>
      <c r="AB698" s="14" t="s">
        <v>400</v>
      </c>
      <c r="AC698" s="12" t="s">
        <v>139</v>
      </c>
      <c r="AD698" s="15" t="str">
        <f t="shared" si="22"/>
        <v>Vice Chairman Office - SMGT</v>
      </c>
      <c r="AE698" s="12" t="s">
        <v>118</v>
      </c>
      <c r="AF698" s="12" t="s">
        <v>401</v>
      </c>
      <c r="AG698" s="12" t="s">
        <v>114</v>
      </c>
      <c r="AH698" s="12" t="s">
        <v>1038</v>
      </c>
      <c r="AJ698" s="14">
        <v>93630</v>
      </c>
      <c r="AK698" s="14" t="s">
        <v>966</v>
      </c>
    </row>
    <row r="699" spans="18:37">
      <c r="R699" s="14">
        <v>93858</v>
      </c>
      <c r="S699" s="14" t="s">
        <v>982</v>
      </c>
      <c r="T699" s="12" t="s">
        <v>129</v>
      </c>
      <c r="U699" s="15" t="str">
        <f t="shared" si="21"/>
        <v>DES - COE - MGT</v>
      </c>
      <c r="V699" s="12" t="s">
        <v>117</v>
      </c>
      <c r="W699" s="12" t="s">
        <v>117</v>
      </c>
      <c r="X699" s="12" t="s">
        <v>117</v>
      </c>
      <c r="Y699" s="12" t="s">
        <v>1038</v>
      </c>
      <c r="AA699" s="14">
        <v>12446</v>
      </c>
      <c r="AB699" s="14" t="s">
        <v>552</v>
      </c>
      <c r="AC699" s="12" t="s">
        <v>116</v>
      </c>
      <c r="AD699" s="15" t="str">
        <f t="shared" si="22"/>
        <v>Virence - PRD</v>
      </c>
      <c r="AE699" s="12" t="s">
        <v>117</v>
      </c>
      <c r="AF699" s="12" t="s">
        <v>117</v>
      </c>
      <c r="AG699" s="12" t="s">
        <v>117</v>
      </c>
      <c r="AH699" s="12" t="s">
        <v>1038</v>
      </c>
      <c r="AJ699" s="14">
        <v>93631</v>
      </c>
      <c r="AK699" s="14" t="s">
        <v>967</v>
      </c>
    </row>
    <row r="700" spans="18:37">
      <c r="R700" s="14">
        <v>93858</v>
      </c>
      <c r="S700" s="14" t="s">
        <v>982</v>
      </c>
      <c r="T700" s="12" t="s">
        <v>145</v>
      </c>
      <c r="U700" s="15" t="str">
        <f t="shared" si="21"/>
        <v>DES - COE - SUP</v>
      </c>
      <c r="V700" s="12" t="s">
        <v>117</v>
      </c>
      <c r="W700" s="12" t="s">
        <v>117</v>
      </c>
      <c r="X700" s="12" t="s">
        <v>117</v>
      </c>
      <c r="Y700" s="12" t="s">
        <v>1038</v>
      </c>
      <c r="AA700" s="14">
        <v>12446</v>
      </c>
      <c r="AB700" s="14" t="s">
        <v>552</v>
      </c>
      <c r="AC700" s="12" t="s">
        <v>139</v>
      </c>
      <c r="AD700" s="15" t="str">
        <f t="shared" si="22"/>
        <v>Virence - SMGT</v>
      </c>
      <c r="AE700" s="12" t="s">
        <v>117</v>
      </c>
      <c r="AF700" s="12" t="s">
        <v>117</v>
      </c>
      <c r="AG700" s="12" t="s">
        <v>117</v>
      </c>
      <c r="AH700" s="12" t="s">
        <v>1038</v>
      </c>
      <c r="AJ700" s="14">
        <v>93675</v>
      </c>
      <c r="AK700" s="14" t="s">
        <v>256</v>
      </c>
    </row>
    <row r="701" spans="18:37">
      <c r="R701" s="14">
        <v>97246</v>
      </c>
      <c r="S701" s="14" t="s">
        <v>1101</v>
      </c>
      <c r="T701" s="12" t="s">
        <v>145</v>
      </c>
      <c r="U701" s="15" t="str">
        <f t="shared" si="21"/>
        <v>DES1 Recruitment US Support - SUP</v>
      </c>
      <c r="V701" s="12" t="s">
        <v>104</v>
      </c>
      <c r="W701" s="12" t="s">
        <v>512</v>
      </c>
      <c r="X701" s="12" t="s">
        <v>114</v>
      </c>
      <c r="Y701" s="12" t="s">
        <v>1038</v>
      </c>
      <c r="AA701" s="14">
        <v>12446</v>
      </c>
      <c r="AB701" s="14" t="s">
        <v>552</v>
      </c>
      <c r="AC701" s="12" t="s">
        <v>145</v>
      </c>
      <c r="AD701" s="15" t="str">
        <f t="shared" si="22"/>
        <v>Virence - SUP</v>
      </c>
      <c r="AE701" s="12" t="s">
        <v>117</v>
      </c>
      <c r="AF701" s="12" t="s">
        <v>117</v>
      </c>
      <c r="AG701" s="12" t="s">
        <v>117</v>
      </c>
      <c r="AH701" s="12" t="s">
        <v>1038</v>
      </c>
      <c r="AJ701" s="14">
        <v>93680</v>
      </c>
      <c r="AK701" s="14" t="s">
        <v>825</v>
      </c>
    </row>
    <row r="702" spans="18:37">
      <c r="R702" s="14">
        <v>92116</v>
      </c>
      <c r="S702" s="14" t="s">
        <v>452</v>
      </c>
      <c r="T702" s="12" t="s">
        <v>145</v>
      </c>
      <c r="U702" s="15" t="str">
        <f t="shared" si="21"/>
        <v>DES-1_ Facilities - SUP</v>
      </c>
      <c r="V702" s="12" t="s">
        <v>104</v>
      </c>
      <c r="W702" s="12" t="s">
        <v>349</v>
      </c>
      <c r="X702" s="12" t="s">
        <v>350</v>
      </c>
      <c r="Y702" s="12" t="s">
        <v>1038</v>
      </c>
      <c r="AA702" s="14">
        <v>12490</v>
      </c>
      <c r="AB702" s="14" t="s">
        <v>563</v>
      </c>
      <c r="AC702" s="12" t="s">
        <v>332</v>
      </c>
      <c r="AD702" s="15" t="str">
        <f t="shared" si="22"/>
        <v>VVC Holding Corp - Coding - RCF</v>
      </c>
      <c r="AE702" s="12" t="s">
        <v>159</v>
      </c>
      <c r="AF702" s="12" t="s">
        <v>237</v>
      </c>
      <c r="AG702" s="12" t="s">
        <v>238</v>
      </c>
      <c r="AH702" s="12" t="s">
        <v>1038</v>
      </c>
      <c r="AJ702" s="14">
        <v>93686</v>
      </c>
      <c r="AK702" s="14" t="s">
        <v>968</v>
      </c>
    </row>
    <row r="703" spans="18:37">
      <c r="R703" s="14">
        <v>95103</v>
      </c>
      <c r="S703" s="14" t="s">
        <v>454</v>
      </c>
      <c r="T703" s="12" t="s">
        <v>415</v>
      </c>
      <c r="U703" s="15" t="str">
        <f t="shared" si="21"/>
        <v>Deskside Support - GTI</v>
      </c>
      <c r="V703" s="12" t="s">
        <v>104</v>
      </c>
      <c r="W703" s="12" t="s">
        <v>263</v>
      </c>
      <c r="X703" s="12" t="s">
        <v>264</v>
      </c>
      <c r="Y703" s="12" t="s">
        <v>1038</v>
      </c>
      <c r="AA703" s="14">
        <v>12490</v>
      </c>
      <c r="AB703" s="14" t="s">
        <v>563</v>
      </c>
      <c r="AC703" s="12" t="s">
        <v>145</v>
      </c>
      <c r="AD703" s="15" t="str">
        <f t="shared" si="22"/>
        <v>VVC Holding Corp - Coding - SUP</v>
      </c>
      <c r="AE703" s="12" t="s">
        <v>159</v>
      </c>
      <c r="AF703" s="12" t="s">
        <v>237</v>
      </c>
      <c r="AG703" s="12" t="s">
        <v>238</v>
      </c>
      <c r="AH703" s="12" t="s">
        <v>1038</v>
      </c>
      <c r="AJ703" s="14">
        <v>93801</v>
      </c>
      <c r="AK703" s="14" t="s">
        <v>942</v>
      </c>
    </row>
    <row r="704" spans="18:37">
      <c r="R704" s="14">
        <v>95103</v>
      </c>
      <c r="S704" s="14" t="s">
        <v>454</v>
      </c>
      <c r="T704" s="12" t="s">
        <v>129</v>
      </c>
      <c r="U704" s="15" t="str">
        <f t="shared" si="21"/>
        <v>Deskside Support - MGT</v>
      </c>
      <c r="V704" s="12" t="s">
        <v>104</v>
      </c>
      <c r="W704" s="12" t="s">
        <v>263</v>
      </c>
      <c r="X704" s="12" t="s">
        <v>264</v>
      </c>
      <c r="Y704" s="12" t="s">
        <v>1038</v>
      </c>
      <c r="AA704" s="14">
        <v>12490</v>
      </c>
      <c r="AB704" s="14" t="s">
        <v>563</v>
      </c>
      <c r="AC704" s="12" t="s">
        <v>185</v>
      </c>
      <c r="AD704" s="15" t="str">
        <f t="shared" si="22"/>
        <v>VVC Holding Corp - Coding - TPS</v>
      </c>
      <c r="AE704" s="12" t="s">
        <v>159</v>
      </c>
      <c r="AF704" s="12" t="s">
        <v>237</v>
      </c>
      <c r="AG704" s="12" t="s">
        <v>238</v>
      </c>
      <c r="AH704" s="12" t="s">
        <v>1038</v>
      </c>
      <c r="AJ704" s="14">
        <v>93802</v>
      </c>
      <c r="AK704" s="14" t="s">
        <v>949</v>
      </c>
    </row>
    <row r="705" spans="18:37">
      <c r="R705" s="14">
        <v>95103</v>
      </c>
      <c r="S705" s="14" t="s">
        <v>454</v>
      </c>
      <c r="T705" s="12" t="s">
        <v>145</v>
      </c>
      <c r="U705" s="15" t="str">
        <f t="shared" si="21"/>
        <v>Deskside Support - SUP</v>
      </c>
      <c r="V705" s="12" t="s">
        <v>104</v>
      </c>
      <c r="W705" s="12" t="s">
        <v>263</v>
      </c>
      <c r="X705" s="12" t="s">
        <v>264</v>
      </c>
      <c r="Y705" s="12" t="s">
        <v>1038</v>
      </c>
      <c r="AA705" s="14">
        <v>10941</v>
      </c>
      <c r="AB705" s="14" t="s">
        <v>482</v>
      </c>
      <c r="AC705" s="12" t="s">
        <v>150</v>
      </c>
      <c r="AD705" s="15" t="str">
        <f t="shared" si="22"/>
        <v>Wex_CustomerCare - CCS</v>
      </c>
      <c r="AE705" s="12" t="s">
        <v>141</v>
      </c>
      <c r="AF705" s="12" t="s">
        <v>163</v>
      </c>
      <c r="AG705" s="12" t="s">
        <v>164</v>
      </c>
      <c r="AH705" s="12" t="s">
        <v>1038</v>
      </c>
      <c r="AJ705" s="14">
        <v>93803</v>
      </c>
      <c r="AK705" s="14" t="s">
        <v>951</v>
      </c>
    </row>
    <row r="706" spans="18:37">
      <c r="R706" s="14">
        <v>95103</v>
      </c>
      <c r="S706" s="14" t="s">
        <v>454</v>
      </c>
      <c r="T706" s="12" t="s">
        <v>180</v>
      </c>
      <c r="U706" s="15" t="str">
        <f t="shared" si="21"/>
        <v>Deskside Support - TMG</v>
      </c>
      <c r="V706" s="12" t="s">
        <v>104</v>
      </c>
      <c r="W706" s="12" t="s">
        <v>263</v>
      </c>
      <c r="X706" s="12" t="s">
        <v>264</v>
      </c>
      <c r="Y706" s="12" t="s">
        <v>1038</v>
      </c>
      <c r="AA706" s="14">
        <v>10941</v>
      </c>
      <c r="AB706" s="14" t="s">
        <v>482</v>
      </c>
      <c r="AC706" s="12" t="s">
        <v>172</v>
      </c>
      <c r="AD706" s="15" t="str">
        <f t="shared" si="22"/>
        <v>Wex_CustomerCare - SME</v>
      </c>
      <c r="AE706" s="12" t="s">
        <v>141</v>
      </c>
      <c r="AF706" s="12" t="s">
        <v>163</v>
      </c>
      <c r="AG706" s="12" t="s">
        <v>164</v>
      </c>
      <c r="AH706" s="12" t="s">
        <v>1038</v>
      </c>
      <c r="AJ706" s="14">
        <v>93806</v>
      </c>
      <c r="AK706" s="14" t="s">
        <v>943</v>
      </c>
    </row>
    <row r="707" spans="18:37">
      <c r="R707" s="14">
        <v>10829</v>
      </c>
      <c r="S707" s="14" t="s">
        <v>414</v>
      </c>
      <c r="T707" s="12" t="s">
        <v>306</v>
      </c>
      <c r="U707" s="15" t="str">
        <f t="shared" ref="U707:U770" si="23">S707&amp;" - "&amp;T707</f>
        <v>DHG Audit - FAO</v>
      </c>
      <c r="V707" s="12" t="s">
        <v>126</v>
      </c>
      <c r="W707" s="12" t="s">
        <v>673</v>
      </c>
      <c r="X707" s="12" t="s">
        <v>114</v>
      </c>
      <c r="Y707" s="12" t="s">
        <v>1038</v>
      </c>
      <c r="AA707" s="14">
        <v>10941</v>
      </c>
      <c r="AB707" s="14" t="s">
        <v>482</v>
      </c>
      <c r="AC707" s="12" t="s">
        <v>180</v>
      </c>
      <c r="AD707" s="15" t="str">
        <f>AB707&amp;" - "&amp;AC707</f>
        <v>Wex_CustomerCare - TMG</v>
      </c>
      <c r="AE707" s="12" t="s">
        <v>141</v>
      </c>
      <c r="AF707" s="12" t="s">
        <v>163</v>
      </c>
      <c r="AG707" s="12" t="s">
        <v>164</v>
      </c>
      <c r="AH707" s="12" t="s">
        <v>1038</v>
      </c>
      <c r="AJ707" s="14">
        <v>93807</v>
      </c>
      <c r="AK707" s="14" t="s">
        <v>947</v>
      </c>
    </row>
    <row r="708" spans="18:37">
      <c r="R708" s="14">
        <v>10829</v>
      </c>
      <c r="S708" s="14" t="s">
        <v>414</v>
      </c>
      <c r="T708" s="12" t="s">
        <v>185</v>
      </c>
      <c r="U708" s="15" t="str">
        <f t="shared" si="23"/>
        <v>DHG Audit - TPS</v>
      </c>
      <c r="V708" s="12" t="s">
        <v>126</v>
      </c>
      <c r="W708" s="12" t="s">
        <v>673</v>
      </c>
      <c r="X708" s="12" t="s">
        <v>114</v>
      </c>
      <c r="Y708" s="12" t="s">
        <v>1038</v>
      </c>
      <c r="AA708" s="14">
        <v>10941</v>
      </c>
      <c r="AB708" s="14" t="s">
        <v>482</v>
      </c>
      <c r="AC708" s="12" t="s">
        <v>185</v>
      </c>
      <c r="AD708" s="15" t="str">
        <f>AB708&amp;" - "&amp;AC708</f>
        <v>Wex_CustomerCare - TPS</v>
      </c>
      <c r="AE708" s="12" t="s">
        <v>141</v>
      </c>
      <c r="AF708" s="12" t="s">
        <v>163</v>
      </c>
      <c r="AG708" s="12" t="s">
        <v>164</v>
      </c>
      <c r="AH708" s="12" t="s">
        <v>1038</v>
      </c>
      <c r="AJ708" s="14">
        <v>93808</v>
      </c>
      <c r="AK708" s="14" t="s">
        <v>937</v>
      </c>
    </row>
    <row r="709" spans="18:37">
      <c r="R709" s="14">
        <v>10756</v>
      </c>
      <c r="S709" s="14" t="s">
        <v>359</v>
      </c>
      <c r="T709" s="12" t="s">
        <v>138</v>
      </c>
      <c r="U709" s="15" t="str">
        <f t="shared" si="23"/>
        <v>DHG Tax Auditing - BOS</v>
      </c>
      <c r="V709" s="12" t="s">
        <v>126</v>
      </c>
      <c r="W709" s="12" t="s">
        <v>673</v>
      </c>
      <c r="X709" s="12" t="s">
        <v>114</v>
      </c>
      <c r="Y709" s="12" t="s">
        <v>1038</v>
      </c>
      <c r="AA709" s="12"/>
      <c r="AB709" s="33"/>
      <c r="AC709" s="34"/>
      <c r="AD709" s="15"/>
      <c r="AE709" s="14"/>
      <c r="AF709" s="12"/>
      <c r="AG709" s="12"/>
      <c r="AH709" s="12"/>
      <c r="AJ709" s="14">
        <v>93814</v>
      </c>
      <c r="AK709" s="14" t="s">
        <v>970</v>
      </c>
    </row>
    <row r="710" spans="18:37">
      <c r="R710" s="14">
        <v>10756</v>
      </c>
      <c r="S710" s="14" t="s">
        <v>359</v>
      </c>
      <c r="T710" s="12" t="s">
        <v>116</v>
      </c>
      <c r="U710" s="15" t="str">
        <f t="shared" si="23"/>
        <v>DHG Tax Auditing - PRD</v>
      </c>
      <c r="V710" s="12" t="s">
        <v>126</v>
      </c>
      <c r="W710" s="12" t="s">
        <v>673</v>
      </c>
      <c r="X710" s="12" t="s">
        <v>114</v>
      </c>
      <c r="Y710" s="12" t="s">
        <v>1038</v>
      </c>
      <c r="AA710" s="12"/>
      <c r="AB710" s="33"/>
      <c r="AC710" s="34"/>
      <c r="AD710" s="15"/>
      <c r="AE710" s="14"/>
      <c r="AF710" s="12"/>
      <c r="AG710" s="12"/>
      <c r="AH710" s="12"/>
      <c r="AJ710" s="14">
        <v>93821</v>
      </c>
      <c r="AK710" s="14" t="s">
        <v>971</v>
      </c>
    </row>
    <row r="711" spans="18:37">
      <c r="R711" s="14">
        <v>10756</v>
      </c>
      <c r="S711" s="14" t="s">
        <v>359</v>
      </c>
      <c r="T711" s="12" t="s">
        <v>145</v>
      </c>
      <c r="U711" s="15" t="str">
        <f t="shared" si="23"/>
        <v>DHG Tax Auditing - SUP</v>
      </c>
      <c r="V711" s="12" t="s">
        <v>126</v>
      </c>
      <c r="W711" s="12" t="s">
        <v>673</v>
      </c>
      <c r="X711" s="12" t="s">
        <v>114</v>
      </c>
      <c r="Y711" s="12" t="s">
        <v>1038</v>
      </c>
      <c r="AA711" s="12"/>
      <c r="AB711" s="33"/>
      <c r="AC711" s="34"/>
      <c r="AD711" s="15"/>
      <c r="AE711" s="14"/>
      <c r="AF711" s="12"/>
      <c r="AG711" s="12"/>
      <c r="AH711" s="12"/>
      <c r="AJ711" s="14">
        <v>93822</v>
      </c>
      <c r="AK711" s="14" t="s">
        <v>972</v>
      </c>
    </row>
    <row r="712" spans="18:37">
      <c r="R712" s="14">
        <v>10795</v>
      </c>
      <c r="S712" s="14" t="s">
        <v>390</v>
      </c>
      <c r="T712" s="12" t="s">
        <v>116</v>
      </c>
      <c r="U712" s="15" t="str">
        <f t="shared" si="23"/>
        <v>DHL PHN DCC - PRD</v>
      </c>
      <c r="V712" s="12" t="s">
        <v>126</v>
      </c>
      <c r="W712" s="12" t="s">
        <v>127</v>
      </c>
      <c r="X712" s="12" t="s">
        <v>128</v>
      </c>
      <c r="Y712" s="12" t="s">
        <v>1038</v>
      </c>
      <c r="AA712" s="12"/>
      <c r="AB712" s="33"/>
      <c r="AC712" s="34"/>
      <c r="AD712" s="15"/>
      <c r="AE712" s="14"/>
      <c r="AF712" s="12"/>
      <c r="AG712" s="12"/>
      <c r="AH712" s="12"/>
      <c r="AJ712" s="14">
        <v>93823</v>
      </c>
      <c r="AK712" s="14" t="s">
        <v>973</v>
      </c>
    </row>
    <row r="713" spans="18:37">
      <c r="R713" s="14">
        <v>10795</v>
      </c>
      <c r="S713" s="14" t="s">
        <v>390</v>
      </c>
      <c r="T713" s="12" t="s">
        <v>180</v>
      </c>
      <c r="U713" s="15" t="str">
        <f t="shared" si="23"/>
        <v>DHL PHN DCC - TMG</v>
      </c>
      <c r="V713" s="12" t="s">
        <v>126</v>
      </c>
      <c r="W713" s="12" t="s">
        <v>127</v>
      </c>
      <c r="X713" s="12" t="s">
        <v>128</v>
      </c>
      <c r="Y713" s="12" t="s">
        <v>1038</v>
      </c>
      <c r="AA713" s="12"/>
      <c r="AB713" s="33"/>
      <c r="AC713" s="34"/>
      <c r="AD713" s="15"/>
      <c r="AE713" s="14"/>
      <c r="AF713" s="12"/>
      <c r="AG713" s="12"/>
      <c r="AH713" s="12"/>
      <c r="AJ713" s="14">
        <v>93824</v>
      </c>
      <c r="AK713" s="14" t="s">
        <v>975</v>
      </c>
    </row>
    <row r="714" spans="18:37">
      <c r="R714" s="14">
        <v>40203</v>
      </c>
      <c r="S714" s="14" t="s">
        <v>680</v>
      </c>
      <c r="T714" s="12" t="s">
        <v>133</v>
      </c>
      <c r="U714" s="15" t="str">
        <f t="shared" si="23"/>
        <v>DHL_KYC_INT - AMG</v>
      </c>
      <c r="V714" s="12" t="s">
        <v>126</v>
      </c>
      <c r="W714" s="12" t="s">
        <v>127</v>
      </c>
      <c r="X714" s="12" t="s">
        <v>128</v>
      </c>
      <c r="Y714" s="12" t="s">
        <v>1038</v>
      </c>
      <c r="AA714" s="12"/>
      <c r="AB714" s="33"/>
      <c r="AC714" s="34"/>
      <c r="AD714" s="15"/>
      <c r="AE714" s="14"/>
      <c r="AF714" s="12"/>
      <c r="AG714" s="12"/>
      <c r="AH714" s="12"/>
      <c r="AJ714" s="14">
        <v>93826</v>
      </c>
      <c r="AK714" s="14" t="s">
        <v>976</v>
      </c>
    </row>
    <row r="715" spans="18:37">
      <c r="R715" s="14">
        <v>40203</v>
      </c>
      <c r="S715" s="14" t="s">
        <v>680</v>
      </c>
      <c r="T715" s="12" t="s">
        <v>138</v>
      </c>
      <c r="U715" s="15" t="str">
        <f t="shared" si="23"/>
        <v>DHL_KYC_INT - BOS</v>
      </c>
      <c r="V715" s="12" t="s">
        <v>126</v>
      </c>
      <c r="W715" s="12" t="s">
        <v>127</v>
      </c>
      <c r="X715" s="12" t="s">
        <v>128</v>
      </c>
      <c r="Y715" s="12" t="s">
        <v>1038</v>
      </c>
      <c r="AA715" s="12"/>
      <c r="AB715" s="33"/>
      <c r="AC715" s="34"/>
      <c r="AD715" s="15"/>
      <c r="AE715" s="14"/>
      <c r="AF715" s="12"/>
      <c r="AG715" s="12"/>
      <c r="AH715" s="12"/>
      <c r="AJ715" s="14">
        <v>93827</v>
      </c>
      <c r="AK715" s="14" t="s">
        <v>977</v>
      </c>
    </row>
    <row r="716" spans="18:37">
      <c r="R716" s="14">
        <v>40203</v>
      </c>
      <c r="S716" s="14" t="s">
        <v>680</v>
      </c>
      <c r="T716" s="12" t="s">
        <v>150</v>
      </c>
      <c r="U716" s="15" t="str">
        <f t="shared" si="23"/>
        <v>DHL_KYC_INT - CCS</v>
      </c>
      <c r="V716" s="12" t="s">
        <v>126</v>
      </c>
      <c r="W716" s="12" t="s">
        <v>127</v>
      </c>
      <c r="X716" s="12" t="s">
        <v>128</v>
      </c>
      <c r="Y716" s="12" t="s">
        <v>1038</v>
      </c>
      <c r="AA716" s="12"/>
      <c r="AB716" s="33"/>
      <c r="AC716" s="34"/>
      <c r="AD716" s="15"/>
      <c r="AE716" s="14"/>
      <c r="AF716" s="12"/>
      <c r="AG716" s="12"/>
      <c r="AH716" s="12"/>
      <c r="AJ716" s="14">
        <v>93829</v>
      </c>
      <c r="AK716" s="14" t="s">
        <v>978</v>
      </c>
    </row>
    <row r="717" spans="18:37">
      <c r="R717" s="14">
        <v>40203</v>
      </c>
      <c r="S717" s="14" t="s">
        <v>680</v>
      </c>
      <c r="T717" s="12" t="s">
        <v>116</v>
      </c>
      <c r="U717" s="15" t="str">
        <f t="shared" si="23"/>
        <v>DHL_KYC_INT - PRD</v>
      </c>
      <c r="V717" s="12" t="s">
        <v>126</v>
      </c>
      <c r="W717" s="12" t="s">
        <v>127</v>
      </c>
      <c r="X717" s="12" t="s">
        <v>128</v>
      </c>
      <c r="Y717" s="12" t="s">
        <v>1038</v>
      </c>
      <c r="AA717" s="12"/>
      <c r="AB717" s="33"/>
      <c r="AC717" s="34"/>
      <c r="AD717" s="15"/>
      <c r="AE717" s="14"/>
      <c r="AF717" s="12"/>
      <c r="AG717" s="12"/>
      <c r="AH717" s="12"/>
      <c r="AJ717" s="14">
        <v>93832</v>
      </c>
      <c r="AK717" s="14" t="s">
        <v>979</v>
      </c>
    </row>
    <row r="718" spans="18:37">
      <c r="R718" s="14">
        <v>40203</v>
      </c>
      <c r="S718" s="14" t="s">
        <v>680</v>
      </c>
      <c r="T718" s="12" t="s">
        <v>230</v>
      </c>
      <c r="U718" s="15" t="str">
        <f t="shared" si="23"/>
        <v>DHL_KYC_INT - PRSP</v>
      </c>
      <c r="V718" s="12" t="s">
        <v>112</v>
      </c>
      <c r="W718" s="12" t="s">
        <v>204</v>
      </c>
      <c r="X718" s="12" t="s">
        <v>205</v>
      </c>
      <c r="Y718" s="12" t="s">
        <v>1038</v>
      </c>
      <c r="AA718" s="12"/>
      <c r="AB718" s="33"/>
      <c r="AC718" s="34"/>
      <c r="AD718" s="15"/>
      <c r="AE718" s="14"/>
      <c r="AF718" s="12"/>
      <c r="AG718" s="12"/>
      <c r="AH718" s="12"/>
      <c r="AJ718" s="14">
        <v>93856</v>
      </c>
      <c r="AK718" s="14" t="s">
        <v>612</v>
      </c>
    </row>
    <row r="719" spans="18:37">
      <c r="R719" s="14">
        <v>40203</v>
      </c>
      <c r="S719" s="14" t="s">
        <v>680</v>
      </c>
      <c r="T719" s="12" t="s">
        <v>111</v>
      </c>
      <c r="U719" s="15" t="str">
        <f t="shared" si="23"/>
        <v>DHL_KYC_INT - QLY</v>
      </c>
      <c r="V719" s="12" t="s">
        <v>112</v>
      </c>
      <c r="W719" s="12" t="s">
        <v>113</v>
      </c>
      <c r="X719" s="12" t="s">
        <v>114</v>
      </c>
      <c r="Y719" s="12" t="s">
        <v>1038</v>
      </c>
      <c r="AA719" s="12"/>
      <c r="AB719" s="33"/>
      <c r="AC719" s="34"/>
      <c r="AD719" s="15"/>
      <c r="AE719" s="14"/>
      <c r="AF719" s="12"/>
      <c r="AG719" s="12"/>
      <c r="AH719" s="12"/>
      <c r="AJ719" s="14">
        <v>93858</v>
      </c>
      <c r="AK719" s="14" t="s">
        <v>982</v>
      </c>
    </row>
    <row r="720" spans="18:37">
      <c r="R720" s="14">
        <v>40203</v>
      </c>
      <c r="S720" s="14" t="s">
        <v>680</v>
      </c>
      <c r="T720" s="12" t="s">
        <v>145</v>
      </c>
      <c r="U720" s="15" t="str">
        <f t="shared" si="23"/>
        <v>DHL_KYC_INT - SUP</v>
      </c>
      <c r="V720" s="12" t="s">
        <v>126</v>
      </c>
      <c r="W720" s="12" t="s">
        <v>127</v>
      </c>
      <c r="X720" s="12" t="s">
        <v>128</v>
      </c>
      <c r="Y720" s="12" t="s">
        <v>1038</v>
      </c>
      <c r="AA720" s="12"/>
      <c r="AB720" s="33"/>
      <c r="AC720" s="34"/>
      <c r="AD720" s="15"/>
      <c r="AE720" s="14"/>
      <c r="AF720" s="12"/>
      <c r="AG720" s="12"/>
      <c r="AH720" s="12"/>
      <c r="AJ720" s="14">
        <v>93899</v>
      </c>
      <c r="AK720" s="14" t="s">
        <v>952</v>
      </c>
    </row>
    <row r="721" spans="18:37">
      <c r="R721" s="14">
        <v>40203</v>
      </c>
      <c r="S721" s="14" t="s">
        <v>680</v>
      </c>
      <c r="T721" s="12" t="s">
        <v>180</v>
      </c>
      <c r="U721" s="15" t="str">
        <f t="shared" si="23"/>
        <v>DHL_KYC_INT - TMG</v>
      </c>
      <c r="V721" s="12" t="s">
        <v>126</v>
      </c>
      <c r="W721" s="12" t="s">
        <v>127</v>
      </c>
      <c r="X721" s="12" t="s">
        <v>128</v>
      </c>
      <c r="Y721" s="12" t="s">
        <v>1038</v>
      </c>
      <c r="AA721" s="12"/>
      <c r="AB721" s="33"/>
      <c r="AC721" s="34"/>
      <c r="AD721" s="15"/>
      <c r="AE721" s="14"/>
      <c r="AF721" s="12"/>
      <c r="AG721" s="12"/>
      <c r="AH721" s="12"/>
      <c r="AJ721" s="14">
        <v>95100</v>
      </c>
      <c r="AK721" s="14" t="s">
        <v>415</v>
      </c>
    </row>
    <row r="722" spans="18:37">
      <c r="R722" s="14">
        <v>40203</v>
      </c>
      <c r="S722" s="14" t="s">
        <v>680</v>
      </c>
      <c r="T722" s="12" t="s">
        <v>185</v>
      </c>
      <c r="U722" s="15" t="str">
        <f t="shared" si="23"/>
        <v>DHL_KYC_INT - TPS</v>
      </c>
      <c r="V722" s="12" t="s">
        <v>126</v>
      </c>
      <c r="W722" s="12" t="s">
        <v>127</v>
      </c>
      <c r="X722" s="12" t="s">
        <v>128</v>
      </c>
      <c r="Y722" s="12" t="s">
        <v>1038</v>
      </c>
      <c r="AA722" s="12"/>
      <c r="AB722" s="33"/>
      <c r="AC722" s="34"/>
      <c r="AD722" s="15"/>
      <c r="AE722" s="14"/>
      <c r="AF722" s="12"/>
      <c r="AG722" s="12"/>
      <c r="AH722" s="12"/>
      <c r="AJ722" s="14">
        <v>95101</v>
      </c>
      <c r="AK722" s="14" t="s">
        <v>582</v>
      </c>
    </row>
    <row r="723" spans="18:37">
      <c r="R723" s="14">
        <v>40203</v>
      </c>
      <c r="S723" s="14" t="s">
        <v>680</v>
      </c>
      <c r="T723" s="12" t="s">
        <v>203</v>
      </c>
      <c r="U723" s="15" t="str">
        <f t="shared" si="23"/>
        <v>DHL_KYC_INT - TRG</v>
      </c>
      <c r="V723" s="12" t="s">
        <v>112</v>
      </c>
      <c r="W723" s="12" t="s">
        <v>204</v>
      </c>
      <c r="X723" s="12" t="s">
        <v>205</v>
      </c>
      <c r="Y723" s="12" t="s">
        <v>1038</v>
      </c>
      <c r="AA723" s="12"/>
      <c r="AB723" s="33"/>
      <c r="AC723" s="34"/>
      <c r="AD723" s="15"/>
      <c r="AE723" s="14"/>
      <c r="AF723" s="12"/>
      <c r="AG723" s="12"/>
      <c r="AH723" s="12"/>
      <c r="AJ723" s="14">
        <v>95102</v>
      </c>
      <c r="AK723" s="14" t="s">
        <v>762</v>
      </c>
    </row>
    <row r="724" spans="18:37">
      <c r="R724" s="14">
        <v>40203</v>
      </c>
      <c r="S724" s="14" t="s">
        <v>680</v>
      </c>
      <c r="T724" s="12" t="s">
        <v>208</v>
      </c>
      <c r="U724" s="15" t="str">
        <f t="shared" si="23"/>
        <v>DHL_KYC_INT - TTR</v>
      </c>
      <c r="V724" s="12" t="s">
        <v>112</v>
      </c>
      <c r="W724" s="12" t="s">
        <v>204</v>
      </c>
      <c r="X724" s="12" t="s">
        <v>205</v>
      </c>
      <c r="Y724" s="12" t="s">
        <v>1038</v>
      </c>
      <c r="AA724" s="12"/>
      <c r="AB724" s="33"/>
      <c r="AC724" s="34"/>
      <c r="AD724" s="15"/>
      <c r="AE724" s="14"/>
      <c r="AF724" s="12"/>
      <c r="AG724" s="12"/>
      <c r="AH724" s="12"/>
      <c r="AJ724" s="14">
        <v>95103</v>
      </c>
      <c r="AK724" s="14" t="s">
        <v>454</v>
      </c>
    </row>
    <row r="725" spans="18:37">
      <c r="R725" s="14">
        <v>89009</v>
      </c>
      <c r="S725" s="14" t="s">
        <v>458</v>
      </c>
      <c r="T725" s="12" t="s">
        <v>116</v>
      </c>
      <c r="U725" s="15" t="str">
        <f t="shared" si="23"/>
        <v>Digital assurance cloudtestr - PRD</v>
      </c>
      <c r="V725" s="12" t="s">
        <v>117</v>
      </c>
      <c r="W725" s="12" t="s">
        <v>117</v>
      </c>
      <c r="X725" s="12" t="s">
        <v>117</v>
      </c>
      <c r="Y725" s="12" t="s">
        <v>1038</v>
      </c>
      <c r="AA725" s="12"/>
      <c r="AB725" s="33"/>
      <c r="AC725" s="34"/>
      <c r="AD725" s="15"/>
      <c r="AE725" s="14"/>
      <c r="AF725" s="12"/>
      <c r="AG725" s="12"/>
      <c r="AH725" s="12"/>
      <c r="AJ725" s="14">
        <v>95104</v>
      </c>
      <c r="AK725" s="14" t="s">
        <v>974</v>
      </c>
    </row>
    <row r="726" spans="18:37">
      <c r="R726" s="14">
        <v>89010</v>
      </c>
      <c r="S726" s="14" t="s">
        <v>460</v>
      </c>
      <c r="T726" s="12" t="s">
        <v>116</v>
      </c>
      <c r="U726" s="15" t="str">
        <f t="shared" si="23"/>
        <v>Digital assurance others - PRD</v>
      </c>
      <c r="V726" s="12" t="s">
        <v>117</v>
      </c>
      <c r="W726" s="12" t="s">
        <v>117</v>
      </c>
      <c r="X726" s="12" t="s">
        <v>117</v>
      </c>
      <c r="Y726" s="12" t="s">
        <v>1038</v>
      </c>
      <c r="AA726" s="12"/>
      <c r="AB726" s="33"/>
      <c r="AC726" s="34"/>
      <c r="AD726" s="15"/>
      <c r="AE726" s="14"/>
      <c r="AF726" s="12"/>
      <c r="AG726" s="12"/>
      <c r="AH726" s="12"/>
      <c r="AJ726" s="14">
        <v>95105</v>
      </c>
      <c r="AK726" s="14" t="s">
        <v>678</v>
      </c>
    </row>
    <row r="727" spans="18:37">
      <c r="R727" s="14">
        <v>91059</v>
      </c>
      <c r="S727" s="14" t="s">
        <v>462</v>
      </c>
      <c r="T727" s="12" t="s">
        <v>129</v>
      </c>
      <c r="U727" s="15" t="str">
        <f t="shared" si="23"/>
        <v>Digital Reengineering Services - MGT</v>
      </c>
      <c r="V727" s="12" t="s">
        <v>104</v>
      </c>
      <c r="W727" s="12" t="s">
        <v>401</v>
      </c>
      <c r="X727" s="12" t="s">
        <v>114</v>
      </c>
      <c r="Y727" s="12" t="s">
        <v>1038</v>
      </c>
      <c r="AA727" s="12"/>
      <c r="AB727" s="33"/>
      <c r="AC727" s="34"/>
      <c r="AD727" s="15"/>
      <c r="AE727" s="14"/>
      <c r="AF727" s="12"/>
      <c r="AG727" s="12"/>
      <c r="AH727" s="12"/>
      <c r="AJ727" s="14">
        <v>95106</v>
      </c>
      <c r="AK727" s="14" t="s">
        <v>921</v>
      </c>
    </row>
    <row r="728" spans="18:37">
      <c r="R728" s="14">
        <v>91059</v>
      </c>
      <c r="S728" s="14" t="s">
        <v>462</v>
      </c>
      <c r="T728" s="12" t="s">
        <v>177</v>
      </c>
      <c r="U728" s="15" t="str">
        <f t="shared" si="23"/>
        <v>Digital Reengineering Services - OPS</v>
      </c>
      <c r="V728" s="12" t="s">
        <v>104</v>
      </c>
      <c r="W728" s="12" t="s">
        <v>401</v>
      </c>
      <c r="X728" s="12" t="s">
        <v>114</v>
      </c>
      <c r="Y728" s="12" t="s">
        <v>1038</v>
      </c>
      <c r="AA728" s="12"/>
      <c r="AB728" s="33"/>
      <c r="AC728" s="34"/>
      <c r="AD728" s="15"/>
      <c r="AE728" s="14"/>
      <c r="AF728" s="12"/>
      <c r="AG728" s="12"/>
      <c r="AH728" s="12"/>
      <c r="AJ728" s="14">
        <v>95107</v>
      </c>
      <c r="AK728" s="14" t="s">
        <v>681</v>
      </c>
    </row>
    <row r="729" spans="18:37">
      <c r="R729" s="14">
        <v>91059</v>
      </c>
      <c r="S729" s="14" t="s">
        <v>462</v>
      </c>
      <c r="T729" s="12" t="s">
        <v>111</v>
      </c>
      <c r="U729" s="15" t="str">
        <f t="shared" si="23"/>
        <v>Digital Reengineering Services - QLY</v>
      </c>
      <c r="V729" s="12" t="s">
        <v>104</v>
      </c>
      <c r="W729" s="12" t="s">
        <v>401</v>
      </c>
      <c r="X729" s="12" t="s">
        <v>114</v>
      </c>
      <c r="Y729" s="12" t="s">
        <v>1038</v>
      </c>
      <c r="AA729" s="12"/>
      <c r="AB729" s="33"/>
      <c r="AC729" s="34"/>
      <c r="AD729" s="15"/>
      <c r="AE729" s="14"/>
      <c r="AF729" s="12"/>
      <c r="AG729" s="12"/>
      <c r="AH729" s="12"/>
      <c r="AJ729" s="14">
        <v>95109</v>
      </c>
      <c r="AK729" s="14" t="s">
        <v>692</v>
      </c>
    </row>
    <row r="730" spans="18:37">
      <c r="R730" s="14">
        <v>91059</v>
      </c>
      <c r="S730" s="14" t="s">
        <v>462</v>
      </c>
      <c r="T730" s="12" t="s">
        <v>139</v>
      </c>
      <c r="U730" s="15" t="str">
        <f t="shared" si="23"/>
        <v>Digital Reengineering Services - SMGT</v>
      </c>
      <c r="V730" s="12" t="s">
        <v>104</v>
      </c>
      <c r="W730" s="12" t="s">
        <v>401</v>
      </c>
      <c r="X730" s="12" t="s">
        <v>114</v>
      </c>
      <c r="Y730" s="12" t="s">
        <v>1038</v>
      </c>
      <c r="AA730" s="12"/>
      <c r="AB730" s="33"/>
      <c r="AC730" s="34"/>
      <c r="AD730" s="15"/>
      <c r="AE730" s="14"/>
      <c r="AF730" s="12"/>
      <c r="AG730" s="12"/>
      <c r="AH730" s="12"/>
      <c r="AJ730" s="14">
        <v>95111</v>
      </c>
      <c r="AK730" s="14" t="s">
        <v>985</v>
      </c>
    </row>
    <row r="731" spans="18:37">
      <c r="R731" s="14">
        <v>91059</v>
      </c>
      <c r="S731" s="14" t="s">
        <v>462</v>
      </c>
      <c r="T731" s="12" t="s">
        <v>145</v>
      </c>
      <c r="U731" s="15" t="str">
        <f t="shared" si="23"/>
        <v>Digital Reengineering Services - SUP</v>
      </c>
      <c r="V731" s="12" t="s">
        <v>104</v>
      </c>
      <c r="W731" s="12" t="s">
        <v>401</v>
      </c>
      <c r="X731" s="12" t="s">
        <v>114</v>
      </c>
      <c r="Y731" s="12" t="s">
        <v>1038</v>
      </c>
      <c r="AA731" s="12"/>
      <c r="AB731" s="33"/>
      <c r="AC731" s="34"/>
      <c r="AD731" s="15"/>
      <c r="AE731" s="14"/>
      <c r="AF731" s="12"/>
      <c r="AG731" s="12"/>
      <c r="AH731" s="12"/>
      <c r="AJ731" s="14">
        <v>95112</v>
      </c>
      <c r="AK731" s="14" t="s">
        <v>986</v>
      </c>
    </row>
    <row r="732" spans="18:37">
      <c r="R732" s="14">
        <v>10087</v>
      </c>
      <c r="S732" s="14" t="s">
        <v>1043</v>
      </c>
      <c r="T732" s="12" t="s">
        <v>116</v>
      </c>
      <c r="U732" s="15" t="str">
        <f t="shared" si="23"/>
        <v>Digital River D and T - PRD</v>
      </c>
      <c r="V732" s="12" t="s">
        <v>117</v>
      </c>
      <c r="W732" s="12" t="s">
        <v>117</v>
      </c>
      <c r="X732" s="12" t="s">
        <v>117</v>
      </c>
      <c r="Y732" s="12" t="s">
        <v>1038</v>
      </c>
      <c r="AA732" s="12"/>
      <c r="AB732" s="33"/>
      <c r="AC732" s="34"/>
      <c r="AD732" s="15"/>
      <c r="AE732" s="14"/>
      <c r="AF732" s="12"/>
      <c r="AG732" s="12"/>
      <c r="AH732" s="12"/>
      <c r="AJ732" s="14">
        <v>95220</v>
      </c>
      <c r="AK732" s="14" t="s">
        <v>915</v>
      </c>
    </row>
    <row r="733" spans="18:37">
      <c r="R733" s="14">
        <v>89001</v>
      </c>
      <c r="S733" s="14" t="s">
        <v>468</v>
      </c>
      <c r="T733" s="12" t="s">
        <v>116</v>
      </c>
      <c r="U733" s="15" t="str">
        <f t="shared" si="23"/>
        <v>Digital transformation Automat - PRD</v>
      </c>
      <c r="V733" s="12" t="s">
        <v>117</v>
      </c>
      <c r="W733" s="12" t="s">
        <v>117</v>
      </c>
      <c r="X733" s="12" t="s">
        <v>117</v>
      </c>
      <c r="Y733" s="12" t="s">
        <v>1038</v>
      </c>
      <c r="AA733" s="12"/>
      <c r="AB733" s="33"/>
      <c r="AC733" s="34"/>
      <c r="AD733" s="15"/>
      <c r="AE733" s="14"/>
      <c r="AF733" s="12"/>
      <c r="AG733" s="12"/>
      <c r="AH733" s="12"/>
      <c r="AJ733" s="14">
        <v>95230</v>
      </c>
      <c r="AK733" s="14" t="s">
        <v>268</v>
      </c>
    </row>
    <row r="734" spans="18:37">
      <c r="R734" s="14">
        <v>89002</v>
      </c>
      <c r="S734" s="14" t="s">
        <v>471</v>
      </c>
      <c r="T734" s="12" t="s">
        <v>116</v>
      </c>
      <c r="U734" s="15" t="str">
        <f t="shared" si="23"/>
        <v>Digital transformation Digital - PRD</v>
      </c>
      <c r="V734" s="12" t="s">
        <v>117</v>
      </c>
      <c r="W734" s="12" t="s">
        <v>117</v>
      </c>
      <c r="X734" s="12" t="s">
        <v>117</v>
      </c>
      <c r="Y734" s="12" t="s">
        <v>1038</v>
      </c>
      <c r="AA734" s="12"/>
      <c r="AB734" s="33"/>
      <c r="AC734" s="34"/>
      <c r="AD734" s="15"/>
      <c r="AE734" s="14"/>
      <c r="AF734" s="12"/>
      <c r="AG734" s="12"/>
      <c r="AH734" s="12"/>
      <c r="AJ734" s="14">
        <v>95240</v>
      </c>
      <c r="AK734" s="14" t="s">
        <v>365</v>
      </c>
    </row>
    <row r="735" spans="18:37">
      <c r="R735" s="14">
        <v>88145</v>
      </c>
      <c r="S735" s="14" t="s">
        <v>474</v>
      </c>
      <c r="T735" s="12" t="s">
        <v>185</v>
      </c>
      <c r="U735" s="15" t="str">
        <f t="shared" si="23"/>
        <v>Direct JC - F and A bench - TPS</v>
      </c>
      <c r="V735" s="12" t="s">
        <v>126</v>
      </c>
      <c r="W735" s="12" t="s">
        <v>163</v>
      </c>
      <c r="X735" s="12" t="s">
        <v>164</v>
      </c>
      <c r="Y735" s="12" t="s">
        <v>1038</v>
      </c>
      <c r="AA735" s="12"/>
      <c r="AB735" s="33"/>
      <c r="AC735" s="34"/>
      <c r="AD735" s="15"/>
      <c r="AE735" s="14"/>
      <c r="AF735" s="12"/>
      <c r="AG735" s="12"/>
      <c r="AH735" s="12"/>
      <c r="AJ735" s="14">
        <v>95250</v>
      </c>
      <c r="AK735" s="14" t="s">
        <v>500</v>
      </c>
    </row>
    <row r="736" spans="18:37">
      <c r="R736" s="14">
        <v>10162</v>
      </c>
      <c r="S736" s="14" t="s">
        <v>1051</v>
      </c>
      <c r="T736" s="12" t="s">
        <v>171</v>
      </c>
      <c r="U736" s="15" t="str">
        <f t="shared" si="23"/>
        <v>DirecTV Short Term Proj Ind - ETE</v>
      </c>
      <c r="V736" s="12" t="s">
        <v>126</v>
      </c>
      <c r="W736" s="12" t="s">
        <v>163</v>
      </c>
      <c r="X736" s="12" t="s">
        <v>164</v>
      </c>
      <c r="Y736" s="12" t="s">
        <v>1038</v>
      </c>
      <c r="AA736" s="12"/>
      <c r="AB736" s="33"/>
      <c r="AC736" s="34"/>
      <c r="AD736" s="15"/>
      <c r="AE736" s="14"/>
      <c r="AF736" s="12"/>
      <c r="AG736" s="12"/>
      <c r="AH736" s="12"/>
      <c r="AJ736" s="14">
        <v>95260</v>
      </c>
      <c r="AK736" s="14" t="s">
        <v>914</v>
      </c>
    </row>
    <row r="737" spans="18:37">
      <c r="R737" s="14">
        <v>10020</v>
      </c>
      <c r="S737" s="14" t="s">
        <v>169</v>
      </c>
      <c r="T737" s="12" t="s">
        <v>185</v>
      </c>
      <c r="U737" s="15" t="str">
        <f t="shared" si="23"/>
        <v>DLG LS IND and SA - TPS</v>
      </c>
      <c r="V737" s="12" t="s">
        <v>126</v>
      </c>
      <c r="W737" s="12" t="s">
        <v>343</v>
      </c>
      <c r="X737" s="12" t="s">
        <v>344</v>
      </c>
      <c r="Y737" s="12" t="s">
        <v>1038</v>
      </c>
      <c r="AA737" s="12"/>
      <c r="AB737" s="33"/>
      <c r="AC737" s="34"/>
      <c r="AD737" s="15"/>
      <c r="AE737" s="14"/>
      <c r="AF737" s="12"/>
      <c r="AG737" s="12"/>
      <c r="AH737" s="12"/>
      <c r="AJ737" s="14">
        <v>95300</v>
      </c>
      <c r="AK737" s="14" t="s">
        <v>505</v>
      </c>
    </row>
    <row r="738" spans="18:37">
      <c r="R738" s="14">
        <v>10813</v>
      </c>
      <c r="S738" s="14" t="s">
        <v>395</v>
      </c>
      <c r="T738" s="12" t="s">
        <v>150</v>
      </c>
      <c r="U738" s="15" t="str">
        <f t="shared" si="23"/>
        <v>Driver Safety Email_Ind - CCS</v>
      </c>
      <c r="V738" s="12" t="s">
        <v>126</v>
      </c>
      <c r="W738" s="12" t="s">
        <v>178</v>
      </c>
      <c r="X738" s="12" t="s">
        <v>128</v>
      </c>
      <c r="Y738" s="12" t="s">
        <v>1038</v>
      </c>
      <c r="AA738" s="12"/>
      <c r="AB738" s="33"/>
      <c r="AC738" s="34"/>
      <c r="AD738" s="15"/>
      <c r="AE738" s="14"/>
      <c r="AF738" s="12"/>
      <c r="AG738" s="12"/>
      <c r="AH738" s="12"/>
      <c r="AJ738" s="14">
        <v>95302</v>
      </c>
      <c r="AK738" s="14" t="s">
        <v>261</v>
      </c>
    </row>
    <row r="739" spans="18:37">
      <c r="R739" s="14">
        <v>10813</v>
      </c>
      <c r="S739" s="14" t="s">
        <v>395</v>
      </c>
      <c r="T739" s="12" t="s">
        <v>161</v>
      </c>
      <c r="U739" s="15" t="str">
        <f t="shared" si="23"/>
        <v>Driver Safety Email_Ind - ECC</v>
      </c>
      <c r="V739" s="12" t="s">
        <v>126</v>
      </c>
      <c r="W739" s="12" t="s">
        <v>178</v>
      </c>
      <c r="X739" s="12" t="s">
        <v>128</v>
      </c>
      <c r="Y739" s="12" t="s">
        <v>1038</v>
      </c>
      <c r="AA739" s="12"/>
      <c r="AB739" s="33"/>
      <c r="AC739" s="34"/>
      <c r="AD739" s="15"/>
      <c r="AE739" s="14"/>
      <c r="AF739" s="12"/>
      <c r="AG739" s="12"/>
      <c r="AH739" s="12"/>
      <c r="AJ739" s="14">
        <v>95304</v>
      </c>
      <c r="AK739" s="14" t="s">
        <v>989</v>
      </c>
    </row>
    <row r="740" spans="18:37">
      <c r="R740" s="14">
        <v>10813</v>
      </c>
      <c r="S740" s="14" t="s">
        <v>395</v>
      </c>
      <c r="T740" s="12" t="s">
        <v>111</v>
      </c>
      <c r="U740" s="15" t="str">
        <f t="shared" si="23"/>
        <v>Driver Safety Email_Ind - QLY</v>
      </c>
      <c r="V740" s="12" t="s">
        <v>112</v>
      </c>
      <c r="W740" s="12" t="s">
        <v>113</v>
      </c>
      <c r="X740" s="12" t="s">
        <v>114</v>
      </c>
      <c r="Y740" s="12" t="s">
        <v>1038</v>
      </c>
      <c r="AA740" s="12"/>
      <c r="AB740" s="33"/>
      <c r="AC740" s="34"/>
      <c r="AD740" s="15"/>
      <c r="AE740" s="14"/>
      <c r="AF740" s="12"/>
      <c r="AG740" s="12"/>
      <c r="AH740" s="12"/>
      <c r="AJ740" s="14">
        <v>95305</v>
      </c>
      <c r="AK740" s="14" t="s">
        <v>498</v>
      </c>
    </row>
    <row r="741" spans="18:37">
      <c r="R741" s="14">
        <v>10813</v>
      </c>
      <c r="S741" s="14" t="s">
        <v>395</v>
      </c>
      <c r="T741" s="12" t="s">
        <v>172</v>
      </c>
      <c r="U741" s="15" t="str">
        <f t="shared" si="23"/>
        <v>Driver Safety Email_Ind - SME</v>
      </c>
      <c r="V741" s="12" t="s">
        <v>126</v>
      </c>
      <c r="W741" s="12" t="s">
        <v>178</v>
      </c>
      <c r="X741" s="12" t="s">
        <v>128</v>
      </c>
      <c r="Y741" s="12" t="s">
        <v>1038</v>
      </c>
      <c r="AA741" s="12"/>
      <c r="AB741" s="33"/>
      <c r="AC741" s="34"/>
      <c r="AD741" s="15"/>
      <c r="AE741" s="14"/>
      <c r="AF741" s="12"/>
      <c r="AG741" s="12"/>
      <c r="AH741" s="12"/>
      <c r="AJ741" s="14">
        <v>95306</v>
      </c>
      <c r="AK741" s="14" t="s">
        <v>990</v>
      </c>
    </row>
    <row r="742" spans="18:37">
      <c r="R742" s="14">
        <v>10813</v>
      </c>
      <c r="S742" s="14" t="s">
        <v>395</v>
      </c>
      <c r="T742" s="12" t="s">
        <v>145</v>
      </c>
      <c r="U742" s="15" t="str">
        <f t="shared" si="23"/>
        <v>Driver Safety Email_Ind - SUP</v>
      </c>
      <c r="V742" s="12" t="s">
        <v>126</v>
      </c>
      <c r="W742" s="12" t="s">
        <v>178</v>
      </c>
      <c r="X742" s="12" t="s">
        <v>128</v>
      </c>
      <c r="Y742" s="12" t="s">
        <v>1038</v>
      </c>
      <c r="AA742" s="12"/>
      <c r="AB742" s="33"/>
      <c r="AC742" s="34"/>
      <c r="AD742" s="15"/>
      <c r="AE742" s="14"/>
      <c r="AF742" s="12"/>
      <c r="AG742" s="12"/>
      <c r="AH742" s="12"/>
      <c r="AJ742" s="14">
        <v>95307</v>
      </c>
      <c r="AK742" s="14" t="s">
        <v>991</v>
      </c>
    </row>
    <row r="743" spans="18:37">
      <c r="R743" s="14">
        <v>10813</v>
      </c>
      <c r="S743" s="14" t="s">
        <v>395</v>
      </c>
      <c r="T743" s="12" t="s">
        <v>180</v>
      </c>
      <c r="U743" s="15" t="str">
        <f t="shared" si="23"/>
        <v>Driver Safety Email_Ind - TMG</v>
      </c>
      <c r="V743" s="12" t="s">
        <v>126</v>
      </c>
      <c r="W743" s="12" t="s">
        <v>178</v>
      </c>
      <c r="X743" s="12" t="s">
        <v>128</v>
      </c>
      <c r="Y743" s="12" t="s">
        <v>1038</v>
      </c>
      <c r="AA743" s="12"/>
      <c r="AB743" s="33"/>
      <c r="AC743" s="34"/>
      <c r="AD743" s="15"/>
      <c r="AE743" s="14"/>
      <c r="AF743" s="12"/>
      <c r="AG743" s="12"/>
      <c r="AH743" s="12"/>
      <c r="AJ743" s="14">
        <v>95308</v>
      </c>
      <c r="AK743" s="14" t="s">
        <v>992</v>
      </c>
    </row>
    <row r="744" spans="18:37">
      <c r="R744" s="14">
        <v>10843</v>
      </c>
      <c r="S744" s="14" t="s">
        <v>426</v>
      </c>
      <c r="T744" s="12" t="s">
        <v>398</v>
      </c>
      <c r="U744" s="15" t="str">
        <f t="shared" si="23"/>
        <v>DTV Tech Chat Chennai - CBK</v>
      </c>
      <c r="V744" s="12" t="s">
        <v>126</v>
      </c>
      <c r="W744" s="12" t="s">
        <v>360</v>
      </c>
      <c r="X744" s="12" t="s">
        <v>361</v>
      </c>
      <c r="Y744" s="12" t="s">
        <v>1038</v>
      </c>
      <c r="AA744" s="12"/>
      <c r="AB744" s="33"/>
      <c r="AC744" s="34"/>
      <c r="AD744" s="15"/>
      <c r="AE744" s="14"/>
      <c r="AF744" s="12"/>
      <c r="AG744" s="12"/>
      <c r="AH744" s="12"/>
      <c r="AJ744" s="14">
        <v>95309</v>
      </c>
      <c r="AK744" s="14" t="s">
        <v>993</v>
      </c>
    </row>
    <row r="745" spans="18:37">
      <c r="R745" s="14">
        <v>10843</v>
      </c>
      <c r="S745" s="14" t="s">
        <v>426</v>
      </c>
      <c r="T745" s="12" t="s">
        <v>171</v>
      </c>
      <c r="U745" s="15" t="str">
        <f t="shared" si="23"/>
        <v>DTV Tech Chat Chennai - ETE</v>
      </c>
      <c r="V745" s="12" t="s">
        <v>126</v>
      </c>
      <c r="W745" s="12" t="s">
        <v>360</v>
      </c>
      <c r="X745" s="12" t="s">
        <v>361</v>
      </c>
      <c r="Y745" s="12" t="s">
        <v>1038</v>
      </c>
      <c r="AA745" s="12"/>
      <c r="AB745" s="33"/>
      <c r="AC745" s="34"/>
      <c r="AD745" s="15"/>
      <c r="AE745" s="14"/>
      <c r="AF745" s="12"/>
      <c r="AG745" s="12"/>
      <c r="AH745" s="12"/>
      <c r="AJ745" s="14">
        <v>95500</v>
      </c>
      <c r="AK745" s="14" t="s">
        <v>935</v>
      </c>
    </row>
    <row r="746" spans="18:37">
      <c r="R746" s="14">
        <v>10843</v>
      </c>
      <c r="S746" s="14" t="s">
        <v>426</v>
      </c>
      <c r="T746" s="12" t="s">
        <v>145</v>
      </c>
      <c r="U746" s="15" t="str">
        <f t="shared" si="23"/>
        <v>DTV Tech Chat Chennai - SUP</v>
      </c>
      <c r="V746" s="12" t="s">
        <v>126</v>
      </c>
      <c r="W746" s="12" t="s">
        <v>360</v>
      </c>
      <c r="X746" s="12" t="s">
        <v>361</v>
      </c>
      <c r="Y746" s="12" t="s">
        <v>1038</v>
      </c>
      <c r="AA746" s="12"/>
      <c r="AB746" s="33"/>
      <c r="AC746" s="34"/>
      <c r="AD746" s="15"/>
      <c r="AE746" s="14"/>
      <c r="AF746" s="12"/>
      <c r="AG746" s="12"/>
      <c r="AH746" s="12"/>
      <c r="AJ746" s="14">
        <v>95501</v>
      </c>
      <c r="AK746" s="14" t="s">
        <v>665</v>
      </c>
    </row>
    <row r="747" spans="18:37">
      <c r="R747" s="14">
        <v>10843</v>
      </c>
      <c r="S747" s="14" t="s">
        <v>426</v>
      </c>
      <c r="T747" s="12" t="s">
        <v>196</v>
      </c>
      <c r="U747" s="15" t="str">
        <f t="shared" si="23"/>
        <v>DTV Tech Chat Chennai - SUT</v>
      </c>
      <c r="V747" s="12" t="s">
        <v>126</v>
      </c>
      <c r="W747" s="12" t="s">
        <v>360</v>
      </c>
      <c r="X747" s="12" t="s">
        <v>361</v>
      </c>
      <c r="Y747" s="12" t="s">
        <v>1038</v>
      </c>
      <c r="AA747" s="12"/>
      <c r="AB747" s="33"/>
      <c r="AC747" s="34"/>
      <c r="AD747" s="15"/>
      <c r="AE747" s="14"/>
      <c r="AF747" s="12"/>
      <c r="AG747" s="12"/>
      <c r="AH747" s="12"/>
      <c r="AJ747" s="14">
        <v>95502</v>
      </c>
      <c r="AK747" s="14" t="s">
        <v>846</v>
      </c>
    </row>
    <row r="748" spans="18:37">
      <c r="R748" s="14">
        <v>10843</v>
      </c>
      <c r="S748" s="14" t="s">
        <v>426</v>
      </c>
      <c r="T748" s="12" t="s">
        <v>198</v>
      </c>
      <c r="U748" s="15" t="str">
        <f t="shared" si="23"/>
        <v>DTV Tech Chat Chennai - TEC</v>
      </c>
      <c r="V748" s="12" t="s">
        <v>126</v>
      </c>
      <c r="W748" s="12" t="s">
        <v>360</v>
      </c>
      <c r="X748" s="12" t="s">
        <v>361</v>
      </c>
      <c r="Y748" s="12" t="s">
        <v>1038</v>
      </c>
      <c r="AA748" s="12"/>
      <c r="AB748" s="33"/>
      <c r="AC748" s="34"/>
      <c r="AD748" s="15"/>
      <c r="AE748" s="14"/>
      <c r="AF748" s="12"/>
      <c r="AG748" s="12"/>
      <c r="AH748" s="12"/>
      <c r="AJ748" s="14">
        <v>95503</v>
      </c>
      <c r="AK748" s="14" t="s">
        <v>917</v>
      </c>
    </row>
    <row r="749" spans="18:37">
      <c r="R749" s="14">
        <v>10843</v>
      </c>
      <c r="S749" s="14" t="s">
        <v>426</v>
      </c>
      <c r="T749" s="12" t="s">
        <v>180</v>
      </c>
      <c r="U749" s="15" t="str">
        <f t="shared" si="23"/>
        <v>DTV Tech Chat Chennai - TMG</v>
      </c>
      <c r="V749" s="12" t="s">
        <v>126</v>
      </c>
      <c r="W749" s="12" t="s">
        <v>360</v>
      </c>
      <c r="X749" s="12" t="s">
        <v>361</v>
      </c>
      <c r="Y749" s="12" t="s">
        <v>1038</v>
      </c>
      <c r="AA749" s="12"/>
      <c r="AB749" s="33"/>
      <c r="AC749" s="34"/>
      <c r="AD749" s="15"/>
      <c r="AE749" s="14"/>
      <c r="AF749" s="12"/>
      <c r="AG749" s="12"/>
      <c r="AH749" s="12"/>
      <c r="AJ749" s="14">
        <v>95504</v>
      </c>
      <c r="AK749" s="14" t="s">
        <v>983</v>
      </c>
    </row>
    <row r="750" spans="18:37">
      <c r="R750" s="14">
        <v>10843</v>
      </c>
      <c r="S750" s="14" t="s">
        <v>426</v>
      </c>
      <c r="T750" s="12" t="s">
        <v>208</v>
      </c>
      <c r="U750" s="15" t="str">
        <f t="shared" si="23"/>
        <v>DTV Tech Chat Chennai - TTR</v>
      </c>
      <c r="V750" s="12" t="s">
        <v>112</v>
      </c>
      <c r="W750" s="12" t="s">
        <v>204</v>
      </c>
      <c r="X750" s="12" t="s">
        <v>205</v>
      </c>
      <c r="Y750" s="12" t="s">
        <v>1038</v>
      </c>
      <c r="AA750" s="12"/>
      <c r="AB750" s="33"/>
      <c r="AC750" s="34"/>
      <c r="AD750" s="15"/>
      <c r="AE750" s="14"/>
      <c r="AF750" s="12"/>
      <c r="AG750" s="12"/>
      <c r="AH750" s="12"/>
      <c r="AJ750" s="14">
        <v>95505</v>
      </c>
      <c r="AK750" s="14" t="s">
        <v>996</v>
      </c>
    </row>
    <row r="751" spans="18:37">
      <c r="R751" s="14">
        <v>10888</v>
      </c>
      <c r="S751" s="14" t="s">
        <v>438</v>
      </c>
      <c r="T751" s="12" t="s">
        <v>133</v>
      </c>
      <c r="U751" s="15" t="str">
        <f t="shared" si="23"/>
        <v>Du Customer Care_Malad - AMG</v>
      </c>
      <c r="V751" s="12" t="s">
        <v>126</v>
      </c>
      <c r="W751" s="12" t="s">
        <v>360</v>
      </c>
      <c r="X751" s="12" t="s">
        <v>361</v>
      </c>
      <c r="Y751" s="12" t="s">
        <v>1038</v>
      </c>
      <c r="AA751" s="12"/>
      <c r="AB751" s="33"/>
      <c r="AC751" s="34"/>
      <c r="AD751" s="15"/>
      <c r="AE751" s="14"/>
      <c r="AF751" s="12"/>
      <c r="AG751" s="12"/>
      <c r="AH751" s="12"/>
      <c r="AJ751" s="14">
        <v>95506</v>
      </c>
      <c r="AK751" s="14" t="s">
        <v>997</v>
      </c>
    </row>
    <row r="752" spans="18:37">
      <c r="R752" s="14">
        <v>10888</v>
      </c>
      <c r="S752" s="14" t="s">
        <v>438</v>
      </c>
      <c r="T752" s="12" t="s">
        <v>150</v>
      </c>
      <c r="U752" s="15" t="str">
        <f t="shared" si="23"/>
        <v>Du Customer Care_Malad - CCS</v>
      </c>
      <c r="V752" s="12" t="s">
        <v>126</v>
      </c>
      <c r="W752" s="12" t="s">
        <v>360</v>
      </c>
      <c r="X752" s="12" t="s">
        <v>361</v>
      </c>
      <c r="Y752" s="12" t="s">
        <v>1038</v>
      </c>
      <c r="AA752" s="12"/>
      <c r="AB752" s="33"/>
      <c r="AC752" s="34"/>
      <c r="AD752" s="15"/>
      <c r="AE752" s="14"/>
      <c r="AF752" s="12"/>
      <c r="AG752" s="12"/>
      <c r="AH752" s="12"/>
      <c r="AJ752" s="14">
        <v>95507</v>
      </c>
      <c r="AK752" s="14" t="s">
        <v>998</v>
      </c>
    </row>
    <row r="753" spans="18:37">
      <c r="R753" s="14">
        <v>10888</v>
      </c>
      <c r="S753" s="14" t="s">
        <v>438</v>
      </c>
      <c r="T753" s="12" t="s">
        <v>171</v>
      </c>
      <c r="U753" s="15" t="str">
        <f t="shared" si="23"/>
        <v>Du Customer Care_Malad - ETE</v>
      </c>
      <c r="V753" s="12" t="s">
        <v>126</v>
      </c>
      <c r="W753" s="12" t="s">
        <v>360</v>
      </c>
      <c r="X753" s="12" t="s">
        <v>361</v>
      </c>
      <c r="Y753" s="12" t="s">
        <v>1038</v>
      </c>
      <c r="AA753" s="12"/>
      <c r="AB753" s="33"/>
      <c r="AC753" s="34"/>
      <c r="AD753" s="15"/>
      <c r="AE753" s="14"/>
      <c r="AF753" s="12"/>
      <c r="AG753" s="12"/>
      <c r="AH753" s="12"/>
      <c r="AJ753" s="14">
        <v>95508</v>
      </c>
      <c r="AK753" s="14" t="s">
        <v>1000</v>
      </c>
    </row>
    <row r="754" spans="18:37">
      <c r="R754" s="14">
        <v>10888</v>
      </c>
      <c r="S754" s="14" t="s">
        <v>438</v>
      </c>
      <c r="T754" s="12" t="s">
        <v>129</v>
      </c>
      <c r="U754" s="15" t="str">
        <f t="shared" si="23"/>
        <v>Du Customer Care_Malad - MGT</v>
      </c>
      <c r="V754" s="12" t="s">
        <v>126</v>
      </c>
      <c r="W754" s="12" t="s">
        <v>360</v>
      </c>
      <c r="X754" s="12" t="s">
        <v>361</v>
      </c>
      <c r="Y754" s="12" t="s">
        <v>1038</v>
      </c>
      <c r="AA754" s="12"/>
      <c r="AB754" s="33"/>
      <c r="AC754" s="34"/>
      <c r="AD754" s="15"/>
      <c r="AE754" s="14"/>
      <c r="AF754" s="12"/>
      <c r="AG754" s="12"/>
      <c r="AH754" s="12"/>
      <c r="AJ754" s="14">
        <v>95509</v>
      </c>
      <c r="AK754" s="14" t="s">
        <v>1001</v>
      </c>
    </row>
    <row r="755" spans="18:37">
      <c r="R755" s="14">
        <v>10888</v>
      </c>
      <c r="S755" s="14" t="s">
        <v>438</v>
      </c>
      <c r="T755" s="12" t="s">
        <v>116</v>
      </c>
      <c r="U755" s="15" t="str">
        <f t="shared" si="23"/>
        <v>Du Customer Care_Malad - PRD</v>
      </c>
      <c r="V755" s="12" t="s">
        <v>126</v>
      </c>
      <c r="W755" s="12" t="s">
        <v>360</v>
      </c>
      <c r="X755" s="12" t="s">
        <v>361</v>
      </c>
      <c r="Y755" s="12" t="s">
        <v>1038</v>
      </c>
      <c r="AA755" s="12"/>
      <c r="AB755" s="33"/>
      <c r="AC755" s="34"/>
      <c r="AD755" s="15"/>
      <c r="AE755" s="14"/>
      <c r="AF755" s="12"/>
      <c r="AG755" s="12"/>
      <c r="AH755" s="12"/>
      <c r="AJ755" s="14">
        <v>95510</v>
      </c>
      <c r="AK755" s="14" t="s">
        <v>1002</v>
      </c>
    </row>
    <row r="756" spans="18:37">
      <c r="R756" s="14">
        <v>10888</v>
      </c>
      <c r="S756" s="14" t="s">
        <v>438</v>
      </c>
      <c r="T756" s="12" t="s">
        <v>111</v>
      </c>
      <c r="U756" s="15" t="str">
        <f t="shared" si="23"/>
        <v>Du Customer Care_Malad - QLY</v>
      </c>
      <c r="V756" s="12" t="s">
        <v>112</v>
      </c>
      <c r="W756" s="12" t="s">
        <v>113</v>
      </c>
      <c r="X756" s="12" t="s">
        <v>114</v>
      </c>
      <c r="Y756" s="12" t="s">
        <v>1038</v>
      </c>
      <c r="AA756" s="12"/>
      <c r="AB756" s="33"/>
      <c r="AC756" s="34"/>
      <c r="AD756" s="15"/>
      <c r="AE756" s="14"/>
      <c r="AF756" s="12"/>
      <c r="AG756" s="12"/>
      <c r="AH756" s="12"/>
      <c r="AJ756" s="14">
        <v>95702</v>
      </c>
      <c r="AK756" s="14" t="s">
        <v>995</v>
      </c>
    </row>
    <row r="757" spans="18:37">
      <c r="R757" s="14">
        <v>10888</v>
      </c>
      <c r="S757" s="14" t="s">
        <v>438</v>
      </c>
      <c r="T757" s="12" t="s">
        <v>510</v>
      </c>
      <c r="U757" s="15" t="str">
        <f t="shared" si="23"/>
        <v>Du Customer Care_Malad - RST</v>
      </c>
      <c r="V757" s="12" t="s">
        <v>126</v>
      </c>
      <c r="W757" s="12" t="s">
        <v>360</v>
      </c>
      <c r="X757" s="12" t="s">
        <v>361</v>
      </c>
      <c r="Y757" s="12" t="s">
        <v>1038</v>
      </c>
      <c r="AA757" s="12"/>
      <c r="AB757" s="33"/>
      <c r="AC757" s="34"/>
      <c r="AD757" s="15"/>
      <c r="AE757" s="14"/>
      <c r="AF757" s="12"/>
      <c r="AG757" s="12"/>
      <c r="AH757" s="12"/>
      <c r="AJ757" s="14">
        <v>95704</v>
      </c>
      <c r="AK757" s="14" t="s">
        <v>1003</v>
      </c>
    </row>
    <row r="758" spans="18:37">
      <c r="R758" s="14">
        <v>10888</v>
      </c>
      <c r="S758" s="14" t="s">
        <v>438</v>
      </c>
      <c r="T758" s="12" t="s">
        <v>172</v>
      </c>
      <c r="U758" s="15" t="str">
        <f t="shared" si="23"/>
        <v>Du Customer Care_Malad - SME</v>
      </c>
      <c r="V758" s="12" t="s">
        <v>126</v>
      </c>
      <c r="W758" s="12" t="s">
        <v>360</v>
      </c>
      <c r="X758" s="12" t="s">
        <v>361</v>
      </c>
      <c r="Y758" s="12" t="s">
        <v>1038</v>
      </c>
      <c r="AA758" s="12"/>
      <c r="AB758" s="33"/>
      <c r="AC758" s="34"/>
      <c r="AD758" s="15"/>
      <c r="AE758" s="14"/>
      <c r="AF758" s="12"/>
      <c r="AG758" s="12"/>
      <c r="AH758" s="12"/>
      <c r="AJ758" s="14">
        <v>96101</v>
      </c>
      <c r="AK758" s="14" t="s">
        <v>673</v>
      </c>
    </row>
    <row r="759" spans="18:37">
      <c r="R759" s="14">
        <v>10888</v>
      </c>
      <c r="S759" s="14" t="s">
        <v>438</v>
      </c>
      <c r="T759" s="12" t="s">
        <v>139</v>
      </c>
      <c r="U759" s="15" t="str">
        <f t="shared" si="23"/>
        <v>Du Customer Care_Malad - SMGT</v>
      </c>
      <c r="V759" s="12" t="s">
        <v>126</v>
      </c>
      <c r="W759" s="12" t="s">
        <v>360</v>
      </c>
      <c r="X759" s="12" t="s">
        <v>361</v>
      </c>
      <c r="Y759" s="12" t="s">
        <v>1038</v>
      </c>
      <c r="AA759" s="12"/>
      <c r="AB759" s="33"/>
      <c r="AC759" s="34"/>
      <c r="AD759" s="15"/>
      <c r="AE759" s="14"/>
      <c r="AF759" s="12"/>
      <c r="AG759" s="12"/>
      <c r="AH759" s="12"/>
      <c r="AJ759" s="14">
        <v>96102</v>
      </c>
      <c r="AK759" s="14" t="s">
        <v>120</v>
      </c>
    </row>
    <row r="760" spans="18:37">
      <c r="R760" s="14">
        <v>10888</v>
      </c>
      <c r="S760" s="14" t="s">
        <v>438</v>
      </c>
      <c r="T760" s="12" t="s">
        <v>119</v>
      </c>
      <c r="U760" s="15" t="str">
        <f t="shared" si="23"/>
        <v>Du Customer Care_Malad - SQM</v>
      </c>
      <c r="V760" s="12" t="s">
        <v>112</v>
      </c>
      <c r="W760" s="12" t="s">
        <v>113</v>
      </c>
      <c r="X760" s="12" t="s">
        <v>114</v>
      </c>
      <c r="Y760" s="12" t="s">
        <v>1038</v>
      </c>
      <c r="AA760" s="12"/>
      <c r="AB760" s="33"/>
      <c r="AC760" s="34"/>
      <c r="AD760" s="15"/>
      <c r="AE760" s="14"/>
      <c r="AF760" s="12"/>
      <c r="AG760" s="12"/>
      <c r="AH760" s="12"/>
      <c r="AJ760" s="14">
        <v>96103</v>
      </c>
      <c r="AK760" s="14" t="s">
        <v>529</v>
      </c>
    </row>
    <row r="761" spans="18:37">
      <c r="R761" s="14">
        <v>10888</v>
      </c>
      <c r="S761" s="14" t="s">
        <v>438</v>
      </c>
      <c r="T761" s="12" t="s">
        <v>145</v>
      </c>
      <c r="U761" s="15" t="str">
        <f t="shared" si="23"/>
        <v>Du Customer Care_Malad - SUP</v>
      </c>
      <c r="V761" s="12" t="s">
        <v>126</v>
      </c>
      <c r="W761" s="12" t="s">
        <v>360</v>
      </c>
      <c r="X761" s="12" t="s">
        <v>361</v>
      </c>
      <c r="Y761" s="12" t="s">
        <v>1038</v>
      </c>
      <c r="AA761" s="12"/>
      <c r="AB761" s="33"/>
      <c r="AC761" s="34"/>
      <c r="AD761" s="15"/>
      <c r="AE761" s="14"/>
      <c r="AF761" s="12"/>
      <c r="AG761" s="12"/>
      <c r="AH761" s="12"/>
      <c r="AJ761" s="14">
        <v>96104</v>
      </c>
      <c r="AK761" s="14" t="s">
        <v>969</v>
      </c>
    </row>
    <row r="762" spans="18:37">
      <c r="R762" s="14">
        <v>10888</v>
      </c>
      <c r="S762" s="14" t="s">
        <v>438</v>
      </c>
      <c r="T762" s="12" t="s">
        <v>196</v>
      </c>
      <c r="U762" s="15" t="str">
        <f t="shared" si="23"/>
        <v>Du Customer Care_Malad - SUT</v>
      </c>
      <c r="V762" s="12" t="s">
        <v>126</v>
      </c>
      <c r="W762" s="12" t="s">
        <v>360</v>
      </c>
      <c r="X762" s="12" t="s">
        <v>361</v>
      </c>
      <c r="Y762" s="12" t="s">
        <v>1038</v>
      </c>
      <c r="AA762" s="12"/>
      <c r="AB762" s="33"/>
      <c r="AC762" s="34"/>
      <c r="AD762" s="15"/>
      <c r="AE762" s="14"/>
      <c r="AF762" s="12"/>
      <c r="AG762" s="12"/>
      <c r="AH762" s="12"/>
      <c r="AJ762" s="14">
        <v>96107</v>
      </c>
      <c r="AK762" s="14" t="s">
        <v>994</v>
      </c>
    </row>
    <row r="763" spans="18:37">
      <c r="R763" s="14">
        <v>10888</v>
      </c>
      <c r="S763" s="14" t="s">
        <v>438</v>
      </c>
      <c r="T763" s="12" t="s">
        <v>198</v>
      </c>
      <c r="U763" s="15" t="str">
        <f t="shared" si="23"/>
        <v>Du Customer Care_Malad - TEC</v>
      </c>
      <c r="V763" s="12" t="s">
        <v>126</v>
      </c>
      <c r="W763" s="12" t="s">
        <v>360</v>
      </c>
      <c r="X763" s="12" t="s">
        <v>361</v>
      </c>
      <c r="Y763" s="12" t="s">
        <v>1038</v>
      </c>
      <c r="AA763" s="12"/>
      <c r="AB763" s="33"/>
      <c r="AC763" s="34"/>
      <c r="AD763" s="15"/>
      <c r="AE763" s="14"/>
      <c r="AF763" s="12"/>
      <c r="AG763" s="12"/>
      <c r="AH763" s="12"/>
      <c r="AJ763" s="14">
        <v>96112</v>
      </c>
      <c r="AK763" s="14" t="s">
        <v>1004</v>
      </c>
    </row>
    <row r="764" spans="18:37">
      <c r="R764" s="14">
        <v>10888</v>
      </c>
      <c r="S764" s="14" t="s">
        <v>438</v>
      </c>
      <c r="T764" s="12" t="s">
        <v>180</v>
      </c>
      <c r="U764" s="15" t="str">
        <f t="shared" si="23"/>
        <v>Du Customer Care_Malad - TMG</v>
      </c>
      <c r="V764" s="12" t="s">
        <v>126</v>
      </c>
      <c r="W764" s="12" t="s">
        <v>360</v>
      </c>
      <c r="X764" s="12" t="s">
        <v>361</v>
      </c>
      <c r="Y764" s="12" t="s">
        <v>1038</v>
      </c>
      <c r="AA764" s="12"/>
      <c r="AB764" s="33"/>
      <c r="AC764" s="34"/>
      <c r="AD764" s="15"/>
      <c r="AE764" s="14"/>
      <c r="AF764" s="12"/>
      <c r="AG764" s="12"/>
      <c r="AH764" s="12"/>
      <c r="AJ764" s="14">
        <v>96113</v>
      </c>
      <c r="AK764" s="14" t="s">
        <v>1005</v>
      </c>
    </row>
    <row r="765" spans="18:37">
      <c r="R765" s="14">
        <v>10888</v>
      </c>
      <c r="S765" s="14" t="s">
        <v>438</v>
      </c>
      <c r="T765" s="12" t="s">
        <v>203</v>
      </c>
      <c r="U765" s="15" t="str">
        <f t="shared" si="23"/>
        <v>Du Customer Care_Malad - TRG</v>
      </c>
      <c r="V765" s="12" t="s">
        <v>112</v>
      </c>
      <c r="W765" s="12" t="s">
        <v>204</v>
      </c>
      <c r="X765" s="12" t="s">
        <v>205</v>
      </c>
      <c r="Y765" s="12" t="s">
        <v>1038</v>
      </c>
      <c r="AA765" s="12"/>
      <c r="AB765" s="33"/>
      <c r="AC765" s="34"/>
      <c r="AD765" s="15"/>
      <c r="AE765" s="14"/>
      <c r="AF765" s="12"/>
      <c r="AG765" s="12"/>
      <c r="AH765" s="12"/>
      <c r="AJ765" s="14">
        <v>96114</v>
      </c>
      <c r="AK765" s="14" t="s">
        <v>407</v>
      </c>
    </row>
    <row r="766" spans="18:37">
      <c r="R766" s="14">
        <v>10888</v>
      </c>
      <c r="S766" s="14" t="s">
        <v>438</v>
      </c>
      <c r="T766" s="12" t="s">
        <v>208</v>
      </c>
      <c r="U766" s="15" t="str">
        <f t="shared" si="23"/>
        <v>Du Customer Care_Malad - TTR</v>
      </c>
      <c r="V766" s="12" t="s">
        <v>112</v>
      </c>
      <c r="W766" s="12" t="s">
        <v>204</v>
      </c>
      <c r="X766" s="12" t="s">
        <v>205</v>
      </c>
      <c r="Y766" s="12" t="s">
        <v>1038</v>
      </c>
      <c r="AA766" s="12"/>
      <c r="AB766" s="33"/>
      <c r="AC766" s="34"/>
      <c r="AD766" s="15"/>
      <c r="AE766" s="14"/>
      <c r="AF766" s="12"/>
      <c r="AG766" s="12"/>
      <c r="AH766" s="12"/>
      <c r="AJ766" s="14">
        <v>96118</v>
      </c>
      <c r="AK766" s="14" t="s">
        <v>554</v>
      </c>
    </row>
    <row r="767" spans="18:37">
      <c r="R767" s="14">
        <v>10840</v>
      </c>
      <c r="S767" s="14" t="s">
        <v>424</v>
      </c>
      <c r="T767" s="12" t="s">
        <v>185</v>
      </c>
      <c r="U767" s="15" t="str">
        <f t="shared" si="23"/>
        <v>EgyptAir - BIDT Audit - TPS</v>
      </c>
      <c r="V767" s="12" t="s">
        <v>126</v>
      </c>
      <c r="W767" s="12" t="s">
        <v>163</v>
      </c>
      <c r="X767" s="12" t="s">
        <v>164</v>
      </c>
      <c r="Y767" s="12" t="s">
        <v>1038</v>
      </c>
      <c r="AA767" s="12"/>
      <c r="AB767" s="33"/>
      <c r="AC767" s="34"/>
      <c r="AD767" s="15"/>
      <c r="AE767" s="14"/>
      <c r="AF767" s="12"/>
      <c r="AG767" s="12"/>
      <c r="AH767" s="12"/>
      <c r="AJ767" s="14">
        <v>96120</v>
      </c>
      <c r="AK767" s="14" t="s">
        <v>325</v>
      </c>
    </row>
    <row r="768" spans="18:37">
      <c r="R768" s="14">
        <v>12427</v>
      </c>
      <c r="S768" s="14" t="s">
        <v>477</v>
      </c>
      <c r="T768" s="12" t="s">
        <v>116</v>
      </c>
      <c r="U768" s="15" t="str">
        <f t="shared" si="23"/>
        <v>Elevance - Cred Offshore - PRD</v>
      </c>
      <c r="V768" s="12" t="s">
        <v>126</v>
      </c>
      <c r="W768" s="12" t="s">
        <v>163</v>
      </c>
      <c r="X768" s="12" t="s">
        <v>164</v>
      </c>
      <c r="Y768" s="12" t="s">
        <v>1038</v>
      </c>
      <c r="AA768" s="12"/>
      <c r="AB768" s="33"/>
      <c r="AC768" s="34"/>
      <c r="AD768" s="15"/>
      <c r="AE768" s="14"/>
      <c r="AF768" s="12"/>
      <c r="AG768" s="12"/>
      <c r="AH768" s="12"/>
      <c r="AJ768" s="14">
        <v>96122</v>
      </c>
      <c r="AK768" s="14" t="s">
        <v>151</v>
      </c>
    </row>
    <row r="769" spans="18:37">
      <c r="R769" s="14">
        <v>12427</v>
      </c>
      <c r="S769" s="14" t="s">
        <v>477</v>
      </c>
      <c r="T769" s="12" t="s">
        <v>145</v>
      </c>
      <c r="U769" s="15" t="str">
        <f t="shared" si="23"/>
        <v>Elevance - Cred Offshore - SUP</v>
      </c>
      <c r="V769" s="12" t="s">
        <v>126</v>
      </c>
      <c r="W769" s="12" t="s">
        <v>163</v>
      </c>
      <c r="X769" s="12" t="s">
        <v>164</v>
      </c>
      <c r="Y769" s="12" t="s">
        <v>1038</v>
      </c>
      <c r="AA769" s="12"/>
      <c r="AB769" s="33"/>
      <c r="AC769" s="34"/>
      <c r="AD769" s="15"/>
      <c r="AE769" s="14"/>
      <c r="AF769" s="12"/>
      <c r="AG769" s="12"/>
      <c r="AH769" s="12"/>
      <c r="AJ769" s="14">
        <v>96124</v>
      </c>
      <c r="AK769" s="14" t="s">
        <v>525</v>
      </c>
    </row>
    <row r="770" spans="18:37">
      <c r="R770" s="14">
        <v>12427</v>
      </c>
      <c r="S770" s="14" t="s">
        <v>477</v>
      </c>
      <c r="T770" s="12" t="s">
        <v>180</v>
      </c>
      <c r="U770" s="15" t="str">
        <f t="shared" si="23"/>
        <v>Elevance - Cred Offshore - TMG</v>
      </c>
      <c r="V770" s="12" t="s">
        <v>126</v>
      </c>
      <c r="W770" s="12" t="s">
        <v>163</v>
      </c>
      <c r="X770" s="12" t="s">
        <v>164</v>
      </c>
      <c r="Y770" s="12" t="s">
        <v>1038</v>
      </c>
      <c r="AA770" s="12"/>
      <c r="AB770" s="33"/>
      <c r="AC770" s="34"/>
      <c r="AD770" s="15"/>
      <c r="AE770" s="14"/>
      <c r="AF770" s="12"/>
      <c r="AG770" s="12"/>
      <c r="AH770" s="12"/>
      <c r="AJ770" s="14">
        <v>96200</v>
      </c>
      <c r="AK770" s="14" t="s">
        <v>707</v>
      </c>
    </row>
    <row r="771" spans="18:37">
      <c r="R771" s="14">
        <v>12427</v>
      </c>
      <c r="S771" s="14" t="s">
        <v>477</v>
      </c>
      <c r="T771" s="12" t="s">
        <v>185</v>
      </c>
      <c r="U771" s="15" t="str">
        <f t="shared" ref="U771:U834" si="24">S771&amp;" - "&amp;T771</f>
        <v>Elevance - Cred Offshore - TPS</v>
      </c>
      <c r="V771" s="12" t="s">
        <v>126</v>
      </c>
      <c r="W771" s="12" t="s">
        <v>163</v>
      </c>
      <c r="X771" s="12" t="s">
        <v>164</v>
      </c>
      <c r="Y771" s="12" t="s">
        <v>1038</v>
      </c>
      <c r="AA771" s="12"/>
      <c r="AB771" s="33"/>
      <c r="AC771" s="34"/>
      <c r="AD771" s="15"/>
      <c r="AE771" s="14"/>
      <c r="AF771" s="12"/>
      <c r="AG771" s="12"/>
      <c r="AH771" s="12"/>
      <c r="AJ771" s="14">
        <v>96201</v>
      </c>
      <c r="AK771" s="14" t="s">
        <v>384</v>
      </c>
    </row>
    <row r="772" spans="18:37">
      <c r="R772" s="14">
        <v>12505</v>
      </c>
      <c r="S772" s="14" t="s">
        <v>488</v>
      </c>
      <c r="T772" s="12" t="s">
        <v>193</v>
      </c>
      <c r="U772" s="15" t="str">
        <f t="shared" si="24"/>
        <v>Elevance - Phase 2 Discovery - DEV</v>
      </c>
      <c r="V772" s="12" t="s">
        <v>117</v>
      </c>
      <c r="W772" s="12" t="s">
        <v>117</v>
      </c>
      <c r="X772" s="12" t="s">
        <v>117</v>
      </c>
      <c r="Y772" s="12" t="s">
        <v>1038</v>
      </c>
      <c r="AA772" s="12"/>
      <c r="AB772" s="33"/>
      <c r="AC772" s="34"/>
      <c r="AD772" s="15"/>
      <c r="AE772" s="14"/>
      <c r="AF772" s="12"/>
      <c r="AG772" s="12"/>
      <c r="AH772" s="12"/>
      <c r="AJ772" s="14">
        <v>96205</v>
      </c>
      <c r="AK772" s="14" t="s">
        <v>561</v>
      </c>
    </row>
    <row r="773" spans="18:37">
      <c r="R773" s="14">
        <v>12505</v>
      </c>
      <c r="S773" s="14" t="s">
        <v>488</v>
      </c>
      <c r="T773" s="12" t="s">
        <v>116</v>
      </c>
      <c r="U773" s="15" t="str">
        <f t="shared" si="24"/>
        <v>Elevance - Phase 2 Discovery - PRD</v>
      </c>
      <c r="V773" s="12" t="s">
        <v>117</v>
      </c>
      <c r="W773" s="12" t="s">
        <v>117</v>
      </c>
      <c r="X773" s="12" t="s">
        <v>117</v>
      </c>
      <c r="Y773" s="12" t="s">
        <v>1038</v>
      </c>
      <c r="AA773" s="12"/>
      <c r="AB773" s="33"/>
      <c r="AC773" s="34"/>
      <c r="AD773" s="15"/>
      <c r="AE773" s="14"/>
      <c r="AF773" s="12"/>
      <c r="AG773" s="12"/>
      <c r="AH773" s="12"/>
      <c r="AJ773" s="14">
        <v>96207</v>
      </c>
      <c r="AK773" s="14" t="s">
        <v>553</v>
      </c>
    </row>
    <row r="774" spans="18:37">
      <c r="R774" s="14">
        <v>12607</v>
      </c>
      <c r="S774" s="14" t="s">
        <v>490</v>
      </c>
      <c r="T774" s="12" t="s">
        <v>116</v>
      </c>
      <c r="U774" s="15" t="str">
        <f t="shared" si="24"/>
        <v>Elevance RPA_BOT Dev and Maint - PRD</v>
      </c>
      <c r="V774" s="12" t="s">
        <v>117</v>
      </c>
      <c r="W774" s="12" t="s">
        <v>117</v>
      </c>
      <c r="X774" s="12" t="s">
        <v>117</v>
      </c>
      <c r="Y774" s="12" t="s">
        <v>1038</v>
      </c>
      <c r="AA774" s="12"/>
      <c r="AB774" s="33"/>
      <c r="AC774" s="34"/>
      <c r="AD774" s="15"/>
      <c r="AE774" s="14"/>
      <c r="AF774" s="12"/>
      <c r="AG774" s="12"/>
      <c r="AH774" s="12"/>
      <c r="AJ774" s="14">
        <v>96210</v>
      </c>
      <c r="AK774" s="14" t="s">
        <v>1007</v>
      </c>
    </row>
    <row r="775" spans="18:37">
      <c r="R775" s="14">
        <v>18050</v>
      </c>
      <c r="S775" s="14" t="s">
        <v>622</v>
      </c>
      <c r="T775" s="12" t="s">
        <v>161</v>
      </c>
      <c r="U775" s="15" t="str">
        <f t="shared" si="24"/>
        <v>Embrace SQRS - ECC</v>
      </c>
      <c r="V775" s="12" t="s">
        <v>126</v>
      </c>
      <c r="W775" s="12" t="s">
        <v>163</v>
      </c>
      <c r="X775" s="12" t="s">
        <v>164</v>
      </c>
      <c r="Y775" s="12" t="s">
        <v>1038</v>
      </c>
      <c r="AA775" s="12"/>
      <c r="AB775" s="33"/>
      <c r="AC775" s="34"/>
      <c r="AD775" s="15"/>
      <c r="AE775" s="14"/>
      <c r="AF775" s="12"/>
      <c r="AG775" s="12"/>
      <c r="AH775" s="12"/>
      <c r="AJ775" s="14">
        <v>96725</v>
      </c>
      <c r="AK775" s="14" t="s">
        <v>558</v>
      </c>
    </row>
    <row r="776" spans="18:37">
      <c r="R776" s="14">
        <v>18050</v>
      </c>
      <c r="S776" s="14" t="s">
        <v>622</v>
      </c>
      <c r="T776" s="12" t="s">
        <v>250</v>
      </c>
      <c r="U776" s="15" t="str">
        <f t="shared" si="24"/>
        <v>Embrace SQRS - LED</v>
      </c>
      <c r="V776" s="12" t="s">
        <v>126</v>
      </c>
      <c r="W776" s="12" t="s">
        <v>163</v>
      </c>
      <c r="X776" s="12" t="s">
        <v>164</v>
      </c>
      <c r="Y776" s="12" t="s">
        <v>1038</v>
      </c>
      <c r="AA776" s="12"/>
      <c r="AB776" s="33"/>
      <c r="AC776" s="34"/>
      <c r="AD776" s="15"/>
      <c r="AE776" s="14"/>
      <c r="AF776" s="12"/>
      <c r="AG776" s="12"/>
      <c r="AH776" s="12"/>
      <c r="AJ776" s="14">
        <v>96726</v>
      </c>
      <c r="AK776" s="14" t="s">
        <v>658</v>
      </c>
    </row>
    <row r="777" spans="18:37">
      <c r="R777" s="14">
        <v>18050</v>
      </c>
      <c r="S777" s="14" t="s">
        <v>622</v>
      </c>
      <c r="T777" s="12" t="s">
        <v>177</v>
      </c>
      <c r="U777" s="15" t="str">
        <f t="shared" si="24"/>
        <v>Embrace SQRS - OPS</v>
      </c>
      <c r="V777" s="12" t="s">
        <v>126</v>
      </c>
      <c r="W777" s="12" t="s">
        <v>163</v>
      </c>
      <c r="X777" s="12" t="s">
        <v>164</v>
      </c>
      <c r="Y777" s="12" t="s">
        <v>1038</v>
      </c>
      <c r="AA777" s="12"/>
      <c r="AB777" s="33"/>
      <c r="AC777" s="34"/>
      <c r="AD777" s="15"/>
      <c r="AE777" s="14"/>
      <c r="AF777" s="12"/>
      <c r="AG777" s="12"/>
      <c r="AH777" s="12"/>
      <c r="AJ777" s="14">
        <v>96727</v>
      </c>
      <c r="AK777" s="14" t="s">
        <v>999</v>
      </c>
    </row>
    <row r="778" spans="18:37">
      <c r="R778" s="14">
        <v>18050</v>
      </c>
      <c r="S778" s="14" t="s">
        <v>622</v>
      </c>
      <c r="T778" s="12" t="s">
        <v>116</v>
      </c>
      <c r="U778" s="15" t="str">
        <f t="shared" si="24"/>
        <v>Embrace SQRS - PRD</v>
      </c>
      <c r="V778" s="12" t="s">
        <v>126</v>
      </c>
      <c r="W778" s="12" t="s">
        <v>163</v>
      </c>
      <c r="X778" s="12" t="s">
        <v>164</v>
      </c>
      <c r="Y778" s="12" t="s">
        <v>1038</v>
      </c>
      <c r="AA778" s="12"/>
      <c r="AB778" s="33"/>
      <c r="AC778" s="34"/>
      <c r="AD778" s="15"/>
      <c r="AE778" s="14"/>
      <c r="AF778" s="12"/>
      <c r="AG778" s="12"/>
      <c r="AH778" s="12"/>
      <c r="AJ778" s="14">
        <v>96737</v>
      </c>
      <c r="AK778" s="14" t="s">
        <v>614</v>
      </c>
    </row>
    <row r="779" spans="18:37">
      <c r="R779" s="14">
        <v>18050</v>
      </c>
      <c r="S779" s="14" t="s">
        <v>622</v>
      </c>
      <c r="T779" s="12" t="s">
        <v>230</v>
      </c>
      <c r="U779" s="15" t="str">
        <f t="shared" si="24"/>
        <v>Embrace SQRS - PRSP</v>
      </c>
      <c r="V779" s="12" t="s">
        <v>126</v>
      </c>
      <c r="W779" s="12" t="s">
        <v>163</v>
      </c>
      <c r="X779" s="12" t="s">
        <v>164</v>
      </c>
      <c r="Y779" s="12" t="s">
        <v>1038</v>
      </c>
      <c r="AA779" s="12"/>
      <c r="AB779" s="33"/>
      <c r="AC779" s="34"/>
      <c r="AD779" s="15"/>
      <c r="AE779" s="14"/>
      <c r="AF779" s="12"/>
      <c r="AG779" s="12"/>
      <c r="AH779" s="12"/>
      <c r="AJ779" s="14">
        <v>96742</v>
      </c>
      <c r="AK779" s="14" t="s">
        <v>549</v>
      </c>
    </row>
    <row r="780" spans="18:37">
      <c r="R780" s="14">
        <v>18050</v>
      </c>
      <c r="S780" s="14" t="s">
        <v>622</v>
      </c>
      <c r="T780" s="12" t="s">
        <v>172</v>
      </c>
      <c r="U780" s="15" t="str">
        <f t="shared" si="24"/>
        <v>Embrace SQRS - SME</v>
      </c>
      <c r="V780" s="12" t="s">
        <v>126</v>
      </c>
      <c r="W780" s="12" t="s">
        <v>163</v>
      </c>
      <c r="X780" s="12" t="s">
        <v>164</v>
      </c>
      <c r="Y780" s="12" t="s">
        <v>1038</v>
      </c>
      <c r="AA780" s="12"/>
      <c r="AB780" s="33"/>
      <c r="AC780" s="34"/>
      <c r="AD780" s="15"/>
      <c r="AE780" s="14"/>
      <c r="AF780" s="12"/>
      <c r="AG780" s="12"/>
      <c r="AH780" s="12"/>
      <c r="AJ780" s="14">
        <v>97100</v>
      </c>
      <c r="AK780" s="14" t="s">
        <v>642</v>
      </c>
    </row>
    <row r="781" spans="18:37">
      <c r="R781" s="14">
        <v>18050</v>
      </c>
      <c r="S781" s="14" t="s">
        <v>622</v>
      </c>
      <c r="T781" s="12" t="s">
        <v>145</v>
      </c>
      <c r="U781" s="15" t="str">
        <f t="shared" si="24"/>
        <v>Embrace SQRS - SUP</v>
      </c>
      <c r="V781" s="12" t="s">
        <v>126</v>
      </c>
      <c r="W781" s="12" t="s">
        <v>163</v>
      </c>
      <c r="X781" s="12" t="s">
        <v>164</v>
      </c>
      <c r="Y781" s="12" t="s">
        <v>1038</v>
      </c>
      <c r="AA781" s="12"/>
      <c r="AB781" s="33"/>
      <c r="AC781" s="34"/>
      <c r="AD781" s="15"/>
      <c r="AE781" s="14"/>
      <c r="AF781" s="12"/>
      <c r="AG781" s="12"/>
      <c r="AH781" s="12"/>
      <c r="AJ781" s="14">
        <v>97101</v>
      </c>
      <c r="AK781" s="14" t="s">
        <v>409</v>
      </c>
    </row>
    <row r="782" spans="18:37">
      <c r="R782" s="14">
        <v>18050</v>
      </c>
      <c r="S782" s="14" t="s">
        <v>622</v>
      </c>
      <c r="T782" s="12" t="s">
        <v>180</v>
      </c>
      <c r="U782" s="15" t="str">
        <f t="shared" si="24"/>
        <v>Embrace SQRS - TMG</v>
      </c>
      <c r="V782" s="12" t="s">
        <v>126</v>
      </c>
      <c r="W782" s="12" t="s">
        <v>163</v>
      </c>
      <c r="X782" s="12" t="s">
        <v>164</v>
      </c>
      <c r="Y782" s="12" t="s">
        <v>1038</v>
      </c>
      <c r="AA782" s="12"/>
      <c r="AB782" s="33"/>
      <c r="AC782" s="34"/>
      <c r="AD782" s="15"/>
      <c r="AE782" s="14"/>
      <c r="AF782" s="12"/>
      <c r="AG782" s="12"/>
      <c r="AH782" s="12"/>
      <c r="AJ782" s="14">
        <v>97106</v>
      </c>
      <c r="AK782" s="14" t="s">
        <v>624</v>
      </c>
    </row>
    <row r="783" spans="18:37">
      <c r="R783" s="14">
        <v>18050</v>
      </c>
      <c r="S783" s="14" t="s">
        <v>622</v>
      </c>
      <c r="T783" s="12" t="s">
        <v>185</v>
      </c>
      <c r="U783" s="15" t="str">
        <f t="shared" si="24"/>
        <v>Embrace SQRS - TPS</v>
      </c>
      <c r="V783" s="12" t="s">
        <v>126</v>
      </c>
      <c r="W783" s="12" t="s">
        <v>163</v>
      </c>
      <c r="X783" s="12" t="s">
        <v>164</v>
      </c>
      <c r="Y783" s="12" t="s">
        <v>1038</v>
      </c>
      <c r="AA783" s="12"/>
      <c r="AB783" s="33"/>
      <c r="AC783" s="34"/>
      <c r="AD783" s="15"/>
      <c r="AE783" s="14"/>
      <c r="AF783" s="12"/>
      <c r="AG783" s="12"/>
      <c r="AH783" s="12"/>
      <c r="AJ783" s="14">
        <v>97107</v>
      </c>
      <c r="AK783" s="14" t="s">
        <v>629</v>
      </c>
    </row>
    <row r="784" spans="18:37">
      <c r="R784" s="14">
        <v>93022</v>
      </c>
      <c r="S784" s="14" t="s">
        <v>493</v>
      </c>
      <c r="T784" s="12" t="s">
        <v>145</v>
      </c>
      <c r="U784" s="15" t="str">
        <f t="shared" si="24"/>
        <v>Employee Communications - SUP</v>
      </c>
      <c r="V784" s="12" t="s">
        <v>104</v>
      </c>
      <c r="W784" s="12" t="s">
        <v>494</v>
      </c>
      <c r="X784" s="12" t="s">
        <v>114</v>
      </c>
      <c r="Y784" s="12" t="s">
        <v>1038</v>
      </c>
      <c r="AA784" s="12"/>
      <c r="AB784" s="33"/>
      <c r="AC784" s="34"/>
      <c r="AD784" s="15"/>
      <c r="AE784" s="14"/>
      <c r="AF784" s="12"/>
      <c r="AG784" s="12"/>
      <c r="AH784" s="12"/>
      <c r="AJ784" s="14">
        <v>97115</v>
      </c>
      <c r="AK784" s="14" t="s">
        <v>616</v>
      </c>
    </row>
    <row r="785" spans="18:37">
      <c r="R785" s="14">
        <v>97128</v>
      </c>
      <c r="S785" s="14" t="s">
        <v>1009</v>
      </c>
      <c r="T785" s="12" t="s">
        <v>180</v>
      </c>
      <c r="U785" s="15" t="str">
        <f t="shared" si="24"/>
        <v>Employee Experience - TMG</v>
      </c>
      <c r="V785" s="12" t="s">
        <v>104</v>
      </c>
      <c r="W785" s="12" t="s">
        <v>410</v>
      </c>
      <c r="X785" s="12" t="s">
        <v>114</v>
      </c>
      <c r="Y785" s="12" t="s">
        <v>1038</v>
      </c>
      <c r="AA785" s="12"/>
      <c r="AB785" s="33"/>
      <c r="AC785" s="34"/>
      <c r="AD785" s="15"/>
      <c r="AE785" s="14"/>
      <c r="AF785" s="12"/>
      <c r="AG785" s="12"/>
      <c r="AH785" s="12"/>
      <c r="AJ785" s="14">
        <v>97116</v>
      </c>
      <c r="AK785" s="14" t="s">
        <v>635</v>
      </c>
    </row>
    <row r="786" spans="18:37">
      <c r="R786" s="14">
        <v>18077</v>
      </c>
      <c r="S786" s="14" t="s">
        <v>634</v>
      </c>
      <c r="T786" s="12" t="s">
        <v>185</v>
      </c>
      <c r="U786" s="15" t="str">
        <f t="shared" si="24"/>
        <v>ENACT MI - TPS</v>
      </c>
      <c r="V786" s="12" t="s">
        <v>126</v>
      </c>
      <c r="W786" s="12" t="s">
        <v>163</v>
      </c>
      <c r="X786" s="12" t="s">
        <v>164</v>
      </c>
      <c r="Y786" s="12" t="s">
        <v>1038</v>
      </c>
      <c r="AA786" s="12"/>
      <c r="AB786" s="33"/>
      <c r="AC786" s="34"/>
      <c r="AD786" s="15"/>
      <c r="AE786" s="14"/>
      <c r="AF786" s="12"/>
      <c r="AG786" s="12"/>
      <c r="AH786" s="12"/>
      <c r="AJ786" s="14">
        <v>97117</v>
      </c>
      <c r="AK786" s="14" t="s">
        <v>627</v>
      </c>
    </row>
    <row r="787" spans="18:37">
      <c r="R787" s="14">
        <v>95112</v>
      </c>
      <c r="S787" s="14" t="s">
        <v>986</v>
      </c>
      <c r="T787" s="12" t="s">
        <v>145</v>
      </c>
      <c r="U787" s="15" t="str">
        <f t="shared" si="24"/>
        <v>Endpoint Security &amp; Transforma - SUP</v>
      </c>
      <c r="V787" s="12" t="s">
        <v>104</v>
      </c>
      <c r="W787" s="12" t="s">
        <v>263</v>
      </c>
      <c r="X787" s="12" t="s">
        <v>264</v>
      </c>
      <c r="Y787" s="12" t="s">
        <v>1038</v>
      </c>
      <c r="AA787" s="12"/>
      <c r="AB787" s="33"/>
      <c r="AC787" s="34"/>
      <c r="AD787" s="15"/>
      <c r="AE787" s="14"/>
      <c r="AF787" s="12"/>
      <c r="AG787" s="12"/>
      <c r="AH787" s="12"/>
      <c r="AJ787" s="14">
        <v>97121</v>
      </c>
      <c r="AK787" s="14" t="s">
        <v>883</v>
      </c>
    </row>
    <row r="788" spans="18:37">
      <c r="R788" s="14">
        <v>96112</v>
      </c>
      <c r="S788" s="14" t="s">
        <v>1004</v>
      </c>
      <c r="T788" s="12" t="s">
        <v>145</v>
      </c>
      <c r="U788" s="15" t="str">
        <f t="shared" si="24"/>
        <v>Endpoint Security &amp; Transforma
 - SUP</v>
      </c>
      <c r="V788" s="12" t="s">
        <v>104</v>
      </c>
      <c r="W788" s="12" t="s">
        <v>263</v>
      </c>
      <c r="X788" s="12" t="s">
        <v>264</v>
      </c>
      <c r="Y788" s="12" t="s">
        <v>1038</v>
      </c>
      <c r="AA788" s="12"/>
      <c r="AB788" s="33"/>
      <c r="AC788" s="34"/>
      <c r="AD788" s="15"/>
      <c r="AE788" s="14"/>
      <c r="AF788" s="12"/>
      <c r="AG788" s="12"/>
      <c r="AH788" s="12"/>
      <c r="AJ788" s="14">
        <v>97124</v>
      </c>
      <c r="AK788" s="14" t="s">
        <v>620</v>
      </c>
    </row>
    <row r="789" spans="18:37">
      <c r="R789" s="14">
        <v>89003</v>
      </c>
      <c r="S789" s="14" t="s">
        <v>496</v>
      </c>
      <c r="T789" s="12" t="s">
        <v>116</v>
      </c>
      <c r="U789" s="15" t="str">
        <f t="shared" si="24"/>
        <v>Enterprise application mainten - PRD</v>
      </c>
      <c r="V789" s="12" t="s">
        <v>117</v>
      </c>
      <c r="W789" s="12" t="s">
        <v>117</v>
      </c>
      <c r="X789" s="12" t="s">
        <v>117</v>
      </c>
      <c r="Y789" s="12" t="s">
        <v>1038</v>
      </c>
      <c r="AA789" s="12"/>
      <c r="AB789" s="33"/>
      <c r="AC789" s="34"/>
      <c r="AD789" s="15"/>
      <c r="AE789" s="14"/>
      <c r="AF789" s="12"/>
      <c r="AG789" s="12"/>
      <c r="AH789" s="12"/>
      <c r="AJ789" s="14">
        <v>97126</v>
      </c>
      <c r="AK789" s="14" t="s">
        <v>640</v>
      </c>
    </row>
    <row r="790" spans="18:37">
      <c r="R790" s="14">
        <v>89004</v>
      </c>
      <c r="S790" s="14" t="s">
        <v>496</v>
      </c>
      <c r="T790" s="12" t="s">
        <v>116</v>
      </c>
      <c r="U790" s="15" t="str">
        <f t="shared" si="24"/>
        <v>Enterprise application mainten - PRD</v>
      </c>
      <c r="V790" s="12" t="s">
        <v>117</v>
      </c>
      <c r="W790" s="12" t="s">
        <v>117</v>
      </c>
      <c r="X790" s="12" t="s">
        <v>117</v>
      </c>
      <c r="Y790" s="12" t="s">
        <v>1038</v>
      </c>
      <c r="AA790" s="12"/>
      <c r="AB790" s="33"/>
      <c r="AC790" s="34"/>
      <c r="AD790" s="15"/>
      <c r="AE790" s="14"/>
      <c r="AF790" s="12"/>
      <c r="AG790" s="12"/>
      <c r="AH790" s="12"/>
      <c r="AJ790" s="14">
        <v>97127</v>
      </c>
      <c r="AK790" s="14" t="s">
        <v>1008</v>
      </c>
    </row>
    <row r="791" spans="18:37">
      <c r="R791" s="14">
        <v>89005</v>
      </c>
      <c r="S791" s="14" t="s">
        <v>496</v>
      </c>
      <c r="T791" s="12" t="s">
        <v>116</v>
      </c>
      <c r="U791" s="15" t="str">
        <f t="shared" si="24"/>
        <v>Enterprise application mainten - PRD</v>
      </c>
      <c r="V791" s="12" t="s">
        <v>117</v>
      </c>
      <c r="W791" s="12" t="s">
        <v>117</v>
      </c>
      <c r="X791" s="12" t="s">
        <v>117</v>
      </c>
      <c r="Y791" s="12" t="s">
        <v>1038</v>
      </c>
      <c r="AA791" s="12"/>
      <c r="AB791" s="33"/>
      <c r="AC791" s="34"/>
      <c r="AD791" s="15"/>
      <c r="AE791" s="14"/>
      <c r="AF791" s="12"/>
      <c r="AG791" s="12"/>
      <c r="AH791" s="12"/>
      <c r="AJ791" s="14">
        <v>97128</v>
      </c>
      <c r="AK791" s="14" t="s">
        <v>1009</v>
      </c>
    </row>
    <row r="792" spans="18:37">
      <c r="R792" s="14">
        <v>89006</v>
      </c>
      <c r="S792" s="14" t="s">
        <v>496</v>
      </c>
      <c r="T792" s="12" t="s">
        <v>116</v>
      </c>
      <c r="U792" s="15" t="str">
        <f t="shared" si="24"/>
        <v>Enterprise application mainten - PRD</v>
      </c>
      <c r="V792" s="12" t="s">
        <v>117</v>
      </c>
      <c r="W792" s="12" t="s">
        <v>117</v>
      </c>
      <c r="X792" s="12" t="s">
        <v>117</v>
      </c>
      <c r="Y792" s="12" t="s">
        <v>1038</v>
      </c>
      <c r="AA792" s="12"/>
      <c r="AB792" s="33"/>
      <c r="AC792" s="34"/>
      <c r="AD792" s="15"/>
      <c r="AE792" s="14"/>
      <c r="AF792" s="12"/>
      <c r="AG792" s="12"/>
      <c r="AH792" s="12"/>
      <c r="AJ792" s="14">
        <v>97202</v>
      </c>
      <c r="AK792" s="14" t="s">
        <v>511</v>
      </c>
    </row>
    <row r="793" spans="18:37">
      <c r="R793" s="14">
        <v>90403</v>
      </c>
      <c r="S793" s="14" t="s">
        <v>924</v>
      </c>
      <c r="T793" s="12" t="s">
        <v>145</v>
      </c>
      <c r="U793" s="15" t="str">
        <f t="shared" si="24"/>
        <v>Enterprise Compliance Manageme - SUP</v>
      </c>
      <c r="V793" s="12" t="s">
        <v>104</v>
      </c>
      <c r="W793" s="12" t="s">
        <v>122</v>
      </c>
      <c r="X793" s="12" t="s">
        <v>114</v>
      </c>
      <c r="Y793" s="12" t="s">
        <v>1038</v>
      </c>
      <c r="AA793" s="12"/>
      <c r="AB793" s="33"/>
      <c r="AC793" s="34"/>
      <c r="AD793" s="15"/>
      <c r="AE793" s="14"/>
      <c r="AF793" s="12"/>
      <c r="AG793" s="12"/>
      <c r="AH793" s="12"/>
      <c r="AJ793" s="14">
        <v>97204</v>
      </c>
      <c r="AK793" s="14" t="s">
        <v>898</v>
      </c>
    </row>
    <row r="794" spans="18:37">
      <c r="R794" s="14">
        <v>10697</v>
      </c>
      <c r="S794" s="14" t="s">
        <v>317</v>
      </c>
      <c r="T794" s="12" t="s">
        <v>133</v>
      </c>
      <c r="U794" s="15" t="str">
        <f t="shared" si="24"/>
        <v>Enterprise IT Managed Services - AMG</v>
      </c>
      <c r="V794" s="12" t="s">
        <v>126</v>
      </c>
      <c r="W794" s="12" t="s">
        <v>360</v>
      </c>
      <c r="X794" s="12" t="s">
        <v>361</v>
      </c>
      <c r="Y794" s="12" t="s">
        <v>1038</v>
      </c>
      <c r="AA794" s="12"/>
      <c r="AB794" s="33"/>
      <c r="AC794" s="34"/>
      <c r="AD794" s="15"/>
      <c r="AE794" s="14"/>
      <c r="AF794" s="12"/>
      <c r="AG794" s="12"/>
      <c r="AH794" s="12"/>
      <c r="AJ794" s="14">
        <v>97217</v>
      </c>
      <c r="AK794" s="14" t="s">
        <v>912</v>
      </c>
    </row>
    <row r="795" spans="18:37">
      <c r="R795" s="14">
        <v>10697</v>
      </c>
      <c r="S795" s="14" t="s">
        <v>317</v>
      </c>
      <c r="T795" s="12" t="s">
        <v>116</v>
      </c>
      <c r="U795" s="15" t="str">
        <f t="shared" si="24"/>
        <v>Enterprise IT Managed Services - PRD</v>
      </c>
      <c r="V795" s="12" t="s">
        <v>126</v>
      </c>
      <c r="W795" s="12" t="s">
        <v>360</v>
      </c>
      <c r="X795" s="12" t="s">
        <v>361</v>
      </c>
      <c r="Y795" s="12" t="s">
        <v>1038</v>
      </c>
      <c r="AA795" s="12"/>
      <c r="AB795" s="33"/>
      <c r="AC795" s="34"/>
      <c r="AD795" s="15"/>
      <c r="AE795" s="14"/>
      <c r="AF795" s="12"/>
      <c r="AG795" s="12"/>
      <c r="AH795" s="12"/>
      <c r="AJ795" s="14">
        <v>97223</v>
      </c>
      <c r="AK795" s="14" t="s">
        <v>900</v>
      </c>
    </row>
    <row r="796" spans="18:37">
      <c r="R796" s="14">
        <v>10697</v>
      </c>
      <c r="S796" s="14" t="s">
        <v>317</v>
      </c>
      <c r="T796" s="12" t="s">
        <v>145</v>
      </c>
      <c r="U796" s="15" t="str">
        <f t="shared" si="24"/>
        <v>Enterprise IT Managed Services - SUP</v>
      </c>
      <c r="V796" s="12" t="s">
        <v>126</v>
      </c>
      <c r="W796" s="12" t="s">
        <v>360</v>
      </c>
      <c r="X796" s="12" t="s">
        <v>361</v>
      </c>
      <c r="Y796" s="12" t="s">
        <v>1038</v>
      </c>
      <c r="AA796" s="12"/>
      <c r="AB796" s="33"/>
      <c r="AC796" s="34"/>
      <c r="AD796" s="15"/>
      <c r="AE796" s="14"/>
      <c r="AF796" s="12"/>
      <c r="AG796" s="12"/>
      <c r="AH796" s="12"/>
      <c r="AJ796" s="14">
        <v>97229</v>
      </c>
      <c r="AK796" s="14" t="s">
        <v>909</v>
      </c>
    </row>
    <row r="797" spans="18:37">
      <c r="R797" s="14">
        <v>10697</v>
      </c>
      <c r="S797" s="14" t="s">
        <v>317</v>
      </c>
      <c r="T797" s="12" t="s">
        <v>198</v>
      </c>
      <c r="U797" s="15" t="str">
        <f t="shared" si="24"/>
        <v>Enterprise IT Managed Services - TEC</v>
      </c>
      <c r="V797" s="12" t="s">
        <v>126</v>
      </c>
      <c r="W797" s="12" t="s">
        <v>360</v>
      </c>
      <c r="X797" s="12" t="s">
        <v>361</v>
      </c>
      <c r="Y797" s="12" t="s">
        <v>1038</v>
      </c>
      <c r="AA797" s="12"/>
      <c r="AB797" s="33"/>
      <c r="AC797" s="34"/>
      <c r="AD797" s="15"/>
      <c r="AE797" s="14"/>
      <c r="AF797" s="12"/>
      <c r="AG797" s="12"/>
      <c r="AH797" s="12"/>
      <c r="AJ797" s="14">
        <v>97230</v>
      </c>
      <c r="AK797" s="14" t="s">
        <v>913</v>
      </c>
    </row>
    <row r="798" spans="18:37">
      <c r="R798" s="14">
        <v>10697</v>
      </c>
      <c r="S798" s="14" t="s">
        <v>317</v>
      </c>
      <c r="T798" s="12" t="s">
        <v>180</v>
      </c>
      <c r="U798" s="15" t="str">
        <f t="shared" si="24"/>
        <v>Enterprise IT Managed Services - TMG</v>
      </c>
      <c r="V798" s="12" t="s">
        <v>126</v>
      </c>
      <c r="W798" s="12" t="s">
        <v>360</v>
      </c>
      <c r="X798" s="12" t="s">
        <v>361</v>
      </c>
      <c r="Y798" s="12" t="s">
        <v>1038</v>
      </c>
      <c r="AA798" s="12"/>
      <c r="AB798" s="33"/>
      <c r="AC798" s="34"/>
      <c r="AD798" s="15"/>
      <c r="AE798" s="14"/>
      <c r="AF798" s="12"/>
      <c r="AG798" s="12"/>
      <c r="AH798" s="12"/>
      <c r="AJ798" s="14">
        <v>97245</v>
      </c>
      <c r="AK798" s="14" t="s">
        <v>929</v>
      </c>
    </row>
    <row r="799" spans="18:37">
      <c r="R799" s="14">
        <v>91840</v>
      </c>
      <c r="S799" s="14" t="s">
        <v>950</v>
      </c>
      <c r="T799" s="12" t="s">
        <v>145</v>
      </c>
      <c r="U799" s="15" t="str">
        <f t="shared" si="24"/>
        <v>Enterprise Service Delivery SG - SUP</v>
      </c>
      <c r="V799" s="12" t="s">
        <v>126</v>
      </c>
      <c r="W799" s="12" t="s">
        <v>360</v>
      </c>
      <c r="X799" s="12" t="s">
        <v>361</v>
      </c>
      <c r="Y799" s="12" t="s">
        <v>1038</v>
      </c>
      <c r="AA799" s="12"/>
      <c r="AB799" s="33"/>
      <c r="AC799" s="34"/>
      <c r="AD799" s="15"/>
      <c r="AE799" s="14"/>
      <c r="AF799" s="12"/>
      <c r="AG799" s="12"/>
      <c r="AH799" s="12"/>
      <c r="AJ799" s="14">
        <v>97246</v>
      </c>
      <c r="AK799" s="14" t="s">
        <v>1101</v>
      </c>
    </row>
    <row r="800" spans="18:37">
      <c r="R800" s="14">
        <v>91840</v>
      </c>
      <c r="S800" s="14" t="s">
        <v>950</v>
      </c>
      <c r="T800" s="12" t="s">
        <v>198</v>
      </c>
      <c r="U800" s="15" t="str">
        <f t="shared" si="24"/>
        <v>Enterprise Service Delivery SG - TEC</v>
      </c>
      <c r="V800" s="12" t="s">
        <v>126</v>
      </c>
      <c r="W800" s="12" t="s">
        <v>360</v>
      </c>
      <c r="X800" s="12" t="s">
        <v>361</v>
      </c>
      <c r="Y800" s="12" t="s">
        <v>1038</v>
      </c>
      <c r="AA800" s="12"/>
      <c r="AB800" s="33"/>
      <c r="AC800" s="34"/>
      <c r="AD800" s="15"/>
      <c r="AE800" s="14"/>
      <c r="AF800" s="12"/>
      <c r="AG800" s="12"/>
      <c r="AH800" s="12"/>
      <c r="AJ800" s="14">
        <v>97300</v>
      </c>
      <c r="AK800" s="14" t="s">
        <v>984</v>
      </c>
    </row>
    <row r="801" spans="18:37">
      <c r="R801" s="14">
        <v>90567</v>
      </c>
      <c r="S801" s="14" t="s">
        <v>930</v>
      </c>
      <c r="T801" s="12" t="s">
        <v>145</v>
      </c>
      <c r="U801" s="15" t="str">
        <f t="shared" si="24"/>
        <v>Environment Social Governance - SUP</v>
      </c>
      <c r="V801" s="12" t="s">
        <v>104</v>
      </c>
      <c r="W801" s="12" t="s">
        <v>518</v>
      </c>
      <c r="X801" s="12" t="s">
        <v>350</v>
      </c>
      <c r="Y801" s="12" t="s">
        <v>1038</v>
      </c>
      <c r="AA801" s="12"/>
      <c r="AB801" s="33"/>
      <c r="AC801" s="34"/>
      <c r="AD801" s="15"/>
      <c r="AE801" s="14"/>
      <c r="AF801" s="12"/>
      <c r="AG801" s="12"/>
      <c r="AH801" s="12"/>
      <c r="AJ801" s="14">
        <v>97302</v>
      </c>
      <c r="AK801" s="14" t="s">
        <v>987</v>
      </c>
    </row>
    <row r="802" spans="18:37">
      <c r="R802" s="14">
        <v>10877</v>
      </c>
      <c r="S802" s="14" t="s">
        <v>436</v>
      </c>
      <c r="T802" s="12" t="s">
        <v>150</v>
      </c>
      <c r="U802" s="15" t="str">
        <f t="shared" si="24"/>
        <v>Envysion Video Audit - CCS</v>
      </c>
      <c r="V802" s="12" t="s">
        <v>126</v>
      </c>
      <c r="W802" s="12" t="s">
        <v>163</v>
      </c>
      <c r="X802" s="12" t="s">
        <v>164</v>
      </c>
      <c r="Y802" s="12" t="s">
        <v>1038</v>
      </c>
      <c r="AA802" s="12"/>
      <c r="AB802" s="33"/>
      <c r="AC802" s="34"/>
      <c r="AD802" s="15"/>
      <c r="AE802" s="14"/>
      <c r="AF802" s="12"/>
      <c r="AG802" s="12"/>
      <c r="AH802" s="12"/>
      <c r="AJ802" s="14">
        <v>97305</v>
      </c>
      <c r="AK802" s="14" t="s">
        <v>369</v>
      </c>
    </row>
    <row r="803" spans="18:37">
      <c r="R803" s="14">
        <v>10877</v>
      </c>
      <c r="S803" s="14" t="s">
        <v>436</v>
      </c>
      <c r="T803" s="12" t="s">
        <v>161</v>
      </c>
      <c r="U803" s="15" t="str">
        <f t="shared" si="24"/>
        <v>Envysion Video Audit - ECC</v>
      </c>
      <c r="V803" s="12" t="s">
        <v>126</v>
      </c>
      <c r="W803" s="12" t="s">
        <v>163</v>
      </c>
      <c r="X803" s="12" t="s">
        <v>164</v>
      </c>
      <c r="Y803" s="12" t="s">
        <v>1038</v>
      </c>
      <c r="AA803" s="12"/>
      <c r="AB803" s="33"/>
      <c r="AC803" s="34"/>
      <c r="AD803" s="15"/>
      <c r="AE803" s="14"/>
      <c r="AF803" s="12"/>
      <c r="AG803" s="12"/>
      <c r="AH803" s="12"/>
      <c r="AJ803" s="14">
        <v>97311</v>
      </c>
      <c r="AK803" s="14" t="s">
        <v>879</v>
      </c>
    </row>
    <row r="804" spans="18:37">
      <c r="R804" s="14">
        <v>10877</v>
      </c>
      <c r="S804" s="14" t="s">
        <v>436</v>
      </c>
      <c r="T804" s="12" t="s">
        <v>177</v>
      </c>
      <c r="U804" s="15" t="str">
        <f t="shared" si="24"/>
        <v>Envysion Video Audit - OPS</v>
      </c>
      <c r="V804" s="12" t="s">
        <v>126</v>
      </c>
      <c r="W804" s="12" t="s">
        <v>163</v>
      </c>
      <c r="X804" s="12" t="s">
        <v>164</v>
      </c>
      <c r="Y804" s="12" t="s">
        <v>1038</v>
      </c>
      <c r="AA804" s="12"/>
      <c r="AB804" s="33"/>
      <c r="AC804" s="34"/>
      <c r="AD804" s="15"/>
      <c r="AE804" s="14"/>
      <c r="AF804" s="12"/>
      <c r="AG804" s="12"/>
      <c r="AH804" s="12"/>
      <c r="AJ804" s="14">
        <v>97312</v>
      </c>
      <c r="AK804" s="14" t="s">
        <v>857</v>
      </c>
    </row>
    <row r="805" spans="18:37">
      <c r="R805" s="14">
        <v>10877</v>
      </c>
      <c r="S805" s="14" t="s">
        <v>436</v>
      </c>
      <c r="T805" s="12" t="s">
        <v>418</v>
      </c>
      <c r="U805" s="15" t="str">
        <f t="shared" si="24"/>
        <v>Envysion Video Audit - QLC</v>
      </c>
      <c r="V805" s="12" t="s">
        <v>112</v>
      </c>
      <c r="W805" s="12" t="s">
        <v>113</v>
      </c>
      <c r="X805" s="12" t="s">
        <v>114</v>
      </c>
      <c r="Y805" s="12" t="s">
        <v>1038</v>
      </c>
      <c r="AA805" s="12"/>
      <c r="AB805" s="33"/>
      <c r="AC805" s="34"/>
      <c r="AD805" s="15"/>
      <c r="AE805" s="14"/>
      <c r="AF805" s="12"/>
      <c r="AG805" s="12"/>
      <c r="AH805" s="12"/>
      <c r="AJ805" s="14">
        <v>97313</v>
      </c>
      <c r="AK805" s="14" t="s">
        <v>896</v>
      </c>
    </row>
    <row r="806" spans="18:37">
      <c r="R806" s="14">
        <v>10877</v>
      </c>
      <c r="S806" s="14" t="s">
        <v>436</v>
      </c>
      <c r="T806" s="12" t="s">
        <v>145</v>
      </c>
      <c r="U806" s="15" t="str">
        <f t="shared" si="24"/>
        <v>Envysion Video Audit - SUP</v>
      </c>
      <c r="V806" s="12" t="s">
        <v>126</v>
      </c>
      <c r="W806" s="12" t="s">
        <v>163</v>
      </c>
      <c r="X806" s="12" t="s">
        <v>164</v>
      </c>
      <c r="Y806" s="12" t="s">
        <v>1038</v>
      </c>
      <c r="AA806" s="12"/>
      <c r="AB806" s="33"/>
      <c r="AC806" s="34"/>
      <c r="AD806" s="15"/>
      <c r="AE806" s="14"/>
      <c r="AF806" s="12"/>
      <c r="AG806" s="12"/>
      <c r="AH806" s="12"/>
      <c r="AJ806" s="14">
        <v>97316</v>
      </c>
      <c r="AK806" s="14" t="s">
        <v>1010</v>
      </c>
    </row>
    <row r="807" spans="18:37">
      <c r="R807" s="14">
        <v>10877</v>
      </c>
      <c r="S807" s="14" t="s">
        <v>436</v>
      </c>
      <c r="T807" s="12" t="s">
        <v>196</v>
      </c>
      <c r="U807" s="15" t="str">
        <f t="shared" si="24"/>
        <v>Envysion Video Audit - SUT</v>
      </c>
      <c r="V807" s="12" t="s">
        <v>126</v>
      </c>
      <c r="W807" s="12" t="s">
        <v>163</v>
      </c>
      <c r="X807" s="12" t="s">
        <v>164</v>
      </c>
      <c r="Y807" s="12" t="s">
        <v>1038</v>
      </c>
      <c r="AA807" s="12"/>
      <c r="AB807" s="33"/>
      <c r="AC807" s="34"/>
      <c r="AD807" s="15"/>
      <c r="AE807" s="14"/>
      <c r="AF807" s="12"/>
      <c r="AG807" s="12"/>
      <c r="AH807" s="12"/>
      <c r="AJ807" s="14">
        <v>97320</v>
      </c>
      <c r="AK807" s="14" t="s">
        <v>1011</v>
      </c>
    </row>
    <row r="808" spans="18:37">
      <c r="R808" s="14">
        <v>10877</v>
      </c>
      <c r="S808" s="14" t="s">
        <v>436</v>
      </c>
      <c r="T808" s="12" t="s">
        <v>180</v>
      </c>
      <c r="U808" s="15" t="str">
        <f t="shared" si="24"/>
        <v>Envysion Video Audit - TMG</v>
      </c>
      <c r="V808" s="12" t="s">
        <v>126</v>
      </c>
      <c r="W808" s="12" t="s">
        <v>163</v>
      </c>
      <c r="X808" s="12" t="s">
        <v>164</v>
      </c>
      <c r="Y808" s="12" t="s">
        <v>1038</v>
      </c>
      <c r="AA808" s="12"/>
      <c r="AB808" s="33"/>
      <c r="AC808" s="34"/>
      <c r="AD808" s="15"/>
      <c r="AE808" s="14"/>
      <c r="AF808" s="12"/>
      <c r="AG808" s="12"/>
      <c r="AH808" s="12"/>
      <c r="AJ808" s="14">
        <v>97322</v>
      </c>
      <c r="AK808" s="14" t="s">
        <v>808</v>
      </c>
    </row>
    <row r="809" spans="18:37">
      <c r="R809" s="14">
        <v>10877</v>
      </c>
      <c r="S809" s="14" t="s">
        <v>436</v>
      </c>
      <c r="T809" s="12" t="s">
        <v>185</v>
      </c>
      <c r="U809" s="15" t="str">
        <f t="shared" si="24"/>
        <v>Envysion Video Audit - TPS</v>
      </c>
      <c r="V809" s="12" t="s">
        <v>126</v>
      </c>
      <c r="W809" s="12" t="s">
        <v>163</v>
      </c>
      <c r="X809" s="12" t="s">
        <v>164</v>
      </c>
      <c r="Y809" s="12" t="s">
        <v>1038</v>
      </c>
      <c r="AA809" s="12"/>
      <c r="AB809" s="33"/>
      <c r="AC809" s="34"/>
      <c r="AD809" s="15"/>
      <c r="AE809" s="14"/>
      <c r="AF809" s="12"/>
      <c r="AG809" s="12"/>
      <c r="AH809" s="12"/>
      <c r="AJ809" s="14">
        <v>97324</v>
      </c>
      <c r="AK809" s="14" t="s">
        <v>1012</v>
      </c>
    </row>
    <row r="810" spans="18:37">
      <c r="R810" s="14">
        <v>10877</v>
      </c>
      <c r="S810" s="14" t="s">
        <v>436</v>
      </c>
      <c r="T810" s="12" t="s">
        <v>203</v>
      </c>
      <c r="U810" s="15" t="str">
        <f t="shared" si="24"/>
        <v>Envysion Video Audit - TRG</v>
      </c>
      <c r="V810" s="12" t="s">
        <v>112</v>
      </c>
      <c r="W810" s="12" t="s">
        <v>204</v>
      </c>
      <c r="X810" s="12" t="s">
        <v>205</v>
      </c>
      <c r="Y810" s="12" t="s">
        <v>1038</v>
      </c>
      <c r="AA810" s="12"/>
      <c r="AB810" s="33"/>
      <c r="AC810" s="34"/>
      <c r="AD810" s="15"/>
      <c r="AE810" s="14"/>
      <c r="AF810" s="12"/>
      <c r="AG810" s="12"/>
      <c r="AH810" s="12"/>
      <c r="AJ810" s="14">
        <v>98001</v>
      </c>
      <c r="AK810" s="14" t="s">
        <v>567</v>
      </c>
    </row>
    <row r="811" spans="18:37">
      <c r="R811" s="14">
        <v>40225</v>
      </c>
      <c r="S811" s="14" t="s">
        <v>684</v>
      </c>
      <c r="T811" s="12" t="s">
        <v>129</v>
      </c>
      <c r="U811" s="15" t="str">
        <f t="shared" si="24"/>
        <v>Equity Research - MGT</v>
      </c>
      <c r="V811" s="12" t="s">
        <v>126</v>
      </c>
      <c r="W811" s="12" t="s">
        <v>184</v>
      </c>
      <c r="X811" s="12" t="s">
        <v>184</v>
      </c>
      <c r="Y811" s="12" t="s">
        <v>1038</v>
      </c>
      <c r="AA811" s="12"/>
      <c r="AB811" s="33"/>
      <c r="AC811" s="34"/>
      <c r="AD811" s="15"/>
      <c r="AE811" s="14"/>
      <c r="AF811" s="12"/>
      <c r="AG811" s="12"/>
      <c r="AH811" s="12"/>
      <c r="AJ811" s="14">
        <v>98003</v>
      </c>
      <c r="AK811" s="14" t="s">
        <v>574</v>
      </c>
    </row>
    <row r="812" spans="18:37">
      <c r="R812" s="14">
        <v>40225</v>
      </c>
      <c r="S812" s="14" t="s">
        <v>684</v>
      </c>
      <c r="T812" s="12" t="s">
        <v>116</v>
      </c>
      <c r="U812" s="15" t="str">
        <f t="shared" si="24"/>
        <v>Equity Research - PRD</v>
      </c>
      <c r="V812" s="12" t="s">
        <v>126</v>
      </c>
      <c r="W812" s="12" t="s">
        <v>184</v>
      </c>
      <c r="X812" s="12" t="s">
        <v>184</v>
      </c>
      <c r="Y812" s="12" t="s">
        <v>1038</v>
      </c>
      <c r="AA812" s="12"/>
      <c r="AB812" s="33"/>
      <c r="AC812" s="34"/>
      <c r="AD812" s="15"/>
      <c r="AE812" s="14"/>
      <c r="AF812" s="12"/>
      <c r="AG812" s="12"/>
      <c r="AH812" s="12"/>
      <c r="AJ812" s="14">
        <v>98006</v>
      </c>
      <c r="AK812" s="14" t="s">
        <v>932</v>
      </c>
    </row>
    <row r="813" spans="18:37">
      <c r="R813" s="14">
        <v>40225</v>
      </c>
      <c r="S813" s="14" t="s">
        <v>684</v>
      </c>
      <c r="T813" s="12" t="s">
        <v>172</v>
      </c>
      <c r="U813" s="15" t="str">
        <f t="shared" si="24"/>
        <v>Equity Research - SME</v>
      </c>
      <c r="V813" s="12" t="s">
        <v>126</v>
      </c>
      <c r="W813" s="12" t="s">
        <v>184</v>
      </c>
      <c r="X813" s="12" t="s">
        <v>184</v>
      </c>
      <c r="Y813" s="12" t="s">
        <v>1038</v>
      </c>
      <c r="AA813" s="12"/>
      <c r="AB813" s="33"/>
      <c r="AC813" s="34"/>
      <c r="AD813" s="15"/>
      <c r="AE813" s="14"/>
      <c r="AF813" s="12"/>
      <c r="AG813" s="12"/>
      <c r="AH813" s="12"/>
      <c r="AJ813" s="14">
        <v>99000</v>
      </c>
      <c r="AK813" s="14" t="s">
        <v>573</v>
      </c>
    </row>
    <row r="814" spans="18:37" ht="14">
      <c r="R814" s="14">
        <v>40225</v>
      </c>
      <c r="S814" s="14" t="s">
        <v>684</v>
      </c>
      <c r="T814" s="12" t="s">
        <v>145</v>
      </c>
      <c r="U814" s="15" t="str">
        <f t="shared" si="24"/>
        <v>Equity Research - SUP</v>
      </c>
      <c r="V814" s="12" t="s">
        <v>126</v>
      </c>
      <c r="W814" s="12" t="s">
        <v>184</v>
      </c>
      <c r="X814" s="12" t="s">
        <v>184</v>
      </c>
      <c r="Y814" s="12" t="s">
        <v>1038</v>
      </c>
      <c r="AA814" s="12"/>
      <c r="AB814" s="33"/>
      <c r="AC814" s="34"/>
      <c r="AD814" s="15"/>
      <c r="AE814" s="14"/>
      <c r="AF814" s="12"/>
      <c r="AG814" s="12"/>
      <c r="AH814" s="12"/>
      <c r="AJ814"/>
      <c r="AK814"/>
    </row>
    <row r="815" spans="18:37" ht="14">
      <c r="R815" s="14">
        <v>51488</v>
      </c>
      <c r="S815" s="14" t="s">
        <v>816</v>
      </c>
      <c r="T815" s="12" t="s">
        <v>116</v>
      </c>
      <c r="U815" s="15" t="str">
        <f t="shared" si="24"/>
        <v>EquityResedential-2308-2312-Or - PRD</v>
      </c>
      <c r="V815" s="12" t="s">
        <v>117</v>
      </c>
      <c r="W815" s="12" t="s">
        <v>117</v>
      </c>
      <c r="X815" s="12" t="s">
        <v>117</v>
      </c>
      <c r="Y815" s="12" t="s">
        <v>1038</v>
      </c>
      <c r="AA815" s="12"/>
      <c r="AB815" s="33"/>
      <c r="AC815" s="34"/>
      <c r="AD815" s="15"/>
      <c r="AE815" s="14"/>
      <c r="AF815" s="12"/>
      <c r="AG815" s="12"/>
      <c r="AH815" s="12"/>
      <c r="AJ815"/>
      <c r="AK815"/>
    </row>
    <row r="816" spans="18:37" ht="14">
      <c r="R816" s="14">
        <v>95305</v>
      </c>
      <c r="S816" s="14" t="s">
        <v>498</v>
      </c>
      <c r="T816" s="12" t="s">
        <v>129</v>
      </c>
      <c r="U816" s="15" t="str">
        <f t="shared" si="24"/>
        <v>ESG Ariba - MGT</v>
      </c>
      <c r="V816" s="12" t="s">
        <v>104</v>
      </c>
      <c r="W816" s="12" t="s">
        <v>263</v>
      </c>
      <c r="X816" s="12" t="s">
        <v>264</v>
      </c>
      <c r="Y816" s="12" t="s">
        <v>1038</v>
      </c>
      <c r="AA816" s="12"/>
      <c r="AB816" s="33"/>
      <c r="AC816" s="34"/>
      <c r="AD816" s="15"/>
      <c r="AE816" s="14"/>
      <c r="AF816" s="12"/>
      <c r="AG816" s="12"/>
      <c r="AH816" s="12"/>
      <c r="AJ816"/>
      <c r="AK816"/>
    </row>
    <row r="817" spans="18:37" ht="14">
      <c r="R817" s="14">
        <v>96113</v>
      </c>
      <c r="S817" s="14" t="s">
        <v>1005</v>
      </c>
      <c r="T817" s="12" t="s">
        <v>145</v>
      </c>
      <c r="U817" s="15" t="str">
        <f t="shared" si="24"/>
        <v>ESG BI-EPM Apps - SUP</v>
      </c>
      <c r="V817" s="12" t="s">
        <v>104</v>
      </c>
      <c r="W817" s="12" t="s">
        <v>263</v>
      </c>
      <c r="X817" s="12" t="s">
        <v>264</v>
      </c>
      <c r="Y817" s="12" t="s">
        <v>1038</v>
      </c>
      <c r="AA817" s="12"/>
      <c r="AB817" s="33"/>
      <c r="AC817" s="34"/>
      <c r="AD817" s="15"/>
      <c r="AE817" s="14"/>
      <c r="AF817" s="12"/>
      <c r="AG817" s="12"/>
      <c r="AH817" s="12"/>
      <c r="AJ817"/>
      <c r="AK817"/>
    </row>
    <row r="818" spans="18:37" ht="14">
      <c r="R818" s="14">
        <v>95250</v>
      </c>
      <c r="S818" s="14" t="s">
        <v>500</v>
      </c>
      <c r="T818" s="12" t="s">
        <v>262</v>
      </c>
      <c r="U818" s="15" t="str">
        <f t="shared" si="24"/>
        <v>ESG CORP APPS - GSI</v>
      </c>
      <c r="V818" s="12" t="s">
        <v>104</v>
      </c>
      <c r="W818" s="12" t="s">
        <v>263</v>
      </c>
      <c r="X818" s="12" t="s">
        <v>264</v>
      </c>
      <c r="Y818" s="12" t="s">
        <v>1038</v>
      </c>
      <c r="AA818" s="12"/>
      <c r="AB818" s="33"/>
      <c r="AC818" s="34"/>
      <c r="AD818" s="15"/>
      <c r="AE818" s="14"/>
      <c r="AF818" s="12"/>
      <c r="AG818" s="12"/>
      <c r="AH818" s="12"/>
      <c r="AJ818"/>
      <c r="AK818"/>
    </row>
    <row r="819" spans="18:37" ht="14">
      <c r="R819" s="14">
        <v>95250</v>
      </c>
      <c r="S819" s="14" t="s">
        <v>500</v>
      </c>
      <c r="T819" s="12" t="s">
        <v>415</v>
      </c>
      <c r="U819" s="15" t="str">
        <f t="shared" si="24"/>
        <v>ESG CORP APPS - GTI</v>
      </c>
      <c r="V819" s="12" t="s">
        <v>104</v>
      </c>
      <c r="W819" s="12" t="s">
        <v>263</v>
      </c>
      <c r="X819" s="12" t="s">
        <v>264</v>
      </c>
      <c r="Y819" s="12" t="s">
        <v>1038</v>
      </c>
      <c r="AA819" s="12"/>
      <c r="AB819" s="33"/>
      <c r="AC819" s="34"/>
      <c r="AD819" s="15"/>
      <c r="AE819" s="14"/>
      <c r="AF819" s="12"/>
      <c r="AG819" s="12"/>
      <c r="AH819" s="12"/>
      <c r="AJ819"/>
      <c r="AK819"/>
    </row>
    <row r="820" spans="18:37" ht="14">
      <c r="R820" s="14">
        <v>95250</v>
      </c>
      <c r="S820" s="14" t="s">
        <v>500</v>
      </c>
      <c r="T820" s="12" t="s">
        <v>129</v>
      </c>
      <c r="U820" s="15" t="str">
        <f t="shared" si="24"/>
        <v>ESG CORP APPS - MGT</v>
      </c>
      <c r="V820" s="12" t="s">
        <v>104</v>
      </c>
      <c r="W820" s="12" t="s">
        <v>263</v>
      </c>
      <c r="X820" s="12" t="s">
        <v>264</v>
      </c>
      <c r="Y820" s="12" t="s">
        <v>1038</v>
      </c>
      <c r="AA820" s="12"/>
      <c r="AB820" s="33"/>
      <c r="AC820" s="34"/>
      <c r="AD820" s="15"/>
      <c r="AE820" s="14"/>
      <c r="AF820" s="12"/>
      <c r="AG820" s="12"/>
      <c r="AH820" s="12"/>
      <c r="AJ820"/>
      <c r="AK820"/>
    </row>
    <row r="821" spans="18:37" ht="14">
      <c r="R821" s="14">
        <v>95250</v>
      </c>
      <c r="S821" s="14" t="s">
        <v>500</v>
      </c>
      <c r="T821" s="12" t="s">
        <v>139</v>
      </c>
      <c r="U821" s="15" t="str">
        <f t="shared" si="24"/>
        <v>ESG CORP APPS - SMGT</v>
      </c>
      <c r="V821" s="12" t="s">
        <v>104</v>
      </c>
      <c r="W821" s="12" t="s">
        <v>263</v>
      </c>
      <c r="X821" s="12" t="s">
        <v>264</v>
      </c>
      <c r="Y821" s="12" t="s">
        <v>1038</v>
      </c>
      <c r="AA821" s="12"/>
      <c r="AB821" s="33"/>
      <c r="AC821" s="34"/>
      <c r="AD821" s="15"/>
      <c r="AE821" s="14"/>
      <c r="AF821" s="12"/>
      <c r="AG821" s="12"/>
      <c r="AH821" s="12"/>
      <c r="AJ821"/>
      <c r="AK821"/>
    </row>
    <row r="822" spans="18:37" ht="14">
      <c r="R822" s="14">
        <v>95250</v>
      </c>
      <c r="S822" s="14" t="s">
        <v>500</v>
      </c>
      <c r="T822" s="12" t="s">
        <v>145</v>
      </c>
      <c r="U822" s="15" t="str">
        <f t="shared" si="24"/>
        <v>ESG CORP APPS - SUP</v>
      </c>
      <c r="V822" s="12" t="s">
        <v>104</v>
      </c>
      <c r="W822" s="12" t="s">
        <v>263</v>
      </c>
      <c r="X822" s="12" t="s">
        <v>264</v>
      </c>
      <c r="Y822" s="12" t="s">
        <v>1038</v>
      </c>
      <c r="AA822" s="12"/>
      <c r="AB822" s="33"/>
      <c r="AC822" s="34"/>
      <c r="AD822" s="15"/>
      <c r="AE822" s="14"/>
      <c r="AF822" s="12"/>
      <c r="AG822" s="12"/>
      <c r="AH822" s="12"/>
      <c r="AJ822"/>
      <c r="AK822"/>
    </row>
    <row r="823" spans="18:37" ht="14">
      <c r="R823" s="14">
        <v>95309</v>
      </c>
      <c r="S823" s="14" t="s">
        <v>993</v>
      </c>
      <c r="T823" s="12" t="s">
        <v>145</v>
      </c>
      <c r="U823" s="15" t="str">
        <f t="shared" si="24"/>
        <v>ESG EPM Apps - SUP</v>
      </c>
      <c r="V823" s="12" t="s">
        <v>104</v>
      </c>
      <c r="W823" s="12" t="s">
        <v>263</v>
      </c>
      <c r="X823" s="12" t="s">
        <v>264</v>
      </c>
      <c r="Y823" s="12" t="s">
        <v>1038</v>
      </c>
      <c r="AA823" s="12"/>
      <c r="AB823" s="33"/>
      <c r="AC823" s="34"/>
      <c r="AD823" s="15"/>
      <c r="AE823" s="14"/>
      <c r="AF823" s="12"/>
      <c r="AG823" s="12"/>
      <c r="AH823" s="12"/>
      <c r="AJ823"/>
      <c r="AK823"/>
    </row>
    <row r="824" spans="18:37" ht="14">
      <c r="R824" s="14">
        <v>95309</v>
      </c>
      <c r="S824" s="14" t="s">
        <v>993</v>
      </c>
      <c r="T824" s="12" t="s">
        <v>180</v>
      </c>
      <c r="U824" s="15" t="str">
        <f t="shared" si="24"/>
        <v>ESG EPM Apps - TMG</v>
      </c>
      <c r="V824" s="12" t="s">
        <v>104</v>
      </c>
      <c r="W824" s="12" t="s">
        <v>263</v>
      </c>
      <c r="X824" s="12" t="s">
        <v>264</v>
      </c>
      <c r="Y824" s="12" t="s">
        <v>1038</v>
      </c>
      <c r="AA824" s="12"/>
      <c r="AB824" s="33"/>
      <c r="AC824" s="34"/>
      <c r="AD824" s="15"/>
      <c r="AE824" s="14"/>
      <c r="AF824" s="12"/>
      <c r="AG824" s="12"/>
      <c r="AH824" s="12"/>
      <c r="AJ824"/>
      <c r="AK824"/>
    </row>
    <row r="825" spans="18:37" ht="14">
      <c r="R825" s="14">
        <v>95300</v>
      </c>
      <c r="S825" s="14" t="s">
        <v>505</v>
      </c>
      <c r="T825" s="12" t="s">
        <v>133</v>
      </c>
      <c r="U825" s="15" t="str">
        <f t="shared" si="24"/>
        <v>ESG Finance - AMG</v>
      </c>
      <c r="V825" s="12" t="s">
        <v>104</v>
      </c>
      <c r="W825" s="12" t="s">
        <v>263</v>
      </c>
      <c r="X825" s="12" t="s">
        <v>264</v>
      </c>
      <c r="Y825" s="12" t="s">
        <v>1038</v>
      </c>
      <c r="AA825" s="12"/>
      <c r="AB825" s="33"/>
      <c r="AC825" s="34"/>
      <c r="AD825" s="15"/>
      <c r="AE825" s="14"/>
      <c r="AF825" s="12"/>
      <c r="AG825" s="12"/>
      <c r="AH825" s="12"/>
      <c r="AJ825"/>
      <c r="AK825"/>
    </row>
    <row r="826" spans="18:37" ht="14">
      <c r="R826" s="14">
        <v>95300</v>
      </c>
      <c r="S826" s="14" t="s">
        <v>505</v>
      </c>
      <c r="T826" s="12" t="s">
        <v>262</v>
      </c>
      <c r="U826" s="15" t="str">
        <f t="shared" si="24"/>
        <v>ESG Finance - GSI</v>
      </c>
      <c r="V826" s="12" t="s">
        <v>104</v>
      </c>
      <c r="W826" s="12" t="s">
        <v>263</v>
      </c>
      <c r="X826" s="12" t="s">
        <v>264</v>
      </c>
      <c r="Y826" s="12" t="s">
        <v>1038</v>
      </c>
      <c r="AA826" s="12"/>
      <c r="AB826" s="33"/>
      <c r="AC826" s="34"/>
      <c r="AD826" s="15"/>
      <c r="AE826" s="14"/>
      <c r="AF826" s="12"/>
      <c r="AG826" s="12"/>
      <c r="AH826" s="12"/>
      <c r="AJ826"/>
      <c r="AK826"/>
    </row>
    <row r="827" spans="18:37" ht="14">
      <c r="R827" s="14">
        <v>95300</v>
      </c>
      <c r="S827" s="14" t="s">
        <v>505</v>
      </c>
      <c r="T827" s="12" t="s">
        <v>129</v>
      </c>
      <c r="U827" s="15" t="str">
        <f t="shared" si="24"/>
        <v>ESG Finance - MGT</v>
      </c>
      <c r="V827" s="12" t="s">
        <v>104</v>
      </c>
      <c r="W827" s="12" t="s">
        <v>263</v>
      </c>
      <c r="X827" s="12" t="s">
        <v>264</v>
      </c>
      <c r="Y827" s="12" t="s">
        <v>1038</v>
      </c>
      <c r="AA827" s="12"/>
      <c r="AB827" s="33"/>
      <c r="AC827" s="34"/>
      <c r="AD827" s="15"/>
      <c r="AE827" s="14"/>
      <c r="AF827" s="12"/>
      <c r="AG827" s="12"/>
      <c r="AH827" s="12"/>
      <c r="AJ827"/>
      <c r="AK827"/>
    </row>
    <row r="828" spans="18:37" ht="14">
      <c r="R828" s="14">
        <v>95300</v>
      </c>
      <c r="S828" s="14" t="s">
        <v>505</v>
      </c>
      <c r="T828" s="12" t="s">
        <v>139</v>
      </c>
      <c r="U828" s="15" t="str">
        <f t="shared" si="24"/>
        <v>ESG Finance - SMGT</v>
      </c>
      <c r="V828" s="12" t="s">
        <v>104</v>
      </c>
      <c r="W828" s="12" t="s">
        <v>263</v>
      </c>
      <c r="X828" s="12" t="s">
        <v>264</v>
      </c>
      <c r="Y828" s="12" t="s">
        <v>1038</v>
      </c>
      <c r="AA828" s="12"/>
      <c r="AB828" s="33"/>
      <c r="AC828" s="34"/>
      <c r="AD828" s="15"/>
      <c r="AE828" s="14"/>
      <c r="AF828" s="12"/>
      <c r="AG828" s="12"/>
      <c r="AH828" s="12"/>
      <c r="AJ828"/>
      <c r="AK828"/>
    </row>
    <row r="829" spans="18:37" ht="14">
      <c r="R829" s="14">
        <v>95300</v>
      </c>
      <c r="S829" s="14" t="s">
        <v>505</v>
      </c>
      <c r="T829" s="12" t="s">
        <v>145</v>
      </c>
      <c r="U829" s="15" t="str">
        <f t="shared" si="24"/>
        <v>ESG Finance - SUP</v>
      </c>
      <c r="V829" s="12" t="s">
        <v>104</v>
      </c>
      <c r="W829" s="12" t="s">
        <v>263</v>
      </c>
      <c r="X829" s="12" t="s">
        <v>264</v>
      </c>
      <c r="Y829" s="12" t="s">
        <v>1038</v>
      </c>
      <c r="AA829" s="12"/>
      <c r="AB829" s="33"/>
      <c r="AC829" s="34"/>
      <c r="AD829" s="15"/>
      <c r="AE829" s="14"/>
      <c r="AF829" s="12"/>
      <c r="AG829" s="12"/>
      <c r="AH829" s="12"/>
      <c r="AJ829"/>
      <c r="AK829"/>
    </row>
    <row r="830" spans="18:37" ht="14">
      <c r="R830" s="14">
        <v>95300</v>
      </c>
      <c r="S830" s="14" t="s">
        <v>505</v>
      </c>
      <c r="T830" s="12" t="s">
        <v>180</v>
      </c>
      <c r="U830" s="15" t="str">
        <f t="shared" si="24"/>
        <v>ESG Finance - TMG</v>
      </c>
      <c r="V830" s="12" t="s">
        <v>104</v>
      </c>
      <c r="W830" s="12" t="s">
        <v>263</v>
      </c>
      <c r="X830" s="12" t="s">
        <v>264</v>
      </c>
      <c r="Y830" s="12" t="s">
        <v>1038</v>
      </c>
      <c r="AA830" s="12"/>
      <c r="AB830" s="33"/>
      <c r="AC830" s="34"/>
      <c r="AD830" s="15"/>
      <c r="AE830" s="14"/>
      <c r="AF830" s="12"/>
      <c r="AG830" s="12"/>
      <c r="AH830" s="12"/>
      <c r="AJ830"/>
      <c r="AK830"/>
    </row>
    <row r="831" spans="18:37" ht="14">
      <c r="R831" s="14">
        <v>95304</v>
      </c>
      <c r="S831" s="14" t="s">
        <v>989</v>
      </c>
      <c r="T831" s="12" t="s">
        <v>262</v>
      </c>
      <c r="U831" s="15" t="str">
        <f t="shared" si="24"/>
        <v>ESG HCM - GSI</v>
      </c>
      <c r="V831" s="12" t="s">
        <v>104</v>
      </c>
      <c r="W831" s="12" t="s">
        <v>263</v>
      </c>
      <c r="X831" s="12" t="s">
        <v>264</v>
      </c>
      <c r="Y831" s="12" t="s">
        <v>1038</v>
      </c>
      <c r="AA831" s="12"/>
      <c r="AB831" s="33"/>
      <c r="AC831" s="34"/>
      <c r="AD831" s="15"/>
      <c r="AE831" s="14"/>
      <c r="AF831" s="12"/>
      <c r="AG831" s="12"/>
      <c r="AH831" s="12"/>
      <c r="AJ831"/>
      <c r="AK831"/>
    </row>
    <row r="832" spans="18:37" ht="14">
      <c r="R832" s="14">
        <v>95304</v>
      </c>
      <c r="S832" s="14" t="s">
        <v>989</v>
      </c>
      <c r="T832" s="12" t="s">
        <v>129</v>
      </c>
      <c r="U832" s="15" t="str">
        <f t="shared" si="24"/>
        <v>ESG HCM - MGT</v>
      </c>
      <c r="V832" s="12" t="s">
        <v>104</v>
      </c>
      <c r="W832" s="12" t="s">
        <v>263</v>
      </c>
      <c r="X832" s="12" t="s">
        <v>264</v>
      </c>
      <c r="Y832" s="12" t="s">
        <v>1038</v>
      </c>
      <c r="AA832" s="12"/>
      <c r="AB832" s="33"/>
      <c r="AC832" s="34"/>
      <c r="AD832" s="15"/>
      <c r="AE832" s="14"/>
      <c r="AF832" s="12"/>
      <c r="AG832" s="12"/>
      <c r="AH832" s="12"/>
      <c r="AJ832"/>
      <c r="AK832"/>
    </row>
    <row r="833" spans="18:37" ht="14">
      <c r="R833" s="14">
        <v>95304</v>
      </c>
      <c r="S833" s="14" t="s">
        <v>989</v>
      </c>
      <c r="T833" s="12" t="s">
        <v>139</v>
      </c>
      <c r="U833" s="15" t="str">
        <f t="shared" si="24"/>
        <v>ESG HCM - SMGT</v>
      </c>
      <c r="V833" s="12" t="s">
        <v>104</v>
      </c>
      <c r="W833" s="12" t="s">
        <v>263</v>
      </c>
      <c r="X833" s="12" t="s">
        <v>264</v>
      </c>
      <c r="Y833" s="12" t="s">
        <v>1038</v>
      </c>
      <c r="AA833" s="12"/>
      <c r="AB833" s="33"/>
      <c r="AC833" s="34"/>
      <c r="AD833" s="15"/>
      <c r="AE833" s="14"/>
      <c r="AF833" s="12"/>
      <c r="AG833" s="12"/>
      <c r="AH833" s="12"/>
      <c r="AJ833"/>
      <c r="AK833"/>
    </row>
    <row r="834" spans="18:37" ht="14">
      <c r="R834" s="14">
        <v>95304</v>
      </c>
      <c r="S834" s="14" t="s">
        <v>989</v>
      </c>
      <c r="T834" s="12" t="s">
        <v>145</v>
      </c>
      <c r="U834" s="15" t="str">
        <f t="shared" si="24"/>
        <v>ESG HCM - SUP</v>
      </c>
      <c r="V834" s="12" t="s">
        <v>104</v>
      </c>
      <c r="W834" s="12" t="s">
        <v>263</v>
      </c>
      <c r="X834" s="12" t="s">
        <v>264</v>
      </c>
      <c r="Y834" s="12" t="s">
        <v>1038</v>
      </c>
      <c r="AA834" s="12"/>
      <c r="AB834" s="33"/>
      <c r="AC834" s="34"/>
      <c r="AD834" s="15"/>
      <c r="AE834" s="14"/>
      <c r="AF834" s="12"/>
      <c r="AG834" s="12"/>
      <c r="AH834" s="12"/>
      <c r="AJ834"/>
      <c r="AK834"/>
    </row>
    <row r="835" spans="18:37" ht="14">
      <c r="R835" s="14">
        <v>95304</v>
      </c>
      <c r="S835" s="14" t="s">
        <v>989</v>
      </c>
      <c r="T835" s="12" t="s">
        <v>180</v>
      </c>
      <c r="U835" s="15" t="str">
        <f t="shared" ref="U835:U898" si="25">S835&amp;" - "&amp;T835</f>
        <v>ESG HCM - TMG</v>
      </c>
      <c r="V835" s="12" t="s">
        <v>104</v>
      </c>
      <c r="W835" s="12" t="s">
        <v>263</v>
      </c>
      <c r="X835" s="12" t="s">
        <v>264</v>
      </c>
      <c r="Y835" s="12" t="s">
        <v>1038</v>
      </c>
      <c r="AA835" s="12"/>
      <c r="AB835" s="33"/>
      <c r="AC835" s="34"/>
      <c r="AD835" s="15"/>
      <c r="AE835" s="14"/>
      <c r="AF835" s="12"/>
      <c r="AG835" s="12"/>
      <c r="AH835" s="12"/>
      <c r="AJ835"/>
      <c r="AK835"/>
    </row>
    <row r="836" spans="18:37" ht="14">
      <c r="R836" s="14">
        <v>95306</v>
      </c>
      <c r="S836" s="14" t="s">
        <v>990</v>
      </c>
      <c r="T836" s="12" t="s">
        <v>262</v>
      </c>
      <c r="U836" s="15" t="str">
        <f t="shared" si="25"/>
        <v>ESG IROZ - GSI</v>
      </c>
      <c r="V836" s="12" t="s">
        <v>104</v>
      </c>
      <c r="W836" s="12" t="s">
        <v>263</v>
      </c>
      <c r="X836" s="12" t="s">
        <v>264</v>
      </c>
      <c r="Y836" s="12" t="s">
        <v>1038</v>
      </c>
      <c r="AA836" s="12"/>
      <c r="AB836" s="33"/>
      <c r="AC836" s="34"/>
      <c r="AD836" s="15"/>
      <c r="AE836" s="14"/>
      <c r="AF836" s="12"/>
      <c r="AG836" s="12"/>
      <c r="AH836" s="12"/>
      <c r="AJ836"/>
      <c r="AK836"/>
    </row>
    <row r="837" spans="18:37" ht="14">
      <c r="R837" s="14">
        <v>95306</v>
      </c>
      <c r="S837" s="14" t="s">
        <v>990</v>
      </c>
      <c r="T837" s="12" t="s">
        <v>415</v>
      </c>
      <c r="U837" s="15" t="str">
        <f t="shared" si="25"/>
        <v>ESG IROZ - GTI</v>
      </c>
      <c r="V837" s="12" t="s">
        <v>104</v>
      </c>
      <c r="W837" s="12" t="s">
        <v>263</v>
      </c>
      <c r="X837" s="12" t="s">
        <v>264</v>
      </c>
      <c r="Y837" s="12" t="s">
        <v>1038</v>
      </c>
      <c r="AA837" s="12"/>
      <c r="AB837" s="33"/>
      <c r="AC837" s="34"/>
      <c r="AD837" s="15"/>
      <c r="AE837" s="14"/>
      <c r="AF837" s="12"/>
      <c r="AG837" s="12"/>
      <c r="AH837" s="12"/>
      <c r="AJ837"/>
      <c r="AK837"/>
    </row>
    <row r="838" spans="18:37" ht="14">
      <c r="R838" s="14">
        <v>95306</v>
      </c>
      <c r="S838" s="14" t="s">
        <v>990</v>
      </c>
      <c r="T838" s="12" t="s">
        <v>145</v>
      </c>
      <c r="U838" s="15" t="str">
        <f t="shared" si="25"/>
        <v>ESG IROZ - SUP</v>
      </c>
      <c r="V838" s="12" t="s">
        <v>104</v>
      </c>
      <c r="W838" s="12" t="s">
        <v>263</v>
      </c>
      <c r="X838" s="12" t="s">
        <v>264</v>
      </c>
      <c r="Y838" s="12" t="s">
        <v>1038</v>
      </c>
      <c r="AA838" s="12"/>
      <c r="AB838" s="33"/>
      <c r="AC838" s="34"/>
      <c r="AD838" s="15"/>
      <c r="AE838" s="14"/>
      <c r="AF838" s="12"/>
      <c r="AG838" s="12"/>
      <c r="AH838" s="12"/>
      <c r="AJ838"/>
      <c r="AK838"/>
    </row>
    <row r="839" spans="18:37" ht="14">
      <c r="R839" s="14">
        <v>95308</v>
      </c>
      <c r="S839" s="14" t="s">
        <v>992</v>
      </c>
      <c r="T839" s="12" t="s">
        <v>145</v>
      </c>
      <c r="U839" s="15" t="str">
        <f t="shared" si="25"/>
        <v>ESG Smartrecruiter - SUP</v>
      </c>
      <c r="V839" s="12" t="s">
        <v>104</v>
      </c>
      <c r="W839" s="12" t="s">
        <v>263</v>
      </c>
      <c r="X839" s="12" t="s">
        <v>264</v>
      </c>
      <c r="Y839" s="12" t="s">
        <v>1038</v>
      </c>
      <c r="AA839" s="12"/>
      <c r="AB839" s="33"/>
      <c r="AC839" s="34"/>
      <c r="AD839" s="15"/>
      <c r="AE839" s="14"/>
      <c r="AF839" s="12"/>
      <c r="AG839" s="12"/>
      <c r="AH839" s="12"/>
      <c r="AJ839"/>
      <c r="AK839"/>
    </row>
    <row r="840" spans="18:37" ht="14">
      <c r="R840" s="14">
        <v>95307</v>
      </c>
      <c r="S840" s="14" t="s">
        <v>991</v>
      </c>
      <c r="T840" s="12" t="s">
        <v>262</v>
      </c>
      <c r="U840" s="15" t="str">
        <f t="shared" si="25"/>
        <v>ESG SQMS - GSI</v>
      </c>
      <c r="V840" s="12" t="s">
        <v>104</v>
      </c>
      <c r="W840" s="12" t="s">
        <v>263</v>
      </c>
      <c r="X840" s="12" t="s">
        <v>264</v>
      </c>
      <c r="Y840" s="12" t="s">
        <v>1038</v>
      </c>
      <c r="AA840" s="12"/>
      <c r="AB840" s="33"/>
      <c r="AC840" s="34"/>
      <c r="AD840" s="15"/>
      <c r="AE840" s="14"/>
      <c r="AF840" s="12"/>
      <c r="AG840" s="12"/>
      <c r="AH840" s="12"/>
      <c r="AJ840"/>
      <c r="AK840"/>
    </row>
    <row r="841" spans="18:37" ht="14">
      <c r="R841" s="14">
        <v>95307</v>
      </c>
      <c r="S841" s="14" t="s">
        <v>991</v>
      </c>
      <c r="T841" s="12" t="s">
        <v>415</v>
      </c>
      <c r="U841" s="15" t="str">
        <f t="shared" si="25"/>
        <v>ESG SQMS - GTI</v>
      </c>
      <c r="V841" s="12" t="s">
        <v>104</v>
      </c>
      <c r="W841" s="12" t="s">
        <v>263</v>
      </c>
      <c r="X841" s="12" t="s">
        <v>264</v>
      </c>
      <c r="Y841" s="12" t="s">
        <v>1038</v>
      </c>
      <c r="AA841" s="12"/>
      <c r="AB841" s="33"/>
      <c r="AC841" s="34"/>
      <c r="AD841" s="15"/>
      <c r="AE841" s="14"/>
      <c r="AF841" s="12"/>
      <c r="AG841" s="12"/>
      <c r="AH841" s="12"/>
      <c r="AJ841"/>
      <c r="AK841"/>
    </row>
    <row r="842" spans="18:37" ht="14">
      <c r="R842" s="14">
        <v>95307</v>
      </c>
      <c r="S842" s="14" t="s">
        <v>991</v>
      </c>
      <c r="T842" s="12" t="s">
        <v>139</v>
      </c>
      <c r="U842" s="15" t="str">
        <f t="shared" si="25"/>
        <v>ESG SQMS - SMGT</v>
      </c>
      <c r="V842" s="12" t="s">
        <v>104</v>
      </c>
      <c r="W842" s="12" t="s">
        <v>263</v>
      </c>
      <c r="X842" s="12" t="s">
        <v>264</v>
      </c>
      <c r="Y842" s="12" t="s">
        <v>1038</v>
      </c>
      <c r="AA842" s="12"/>
      <c r="AB842" s="33"/>
      <c r="AC842" s="34"/>
      <c r="AD842" s="15"/>
      <c r="AE842" s="14"/>
      <c r="AF842" s="12"/>
      <c r="AG842" s="12"/>
      <c r="AH842" s="12"/>
      <c r="AJ842"/>
      <c r="AK842"/>
    </row>
    <row r="843" spans="18:37" ht="14">
      <c r="R843" s="14">
        <v>95307</v>
      </c>
      <c r="S843" s="14" t="s">
        <v>991</v>
      </c>
      <c r="T843" s="12" t="s">
        <v>145</v>
      </c>
      <c r="U843" s="15" t="str">
        <f t="shared" si="25"/>
        <v>ESG SQMS - SUP</v>
      </c>
      <c r="V843" s="12" t="s">
        <v>104</v>
      </c>
      <c r="W843" s="12" t="s">
        <v>263</v>
      </c>
      <c r="X843" s="12" t="s">
        <v>264</v>
      </c>
      <c r="Y843" s="12" t="s">
        <v>1038</v>
      </c>
      <c r="AA843" s="12"/>
      <c r="AB843" s="33"/>
      <c r="AC843" s="34"/>
      <c r="AD843" s="15"/>
      <c r="AE843" s="14"/>
      <c r="AF843" s="12"/>
      <c r="AG843" s="12"/>
      <c r="AH843" s="12"/>
      <c r="AJ843"/>
      <c r="AK843"/>
    </row>
    <row r="844" spans="18:37" ht="14">
      <c r="R844" s="14">
        <v>10482</v>
      </c>
      <c r="S844" s="14" t="s">
        <v>243</v>
      </c>
      <c r="T844" s="12" t="s">
        <v>492</v>
      </c>
      <c r="U844" s="15" t="str">
        <f t="shared" si="25"/>
        <v>Everest Re UK Supportt - AGD</v>
      </c>
      <c r="V844" s="12" t="s">
        <v>126</v>
      </c>
      <c r="W844" s="12" t="s">
        <v>163</v>
      </c>
      <c r="X844" s="12" t="s">
        <v>164</v>
      </c>
      <c r="Y844" s="12" t="s">
        <v>1038</v>
      </c>
      <c r="AA844" s="12"/>
      <c r="AB844" s="33"/>
      <c r="AC844" s="34"/>
      <c r="AD844" s="15"/>
      <c r="AE844" s="14"/>
      <c r="AF844" s="12"/>
      <c r="AG844" s="12"/>
      <c r="AH844" s="12"/>
      <c r="AJ844"/>
      <c r="AK844"/>
    </row>
    <row r="845" spans="18:37" ht="14">
      <c r="R845" s="14">
        <v>10482</v>
      </c>
      <c r="S845" s="14" t="s">
        <v>243</v>
      </c>
      <c r="T845" s="12" t="s">
        <v>145</v>
      </c>
      <c r="U845" s="15" t="str">
        <f t="shared" si="25"/>
        <v>Everest Re UK Supportt - SUP</v>
      </c>
      <c r="V845" s="12" t="s">
        <v>126</v>
      </c>
      <c r="W845" s="12" t="s">
        <v>163</v>
      </c>
      <c r="X845" s="12" t="s">
        <v>164</v>
      </c>
      <c r="Y845" s="12" t="s">
        <v>1038</v>
      </c>
      <c r="AA845" s="12"/>
      <c r="AB845" s="33"/>
      <c r="AC845" s="34"/>
      <c r="AD845" s="15"/>
      <c r="AE845" s="14"/>
      <c r="AF845" s="12"/>
      <c r="AG845" s="12"/>
      <c r="AH845" s="12"/>
      <c r="AJ845"/>
      <c r="AK845"/>
    </row>
    <row r="846" spans="18:37" ht="14">
      <c r="R846" s="14">
        <v>10482</v>
      </c>
      <c r="S846" s="14" t="s">
        <v>243</v>
      </c>
      <c r="T846" s="12" t="s">
        <v>196</v>
      </c>
      <c r="U846" s="15" t="str">
        <f t="shared" si="25"/>
        <v>Everest Re UK Supportt - SUT</v>
      </c>
      <c r="V846" s="12" t="s">
        <v>126</v>
      </c>
      <c r="W846" s="12" t="s">
        <v>163</v>
      </c>
      <c r="X846" s="12" t="s">
        <v>164</v>
      </c>
      <c r="Y846" s="12" t="s">
        <v>1038</v>
      </c>
      <c r="AA846" s="12"/>
      <c r="AB846" s="33"/>
      <c r="AC846" s="34"/>
      <c r="AD846" s="15"/>
      <c r="AE846" s="14"/>
      <c r="AF846" s="12"/>
      <c r="AG846" s="12"/>
      <c r="AH846" s="12"/>
      <c r="AJ846"/>
      <c r="AK846"/>
    </row>
    <row r="847" spans="18:37" ht="14">
      <c r="R847" s="14">
        <v>10482</v>
      </c>
      <c r="S847" s="14" t="s">
        <v>243</v>
      </c>
      <c r="T847" s="12" t="s">
        <v>185</v>
      </c>
      <c r="U847" s="15" t="str">
        <f t="shared" si="25"/>
        <v>Everest Re UK Supportt - TPS</v>
      </c>
      <c r="V847" s="12" t="s">
        <v>126</v>
      </c>
      <c r="W847" s="12" t="s">
        <v>163</v>
      </c>
      <c r="X847" s="12" t="s">
        <v>164</v>
      </c>
      <c r="Y847" s="12" t="s">
        <v>1038</v>
      </c>
      <c r="AA847" s="12"/>
      <c r="AB847" s="33"/>
      <c r="AC847" s="34"/>
      <c r="AD847" s="15"/>
      <c r="AE847" s="14"/>
      <c r="AF847" s="12"/>
      <c r="AG847" s="12"/>
      <c r="AH847" s="12"/>
      <c r="AJ847"/>
      <c r="AK847"/>
    </row>
    <row r="848" spans="18:37" ht="14">
      <c r="R848" s="14">
        <v>10948</v>
      </c>
      <c r="S848" s="14" t="s">
        <v>487</v>
      </c>
      <c r="T848" s="12" t="s">
        <v>185</v>
      </c>
      <c r="U848" s="15" t="str">
        <f t="shared" si="25"/>
        <v>Everest_CreditControl_Europe - TPS</v>
      </c>
      <c r="V848" s="12" t="s">
        <v>126</v>
      </c>
      <c r="W848" s="12" t="s">
        <v>163</v>
      </c>
      <c r="X848" s="12" t="s">
        <v>164</v>
      </c>
      <c r="Y848" s="12" t="s">
        <v>1038</v>
      </c>
      <c r="AA848" s="12"/>
      <c r="AB848" s="33"/>
      <c r="AC848" s="34"/>
      <c r="AD848" s="15"/>
      <c r="AE848" s="14"/>
      <c r="AF848" s="12"/>
      <c r="AG848" s="12"/>
      <c r="AH848" s="12"/>
      <c r="AJ848"/>
      <c r="AK848"/>
    </row>
    <row r="849" spans="18:37" ht="14">
      <c r="R849" s="14">
        <v>97202</v>
      </c>
      <c r="S849" s="14" t="s">
        <v>511</v>
      </c>
      <c r="T849" s="12" t="s">
        <v>129</v>
      </c>
      <c r="U849" s="15" t="str">
        <f t="shared" si="25"/>
        <v>Executive Recruitment - MGT</v>
      </c>
      <c r="V849" s="12" t="s">
        <v>104</v>
      </c>
      <c r="W849" s="12" t="s">
        <v>512</v>
      </c>
      <c r="X849" s="12" t="s">
        <v>114</v>
      </c>
      <c r="Y849" s="12" t="s">
        <v>1038</v>
      </c>
      <c r="AA849" s="12"/>
      <c r="AB849" s="33"/>
      <c r="AC849" s="34"/>
      <c r="AD849" s="15"/>
      <c r="AE849" s="14"/>
      <c r="AF849" s="12"/>
      <c r="AG849" s="12"/>
      <c r="AH849" s="12"/>
      <c r="AJ849"/>
      <c r="AK849"/>
    </row>
    <row r="850" spans="18:37" ht="14">
      <c r="R850" s="14">
        <v>97202</v>
      </c>
      <c r="S850" s="14" t="s">
        <v>511</v>
      </c>
      <c r="T850" s="12" t="s">
        <v>514</v>
      </c>
      <c r="U850" s="15" t="str">
        <f t="shared" si="25"/>
        <v>Executive Recruitment - REC</v>
      </c>
      <c r="V850" s="12" t="s">
        <v>104</v>
      </c>
      <c r="W850" s="12" t="s">
        <v>512</v>
      </c>
      <c r="X850" s="12" t="s">
        <v>114</v>
      </c>
      <c r="Y850" s="12" t="s">
        <v>1038</v>
      </c>
      <c r="AA850" s="12"/>
      <c r="AB850" s="33"/>
      <c r="AC850" s="34"/>
      <c r="AD850" s="15"/>
      <c r="AE850" s="14"/>
      <c r="AF850" s="12"/>
      <c r="AG850" s="12"/>
      <c r="AH850" s="12"/>
      <c r="AJ850"/>
      <c r="AK850"/>
    </row>
    <row r="851" spans="18:37" ht="14">
      <c r="R851" s="14">
        <v>97202</v>
      </c>
      <c r="S851" s="14" t="s">
        <v>511</v>
      </c>
      <c r="T851" s="12" t="s">
        <v>145</v>
      </c>
      <c r="U851" s="15" t="str">
        <f t="shared" si="25"/>
        <v>Executive Recruitment - SUP</v>
      </c>
      <c r="V851" s="12" t="s">
        <v>104</v>
      </c>
      <c r="W851" s="12" t="s">
        <v>512</v>
      </c>
      <c r="X851" s="12" t="s">
        <v>114</v>
      </c>
      <c r="Y851" s="12" t="s">
        <v>1038</v>
      </c>
      <c r="AA851" s="12"/>
      <c r="AB851" s="33"/>
      <c r="AC851" s="34"/>
      <c r="AD851" s="15"/>
      <c r="AE851" s="14"/>
      <c r="AF851" s="12"/>
      <c r="AG851" s="12"/>
      <c r="AH851" s="12"/>
      <c r="AJ851"/>
      <c r="AK851"/>
    </row>
    <row r="852" spans="18:37" ht="14">
      <c r="R852" s="14">
        <v>97202</v>
      </c>
      <c r="S852" s="14" t="s">
        <v>511</v>
      </c>
      <c r="T852" s="12" t="s">
        <v>180</v>
      </c>
      <c r="U852" s="15" t="str">
        <f t="shared" si="25"/>
        <v>Executive Recruitment - TMG</v>
      </c>
      <c r="V852" s="12" t="s">
        <v>104</v>
      </c>
      <c r="W852" s="12" t="s">
        <v>512</v>
      </c>
      <c r="X852" s="12" t="s">
        <v>114</v>
      </c>
      <c r="Y852" s="12" t="s">
        <v>1038</v>
      </c>
      <c r="AA852" s="12"/>
      <c r="AB852" s="33"/>
      <c r="AC852" s="34"/>
      <c r="AD852" s="15"/>
      <c r="AE852" s="14"/>
      <c r="AF852" s="12"/>
      <c r="AG852" s="12"/>
      <c r="AH852" s="12"/>
      <c r="AJ852"/>
      <c r="AK852"/>
    </row>
    <row r="853" spans="18:37" ht="14">
      <c r="R853" s="14">
        <v>10112</v>
      </c>
      <c r="S853" s="14" t="s">
        <v>225</v>
      </c>
      <c r="T853" s="12" t="s">
        <v>185</v>
      </c>
      <c r="U853" s="15" t="str">
        <f t="shared" si="25"/>
        <v>Expedia Airline BO - TPS</v>
      </c>
      <c r="V853" s="12" t="s">
        <v>126</v>
      </c>
      <c r="W853" s="12" t="s">
        <v>163</v>
      </c>
      <c r="X853" s="12" t="s">
        <v>164</v>
      </c>
      <c r="Y853" s="12" t="s">
        <v>1038</v>
      </c>
      <c r="AA853" s="12"/>
      <c r="AB853" s="33"/>
      <c r="AC853" s="34"/>
      <c r="AD853" s="15"/>
      <c r="AE853" s="14"/>
      <c r="AF853" s="12"/>
      <c r="AG853" s="12"/>
      <c r="AH853" s="12"/>
      <c r="AJ853"/>
      <c r="AK853"/>
    </row>
    <row r="854" spans="18:37" ht="14">
      <c r="R854" s="14">
        <v>10832</v>
      </c>
      <c r="S854" s="14" t="s">
        <v>419</v>
      </c>
      <c r="T854" s="12" t="s">
        <v>150</v>
      </c>
      <c r="U854" s="15" t="str">
        <f t="shared" si="25"/>
        <v>Expedia -AirOps ADM Pilot - CCS</v>
      </c>
      <c r="V854" s="12" t="s">
        <v>126</v>
      </c>
      <c r="W854" s="12" t="s">
        <v>163</v>
      </c>
      <c r="X854" s="12" t="s">
        <v>164</v>
      </c>
      <c r="Y854" s="12" t="s">
        <v>1038</v>
      </c>
      <c r="AA854" s="12"/>
      <c r="AB854" s="33"/>
      <c r="AC854" s="34"/>
      <c r="AD854" s="15"/>
      <c r="AE854" s="14"/>
      <c r="AF854" s="12"/>
      <c r="AG854" s="12"/>
      <c r="AH854" s="12"/>
      <c r="AJ854"/>
      <c r="AK854"/>
    </row>
    <row r="855" spans="18:37" ht="14">
      <c r="R855" s="14">
        <v>10832</v>
      </c>
      <c r="S855" s="14" t="s">
        <v>419</v>
      </c>
      <c r="T855" s="12" t="s">
        <v>306</v>
      </c>
      <c r="U855" s="15" t="str">
        <f t="shared" si="25"/>
        <v>Expedia -AirOps ADM Pilot - FAO</v>
      </c>
      <c r="V855" s="12" t="s">
        <v>126</v>
      </c>
      <c r="W855" s="12" t="s">
        <v>163</v>
      </c>
      <c r="X855" s="12" t="s">
        <v>164</v>
      </c>
      <c r="Y855" s="12" t="s">
        <v>1038</v>
      </c>
      <c r="AA855" s="12"/>
      <c r="AB855" s="33"/>
      <c r="AC855" s="34"/>
      <c r="AD855" s="15"/>
      <c r="AE855" s="14"/>
      <c r="AF855" s="12"/>
      <c r="AG855" s="12"/>
      <c r="AH855" s="12"/>
      <c r="AJ855"/>
      <c r="AK855"/>
    </row>
    <row r="856" spans="18:37" ht="14">
      <c r="R856" s="14">
        <v>10832</v>
      </c>
      <c r="S856" s="14" t="s">
        <v>419</v>
      </c>
      <c r="T856" s="12" t="s">
        <v>116</v>
      </c>
      <c r="U856" s="15" t="str">
        <f t="shared" si="25"/>
        <v>Expedia -AirOps ADM Pilot - PRD</v>
      </c>
      <c r="V856" s="12" t="s">
        <v>126</v>
      </c>
      <c r="W856" s="12" t="s">
        <v>163</v>
      </c>
      <c r="X856" s="12" t="s">
        <v>164</v>
      </c>
      <c r="Y856" s="12" t="s">
        <v>1038</v>
      </c>
      <c r="AA856" s="12"/>
      <c r="AB856" s="33"/>
      <c r="AC856" s="34"/>
      <c r="AD856" s="15"/>
      <c r="AE856" s="14"/>
      <c r="AF856" s="12"/>
      <c r="AG856" s="12"/>
      <c r="AH856" s="12"/>
      <c r="AJ856"/>
      <c r="AK856"/>
    </row>
    <row r="857" spans="18:37" ht="14">
      <c r="R857" s="14">
        <v>10832</v>
      </c>
      <c r="S857" s="14" t="s">
        <v>419</v>
      </c>
      <c r="T857" s="12" t="s">
        <v>230</v>
      </c>
      <c r="U857" s="15" t="str">
        <f t="shared" si="25"/>
        <v>Expedia -AirOps ADM Pilot - PRSP</v>
      </c>
      <c r="V857" s="12" t="s">
        <v>126</v>
      </c>
      <c r="W857" s="12" t="s">
        <v>163</v>
      </c>
      <c r="X857" s="12" t="s">
        <v>164</v>
      </c>
      <c r="Y857" s="12" t="s">
        <v>1038</v>
      </c>
      <c r="AA857" s="12"/>
      <c r="AB857" s="33"/>
      <c r="AC857" s="34"/>
      <c r="AD857" s="15"/>
      <c r="AE857" s="14"/>
      <c r="AF857" s="12"/>
      <c r="AG857" s="12"/>
      <c r="AH857" s="12"/>
      <c r="AJ857"/>
      <c r="AK857"/>
    </row>
    <row r="858" spans="18:37" ht="14">
      <c r="R858" s="14">
        <v>10832</v>
      </c>
      <c r="S858" s="14" t="s">
        <v>419</v>
      </c>
      <c r="T858" s="12" t="s">
        <v>145</v>
      </c>
      <c r="U858" s="15" t="str">
        <f t="shared" si="25"/>
        <v>Expedia -AirOps ADM Pilot - SUP</v>
      </c>
      <c r="V858" s="12" t="s">
        <v>126</v>
      </c>
      <c r="W858" s="12" t="s">
        <v>163</v>
      </c>
      <c r="X858" s="12" t="s">
        <v>164</v>
      </c>
      <c r="Y858" s="12" t="s">
        <v>1038</v>
      </c>
      <c r="AA858" s="12"/>
      <c r="AB858" s="33"/>
      <c r="AC858" s="34"/>
      <c r="AD858" s="15"/>
      <c r="AE858" s="14"/>
      <c r="AF858" s="12"/>
      <c r="AG858" s="12"/>
      <c r="AH858" s="12"/>
      <c r="AJ858"/>
      <c r="AK858"/>
    </row>
    <row r="859" spans="18:37" ht="14">
      <c r="R859" s="14">
        <v>10832</v>
      </c>
      <c r="S859" s="14" t="s">
        <v>419</v>
      </c>
      <c r="T859" s="12" t="s">
        <v>180</v>
      </c>
      <c r="U859" s="15" t="str">
        <f t="shared" si="25"/>
        <v>Expedia -AirOps ADM Pilot - TMG</v>
      </c>
      <c r="V859" s="12" t="s">
        <v>126</v>
      </c>
      <c r="W859" s="12" t="s">
        <v>163</v>
      </c>
      <c r="X859" s="12" t="s">
        <v>164</v>
      </c>
      <c r="Y859" s="12" t="s">
        <v>1038</v>
      </c>
      <c r="AA859" s="12"/>
      <c r="AB859" s="33"/>
      <c r="AC859" s="34"/>
      <c r="AD859" s="15"/>
      <c r="AE859" s="14"/>
      <c r="AF859" s="12"/>
      <c r="AG859" s="12"/>
      <c r="AH859" s="12"/>
      <c r="AJ859"/>
      <c r="AK859"/>
    </row>
    <row r="860" spans="18:37" ht="14">
      <c r="R860" s="14">
        <v>10832</v>
      </c>
      <c r="S860" s="14" t="s">
        <v>419</v>
      </c>
      <c r="T860" s="12" t="s">
        <v>185</v>
      </c>
      <c r="U860" s="15" t="str">
        <f t="shared" si="25"/>
        <v>Expedia -AirOps ADM Pilot - TPS</v>
      </c>
      <c r="V860" s="12" t="s">
        <v>126</v>
      </c>
      <c r="W860" s="12" t="s">
        <v>163</v>
      </c>
      <c r="X860" s="12" t="s">
        <v>164</v>
      </c>
      <c r="Y860" s="12" t="s">
        <v>1038</v>
      </c>
      <c r="AA860" s="12"/>
      <c r="AB860" s="33"/>
      <c r="AC860" s="34"/>
      <c r="AD860" s="15"/>
      <c r="AE860" s="14"/>
      <c r="AF860" s="12"/>
      <c r="AG860" s="12"/>
      <c r="AH860" s="12"/>
      <c r="AJ860"/>
      <c r="AK860"/>
    </row>
    <row r="861" spans="18:37" ht="14">
      <c r="R861" s="14">
        <v>10018</v>
      </c>
      <c r="S861" s="14" t="s">
        <v>165</v>
      </c>
      <c r="T861" s="12" t="s">
        <v>150</v>
      </c>
      <c r="U861" s="15" t="str">
        <f t="shared" si="25"/>
        <v>Expedia Global English - CCS</v>
      </c>
      <c r="V861" s="12" t="s">
        <v>126</v>
      </c>
      <c r="W861" s="12" t="s">
        <v>163</v>
      </c>
      <c r="X861" s="12" t="s">
        <v>164</v>
      </c>
      <c r="Y861" s="12" t="s">
        <v>1038</v>
      </c>
      <c r="AA861" s="12"/>
      <c r="AB861" s="33"/>
      <c r="AC861" s="34"/>
      <c r="AD861" s="15"/>
      <c r="AE861" s="14"/>
      <c r="AF861" s="12"/>
      <c r="AG861" s="12"/>
      <c r="AH861" s="12"/>
      <c r="AJ861"/>
      <c r="AK861"/>
    </row>
    <row r="862" spans="18:37" ht="14">
      <c r="R862" s="14">
        <v>10018</v>
      </c>
      <c r="S862" s="14" t="s">
        <v>165</v>
      </c>
      <c r="T862" s="12" t="s">
        <v>116</v>
      </c>
      <c r="U862" s="15" t="str">
        <f t="shared" si="25"/>
        <v>Expedia Global English - PRD</v>
      </c>
      <c r="V862" s="12" t="s">
        <v>126</v>
      </c>
      <c r="W862" s="12" t="s">
        <v>163</v>
      </c>
      <c r="X862" s="12" t="s">
        <v>164</v>
      </c>
      <c r="Y862" s="12" t="s">
        <v>1038</v>
      </c>
      <c r="AA862" s="12"/>
      <c r="AB862" s="33"/>
      <c r="AC862" s="34"/>
      <c r="AD862" s="15"/>
      <c r="AE862" s="14"/>
      <c r="AF862" s="12"/>
      <c r="AG862" s="12"/>
      <c r="AH862" s="12"/>
      <c r="AJ862"/>
      <c r="AK862"/>
    </row>
    <row r="863" spans="18:37" ht="14">
      <c r="R863" s="14">
        <v>10779</v>
      </c>
      <c r="S863" s="14" t="s">
        <v>377</v>
      </c>
      <c r="T863" s="12" t="s">
        <v>138</v>
      </c>
      <c r="U863" s="15" t="str">
        <f t="shared" si="25"/>
        <v>Expedia Sanctions - BOS</v>
      </c>
      <c r="V863" s="12" t="s">
        <v>126</v>
      </c>
      <c r="W863" s="12" t="s">
        <v>163</v>
      </c>
      <c r="X863" s="12" t="s">
        <v>164</v>
      </c>
      <c r="Y863" s="12" t="s">
        <v>1038</v>
      </c>
      <c r="AA863" s="12"/>
      <c r="AB863" s="33"/>
      <c r="AC863" s="34"/>
      <c r="AD863" s="15"/>
      <c r="AE863" s="14"/>
      <c r="AF863" s="12"/>
      <c r="AG863" s="12"/>
      <c r="AH863" s="12"/>
      <c r="AJ863"/>
      <c r="AK863"/>
    </row>
    <row r="864" spans="18:37" ht="14">
      <c r="R864" s="14">
        <v>10779</v>
      </c>
      <c r="S864" s="14" t="s">
        <v>377</v>
      </c>
      <c r="T864" s="12" t="s">
        <v>116</v>
      </c>
      <c r="U864" s="15" t="str">
        <f t="shared" si="25"/>
        <v>Expedia Sanctions - PRD</v>
      </c>
      <c r="V864" s="12" t="s">
        <v>126</v>
      </c>
      <c r="W864" s="12" t="s">
        <v>163</v>
      </c>
      <c r="X864" s="12" t="s">
        <v>164</v>
      </c>
      <c r="Y864" s="12" t="s">
        <v>1038</v>
      </c>
      <c r="AA864" s="12"/>
      <c r="AB864" s="33"/>
      <c r="AC864" s="34"/>
      <c r="AD864" s="15"/>
      <c r="AE864" s="14"/>
      <c r="AF864" s="12"/>
      <c r="AG864" s="12"/>
      <c r="AH864" s="12"/>
      <c r="AJ864"/>
      <c r="AK864"/>
    </row>
    <row r="865" spans="18:37" ht="14">
      <c r="R865" s="14">
        <v>10779</v>
      </c>
      <c r="S865" s="14" t="s">
        <v>377</v>
      </c>
      <c r="T865" s="12" t="s">
        <v>111</v>
      </c>
      <c r="U865" s="15" t="str">
        <f t="shared" si="25"/>
        <v>Expedia Sanctions - QLY</v>
      </c>
      <c r="V865" s="12" t="s">
        <v>112</v>
      </c>
      <c r="W865" s="12" t="s">
        <v>113</v>
      </c>
      <c r="X865" s="12" t="s">
        <v>114</v>
      </c>
      <c r="Y865" s="12" t="s">
        <v>1038</v>
      </c>
      <c r="AA865" s="12"/>
      <c r="AB865" s="33"/>
      <c r="AC865" s="34"/>
      <c r="AD865" s="15"/>
      <c r="AE865" s="14"/>
      <c r="AF865" s="12"/>
      <c r="AG865" s="12"/>
      <c r="AH865" s="12"/>
      <c r="AJ865"/>
      <c r="AK865"/>
    </row>
    <row r="866" spans="18:37" ht="14">
      <c r="R866" s="14">
        <v>10779</v>
      </c>
      <c r="S866" s="14" t="s">
        <v>377</v>
      </c>
      <c r="T866" s="12" t="s">
        <v>172</v>
      </c>
      <c r="U866" s="15" t="str">
        <f t="shared" si="25"/>
        <v>Expedia Sanctions - SME</v>
      </c>
      <c r="V866" s="12" t="s">
        <v>126</v>
      </c>
      <c r="W866" s="12" t="s">
        <v>163</v>
      </c>
      <c r="X866" s="12" t="s">
        <v>164</v>
      </c>
      <c r="Y866" s="12" t="s">
        <v>1038</v>
      </c>
      <c r="AA866" s="12"/>
      <c r="AB866" s="33"/>
      <c r="AC866" s="34"/>
      <c r="AD866" s="15"/>
      <c r="AE866" s="14"/>
      <c r="AF866" s="12"/>
      <c r="AG866" s="12"/>
      <c r="AH866" s="12"/>
      <c r="AJ866"/>
      <c r="AK866"/>
    </row>
    <row r="867" spans="18:37" ht="14">
      <c r="R867" s="14">
        <v>10779</v>
      </c>
      <c r="S867" s="14" t="s">
        <v>377</v>
      </c>
      <c r="T867" s="12" t="s">
        <v>145</v>
      </c>
      <c r="U867" s="15" t="str">
        <f t="shared" si="25"/>
        <v>Expedia Sanctions - SUP</v>
      </c>
      <c r="V867" s="12" t="s">
        <v>126</v>
      </c>
      <c r="W867" s="12" t="s">
        <v>163</v>
      </c>
      <c r="X867" s="12" t="s">
        <v>164</v>
      </c>
      <c r="Y867" s="12" t="s">
        <v>1038</v>
      </c>
      <c r="AA867" s="12"/>
      <c r="AB867" s="33"/>
      <c r="AC867" s="34"/>
      <c r="AD867" s="15"/>
      <c r="AE867" s="14"/>
      <c r="AF867" s="12"/>
      <c r="AG867" s="12"/>
      <c r="AH867" s="12"/>
      <c r="AJ867"/>
      <c r="AK867"/>
    </row>
    <row r="868" spans="18:37" ht="14">
      <c r="R868" s="14">
        <v>10779</v>
      </c>
      <c r="S868" s="14" t="s">
        <v>377</v>
      </c>
      <c r="T868" s="12" t="s">
        <v>180</v>
      </c>
      <c r="U868" s="15" t="str">
        <f t="shared" si="25"/>
        <v>Expedia Sanctions - TMG</v>
      </c>
      <c r="V868" s="12" t="s">
        <v>126</v>
      </c>
      <c r="W868" s="12" t="s">
        <v>163</v>
      </c>
      <c r="X868" s="12" t="s">
        <v>164</v>
      </c>
      <c r="Y868" s="12" t="s">
        <v>1038</v>
      </c>
      <c r="AA868" s="12"/>
      <c r="AB868" s="33"/>
      <c r="AC868" s="34"/>
      <c r="AD868" s="15"/>
      <c r="AE868" s="14"/>
      <c r="AF868" s="12"/>
      <c r="AG868" s="12"/>
      <c r="AH868" s="12"/>
      <c r="AJ868"/>
      <c r="AK868"/>
    </row>
    <row r="869" spans="18:37" ht="14">
      <c r="R869" s="14">
        <v>10945</v>
      </c>
      <c r="S869" s="14" t="s">
        <v>484</v>
      </c>
      <c r="T869" s="12" t="s">
        <v>150</v>
      </c>
      <c r="U869" s="15" t="str">
        <f t="shared" si="25"/>
        <v>Expedia Settlement - CCS</v>
      </c>
      <c r="V869" s="12" t="s">
        <v>126</v>
      </c>
      <c r="W869" s="12" t="s">
        <v>163</v>
      </c>
      <c r="X869" s="12" t="s">
        <v>164</v>
      </c>
      <c r="Y869" s="12" t="s">
        <v>1038</v>
      </c>
      <c r="AA869" s="12"/>
      <c r="AB869" s="33"/>
      <c r="AC869" s="34"/>
      <c r="AD869" s="15"/>
      <c r="AE869" s="14"/>
      <c r="AF869" s="12"/>
      <c r="AG869" s="12"/>
      <c r="AH869" s="12"/>
      <c r="AJ869"/>
      <c r="AK869"/>
    </row>
    <row r="870" spans="18:37" ht="14">
      <c r="R870" s="14">
        <v>10945</v>
      </c>
      <c r="S870" s="14" t="s">
        <v>484</v>
      </c>
      <c r="T870" s="12" t="s">
        <v>116</v>
      </c>
      <c r="U870" s="15" t="str">
        <f t="shared" si="25"/>
        <v>Expedia Settlement - PRD</v>
      </c>
      <c r="V870" s="12" t="s">
        <v>126</v>
      </c>
      <c r="W870" s="12" t="s">
        <v>163</v>
      </c>
      <c r="X870" s="12" t="s">
        <v>164</v>
      </c>
      <c r="Y870" s="12" t="s">
        <v>1038</v>
      </c>
      <c r="AA870" s="12"/>
      <c r="AB870" s="33"/>
      <c r="AC870" s="34"/>
      <c r="AD870" s="15"/>
      <c r="AE870" s="14"/>
      <c r="AF870" s="12"/>
      <c r="AG870" s="12"/>
      <c r="AH870" s="12"/>
      <c r="AJ870"/>
      <c r="AK870"/>
    </row>
    <row r="871" spans="18:37" ht="14">
      <c r="R871" s="14">
        <v>10109</v>
      </c>
      <c r="S871" s="14" t="s">
        <v>222</v>
      </c>
      <c r="T871" s="12" t="s">
        <v>116</v>
      </c>
      <c r="U871" s="15" t="str">
        <f t="shared" si="25"/>
        <v>expedia WFM - PRD</v>
      </c>
      <c r="V871" s="12" t="s">
        <v>126</v>
      </c>
      <c r="W871" s="12" t="s">
        <v>163</v>
      </c>
      <c r="X871" s="12" t="s">
        <v>164</v>
      </c>
      <c r="Y871" s="12" t="s">
        <v>1038</v>
      </c>
      <c r="AA871" s="12"/>
      <c r="AB871" s="33"/>
      <c r="AC871" s="34"/>
      <c r="AD871" s="15"/>
      <c r="AE871" s="14"/>
      <c r="AF871" s="12"/>
      <c r="AG871" s="12"/>
      <c r="AH871" s="12"/>
      <c r="AJ871"/>
      <c r="AK871"/>
    </row>
    <row r="872" spans="18:37" ht="14">
      <c r="R872" s="14">
        <v>92101</v>
      </c>
      <c r="S872" s="14" t="s">
        <v>517</v>
      </c>
      <c r="T872" s="12" t="s">
        <v>348</v>
      </c>
      <c r="U872" s="15" t="str">
        <f t="shared" si="25"/>
        <v>Facility &amp; Property Mgmnt - GM - ADM</v>
      </c>
      <c r="V872" s="12" t="s">
        <v>104</v>
      </c>
      <c r="W872" s="12" t="s">
        <v>518</v>
      </c>
      <c r="X872" s="12" t="s">
        <v>350</v>
      </c>
      <c r="Y872" s="12" t="s">
        <v>1038</v>
      </c>
      <c r="AA872" s="12"/>
      <c r="AB872" s="33"/>
      <c r="AC872" s="34"/>
      <c r="AD872" s="15"/>
      <c r="AE872" s="14"/>
      <c r="AF872" s="12"/>
      <c r="AG872" s="12"/>
      <c r="AH872" s="12"/>
      <c r="AJ872"/>
      <c r="AK872"/>
    </row>
    <row r="873" spans="18:37" ht="14">
      <c r="R873" s="14">
        <v>92101</v>
      </c>
      <c r="S873" s="14" t="s">
        <v>517</v>
      </c>
      <c r="T873" s="12" t="s">
        <v>129</v>
      </c>
      <c r="U873" s="15" t="str">
        <f t="shared" si="25"/>
        <v>Facility &amp; Property Mgmnt - GM - MGT</v>
      </c>
      <c r="V873" s="12" t="s">
        <v>104</v>
      </c>
      <c r="W873" s="12" t="s">
        <v>518</v>
      </c>
      <c r="X873" s="12" t="s">
        <v>350</v>
      </c>
      <c r="Y873" s="12" t="s">
        <v>1038</v>
      </c>
      <c r="AA873" s="12"/>
      <c r="AB873" s="33"/>
      <c r="AC873" s="34"/>
      <c r="AD873" s="15"/>
      <c r="AE873" s="14"/>
      <c r="AF873" s="12"/>
      <c r="AG873" s="12"/>
      <c r="AH873" s="12"/>
      <c r="AJ873"/>
      <c r="AK873"/>
    </row>
    <row r="874" spans="18:37" ht="14">
      <c r="R874" s="14">
        <v>92101</v>
      </c>
      <c r="S874" s="14" t="s">
        <v>517</v>
      </c>
      <c r="T874" s="12" t="s">
        <v>145</v>
      </c>
      <c r="U874" s="15" t="str">
        <f t="shared" si="25"/>
        <v>Facility &amp; Property Mgmnt - GM - SUP</v>
      </c>
      <c r="V874" s="12" t="s">
        <v>104</v>
      </c>
      <c r="W874" s="12" t="s">
        <v>518</v>
      </c>
      <c r="X874" s="12" t="s">
        <v>350</v>
      </c>
      <c r="Y874" s="12" t="s">
        <v>1038</v>
      </c>
      <c r="AA874" s="12"/>
      <c r="AB874" s="33"/>
      <c r="AC874" s="34"/>
      <c r="AD874" s="15"/>
      <c r="AE874" s="14"/>
      <c r="AF874" s="12"/>
      <c r="AG874" s="12"/>
      <c r="AH874" s="12"/>
      <c r="AJ874"/>
      <c r="AK874"/>
    </row>
    <row r="875" spans="18:37" ht="14">
      <c r="R875" s="14">
        <v>92101</v>
      </c>
      <c r="S875" s="14" t="s">
        <v>517</v>
      </c>
      <c r="T875" s="12" t="s">
        <v>180</v>
      </c>
      <c r="U875" s="15" t="str">
        <f t="shared" si="25"/>
        <v>Facility &amp; Property Mgmnt - GM - TMG</v>
      </c>
      <c r="V875" s="12" t="s">
        <v>104</v>
      </c>
      <c r="W875" s="12" t="s">
        <v>518</v>
      </c>
      <c r="X875" s="12" t="s">
        <v>350</v>
      </c>
      <c r="Y875" s="12" t="s">
        <v>1038</v>
      </c>
      <c r="AA875" s="12"/>
      <c r="AB875" s="33"/>
      <c r="AC875" s="34"/>
      <c r="AD875" s="15"/>
      <c r="AE875" s="14"/>
      <c r="AF875" s="12"/>
      <c r="AG875" s="12"/>
      <c r="AH875" s="12"/>
      <c r="AJ875"/>
      <c r="AK875"/>
    </row>
    <row r="876" spans="18:37" ht="14">
      <c r="R876" s="14">
        <v>92201</v>
      </c>
      <c r="S876" s="14" t="s">
        <v>521</v>
      </c>
      <c r="T876" s="12" t="s">
        <v>348</v>
      </c>
      <c r="U876" s="15" t="str">
        <f t="shared" si="25"/>
        <v>FACILITY &amp; PROPERTY MGMT - SGA - ADM</v>
      </c>
      <c r="V876" s="12" t="s">
        <v>104</v>
      </c>
      <c r="W876" s="12" t="s">
        <v>518</v>
      </c>
      <c r="X876" s="12" t="s">
        <v>350</v>
      </c>
      <c r="Y876" s="12" t="s">
        <v>1038</v>
      </c>
      <c r="AA876" s="12"/>
      <c r="AB876" s="33"/>
      <c r="AC876" s="34"/>
      <c r="AD876" s="15"/>
      <c r="AE876" s="14"/>
      <c r="AF876" s="12"/>
      <c r="AG876" s="12"/>
      <c r="AH876" s="12"/>
      <c r="AJ876"/>
      <c r="AK876"/>
    </row>
    <row r="877" spans="18:37" ht="14">
      <c r="R877" s="14">
        <v>92201</v>
      </c>
      <c r="S877" s="14" t="s">
        <v>521</v>
      </c>
      <c r="T877" s="12" t="s">
        <v>129</v>
      </c>
      <c r="U877" s="15" t="str">
        <f t="shared" si="25"/>
        <v>FACILITY &amp; PROPERTY MGMT - SGA - MGT</v>
      </c>
      <c r="V877" s="12" t="s">
        <v>104</v>
      </c>
      <c r="W877" s="12" t="s">
        <v>518</v>
      </c>
      <c r="X877" s="12" t="s">
        <v>350</v>
      </c>
      <c r="Y877" s="12" t="s">
        <v>1038</v>
      </c>
      <c r="AA877" s="12"/>
      <c r="AB877" s="33"/>
      <c r="AC877" s="34"/>
      <c r="AD877" s="15"/>
      <c r="AE877" s="14"/>
      <c r="AF877" s="12"/>
      <c r="AG877" s="12"/>
      <c r="AH877" s="12"/>
      <c r="AJ877"/>
      <c r="AK877"/>
    </row>
    <row r="878" spans="18:37" ht="14">
      <c r="R878" s="14">
        <v>92201</v>
      </c>
      <c r="S878" s="14" t="s">
        <v>521</v>
      </c>
      <c r="T878" s="12" t="s">
        <v>139</v>
      </c>
      <c r="U878" s="15" t="str">
        <f t="shared" si="25"/>
        <v>FACILITY &amp; PROPERTY MGMT - SGA - SMGT</v>
      </c>
      <c r="V878" s="12" t="s">
        <v>104</v>
      </c>
      <c r="W878" s="12" t="s">
        <v>518</v>
      </c>
      <c r="X878" s="12" t="s">
        <v>350</v>
      </c>
      <c r="Y878" s="12" t="s">
        <v>1038</v>
      </c>
      <c r="AA878" s="12"/>
      <c r="AB878" s="33"/>
      <c r="AC878" s="34"/>
      <c r="AD878" s="15"/>
      <c r="AE878" s="14"/>
      <c r="AF878" s="12"/>
      <c r="AG878" s="12"/>
      <c r="AH878" s="12"/>
      <c r="AJ878"/>
      <c r="AK878"/>
    </row>
    <row r="879" spans="18:37" ht="14">
      <c r="R879" s="14">
        <v>92201</v>
      </c>
      <c r="S879" s="14" t="s">
        <v>521</v>
      </c>
      <c r="T879" s="12" t="s">
        <v>145</v>
      </c>
      <c r="U879" s="15" t="str">
        <f t="shared" si="25"/>
        <v>FACILITY &amp; PROPERTY MGMT - SGA - SUP</v>
      </c>
      <c r="V879" s="12" t="s">
        <v>104</v>
      </c>
      <c r="W879" s="12" t="s">
        <v>518</v>
      </c>
      <c r="X879" s="12" t="s">
        <v>350</v>
      </c>
      <c r="Y879" s="12" t="s">
        <v>1038</v>
      </c>
      <c r="AA879" s="12"/>
      <c r="AB879" s="33"/>
      <c r="AC879" s="34"/>
      <c r="AD879" s="15"/>
      <c r="AE879" s="14"/>
      <c r="AF879" s="12"/>
      <c r="AG879" s="12"/>
      <c r="AH879" s="12"/>
      <c r="AJ879"/>
      <c r="AK879"/>
    </row>
    <row r="880" spans="18:37" ht="14">
      <c r="R880" s="14">
        <v>10762</v>
      </c>
      <c r="S880" s="14" t="s">
        <v>367</v>
      </c>
      <c r="T880" s="12" t="s">
        <v>185</v>
      </c>
      <c r="U880" s="15" t="str">
        <f t="shared" si="25"/>
        <v>Fare and BIDT Audit - TPS</v>
      </c>
      <c r="V880" s="12" t="s">
        <v>126</v>
      </c>
      <c r="W880" s="12" t="s">
        <v>163</v>
      </c>
      <c r="X880" s="12" t="s">
        <v>164</v>
      </c>
      <c r="Y880" s="12" t="s">
        <v>1038</v>
      </c>
      <c r="AA880" s="12"/>
      <c r="AB880" s="33"/>
      <c r="AC880" s="34"/>
      <c r="AD880" s="15"/>
      <c r="AE880" s="14"/>
      <c r="AF880" s="12"/>
      <c r="AG880" s="12"/>
      <c r="AH880" s="12"/>
      <c r="AJ880"/>
      <c r="AK880"/>
    </row>
    <row r="881" spans="18:37" ht="14">
      <c r="R881" s="14">
        <v>51387</v>
      </c>
      <c r="S881" s="14" t="s">
        <v>1083</v>
      </c>
      <c r="T881" s="12" t="s">
        <v>116</v>
      </c>
      <c r="U881" s="15" t="str">
        <f t="shared" si="25"/>
        <v>FCAIT22092301RPAPegaProjec - PRD</v>
      </c>
      <c r="V881" s="12" t="s">
        <v>117</v>
      </c>
      <c r="W881" s="12" t="s">
        <v>117</v>
      </c>
      <c r="X881" s="12" t="s">
        <v>117</v>
      </c>
      <c r="Y881" s="12" t="s">
        <v>1038</v>
      </c>
      <c r="AA881" s="12"/>
      <c r="AB881" s="33"/>
      <c r="AC881" s="34"/>
      <c r="AD881" s="15"/>
      <c r="AE881" s="14"/>
      <c r="AF881" s="12"/>
      <c r="AG881" s="12"/>
      <c r="AH881" s="12"/>
      <c r="AJ881"/>
      <c r="AK881"/>
    </row>
    <row r="882" spans="18:37" ht="14">
      <c r="R882" s="14">
        <v>40102</v>
      </c>
      <c r="S882" s="14" t="s">
        <v>672</v>
      </c>
      <c r="T882" s="12" t="s">
        <v>116</v>
      </c>
      <c r="U882" s="15" t="str">
        <f t="shared" si="25"/>
        <v>FD_Srilanka - PRD</v>
      </c>
      <c r="V882" s="12" t="s">
        <v>126</v>
      </c>
      <c r="W882" s="12" t="s">
        <v>163</v>
      </c>
      <c r="X882" s="12" t="s">
        <v>164</v>
      </c>
      <c r="Y882" s="12" t="s">
        <v>1038</v>
      </c>
      <c r="AA882" s="12"/>
      <c r="AB882" s="33"/>
      <c r="AC882" s="34"/>
      <c r="AD882" s="15"/>
      <c r="AE882" s="14"/>
      <c r="AF882" s="12"/>
      <c r="AG882" s="12"/>
      <c r="AH882" s="12"/>
      <c r="AJ882"/>
      <c r="AK882"/>
    </row>
    <row r="883" spans="18:37" ht="14">
      <c r="R883" s="14">
        <v>40102</v>
      </c>
      <c r="S883" s="14" t="s">
        <v>672</v>
      </c>
      <c r="T883" s="12" t="s">
        <v>185</v>
      </c>
      <c r="U883" s="15" t="str">
        <f t="shared" si="25"/>
        <v>FD_Srilanka - TPS</v>
      </c>
      <c r="V883" s="12" t="s">
        <v>126</v>
      </c>
      <c r="W883" s="12" t="s">
        <v>163</v>
      </c>
      <c r="X883" s="12" t="s">
        <v>164</v>
      </c>
      <c r="Y883" s="12" t="s">
        <v>1038</v>
      </c>
      <c r="AA883" s="12"/>
      <c r="AB883" s="33"/>
      <c r="AC883" s="34"/>
      <c r="AD883" s="15"/>
      <c r="AE883" s="14"/>
      <c r="AF883" s="12"/>
      <c r="AG883" s="12"/>
      <c r="AH883" s="12"/>
      <c r="AJ883"/>
      <c r="AK883"/>
    </row>
    <row r="884" spans="18:37" ht="14">
      <c r="R884" s="14">
        <v>96124</v>
      </c>
      <c r="S884" s="14" t="s">
        <v>525</v>
      </c>
      <c r="T884" s="12" t="s">
        <v>121</v>
      </c>
      <c r="U884" s="15" t="str">
        <f t="shared" si="25"/>
        <v>Finance Controls - MDM - F&amp;A</v>
      </c>
      <c r="V884" s="12" t="s">
        <v>104</v>
      </c>
      <c r="W884" s="12" t="s">
        <v>122</v>
      </c>
      <c r="X884" s="12" t="s">
        <v>114</v>
      </c>
      <c r="Y884" s="12" t="s">
        <v>1038</v>
      </c>
      <c r="AA884" s="12"/>
      <c r="AB884" s="33"/>
      <c r="AC884" s="34"/>
      <c r="AD884" s="15"/>
      <c r="AE884" s="14"/>
      <c r="AF884" s="12"/>
      <c r="AG884" s="12"/>
      <c r="AH884" s="12"/>
      <c r="AJ884"/>
      <c r="AK884"/>
    </row>
    <row r="885" spans="18:37" ht="14">
      <c r="R885" s="14">
        <v>96124</v>
      </c>
      <c r="S885" s="14" t="s">
        <v>525</v>
      </c>
      <c r="T885" s="12" t="s">
        <v>129</v>
      </c>
      <c r="U885" s="15" t="str">
        <f t="shared" si="25"/>
        <v>Finance Controls - MDM - MGT</v>
      </c>
      <c r="V885" s="12" t="s">
        <v>104</v>
      </c>
      <c r="W885" s="12" t="s">
        <v>122</v>
      </c>
      <c r="X885" s="12" t="s">
        <v>114</v>
      </c>
      <c r="Y885" s="12" t="s">
        <v>1038</v>
      </c>
      <c r="AA885" s="12"/>
      <c r="AB885" s="33"/>
      <c r="AC885" s="34"/>
      <c r="AD885" s="15"/>
      <c r="AE885" s="14"/>
      <c r="AF885" s="12"/>
      <c r="AG885" s="12"/>
      <c r="AH885" s="12"/>
      <c r="AJ885"/>
      <c r="AK885"/>
    </row>
    <row r="886" spans="18:37" ht="14">
      <c r="R886" s="14">
        <v>96124</v>
      </c>
      <c r="S886" s="14" t="s">
        <v>525</v>
      </c>
      <c r="T886" s="12" t="s">
        <v>145</v>
      </c>
      <c r="U886" s="15" t="str">
        <f t="shared" si="25"/>
        <v>Finance Controls - MDM - SUP</v>
      </c>
      <c r="V886" s="12" t="s">
        <v>104</v>
      </c>
      <c r="W886" s="12" t="s">
        <v>122</v>
      </c>
      <c r="X886" s="12" t="s">
        <v>114</v>
      </c>
      <c r="Y886" s="12" t="s">
        <v>1038</v>
      </c>
      <c r="AA886" s="12"/>
      <c r="AB886" s="33"/>
      <c r="AC886" s="34"/>
      <c r="AD886" s="15"/>
      <c r="AE886" s="14"/>
      <c r="AF886" s="12"/>
      <c r="AG886" s="12"/>
      <c r="AH886" s="12"/>
      <c r="AJ886"/>
      <c r="AK886"/>
    </row>
    <row r="887" spans="18:37" ht="14">
      <c r="R887" s="14">
        <v>10084</v>
      </c>
      <c r="S887" s="14" t="s">
        <v>199</v>
      </c>
      <c r="T887" s="12" t="s">
        <v>193</v>
      </c>
      <c r="U887" s="15" t="str">
        <f t="shared" si="25"/>
        <v>Finastra - DEV</v>
      </c>
      <c r="V887" s="12" t="s">
        <v>117</v>
      </c>
      <c r="W887" s="12" t="s">
        <v>117</v>
      </c>
      <c r="X887" s="12" t="s">
        <v>117</v>
      </c>
      <c r="Y887" s="12" t="s">
        <v>1038</v>
      </c>
      <c r="AA887" s="12"/>
      <c r="AB887" s="33"/>
      <c r="AC887" s="34"/>
      <c r="AD887" s="15"/>
      <c r="AE887" s="14"/>
      <c r="AF887" s="12"/>
      <c r="AG887" s="12"/>
      <c r="AH887" s="12"/>
      <c r="AJ887"/>
      <c r="AK887"/>
    </row>
    <row r="888" spans="18:37" ht="14">
      <c r="R888" s="14">
        <v>10088</v>
      </c>
      <c r="S888" s="14" t="s">
        <v>202</v>
      </c>
      <c r="T888" s="12" t="s">
        <v>150</v>
      </c>
      <c r="U888" s="15" t="str">
        <f t="shared" si="25"/>
        <v>FIS India - CCS</v>
      </c>
      <c r="V888" s="12" t="s">
        <v>126</v>
      </c>
      <c r="W888" s="12" t="s">
        <v>127</v>
      </c>
      <c r="X888" s="12" t="s">
        <v>128</v>
      </c>
      <c r="Y888" s="12" t="s">
        <v>1038</v>
      </c>
      <c r="AA888" s="12"/>
      <c r="AB888" s="33"/>
      <c r="AC888" s="34"/>
      <c r="AD888" s="15"/>
      <c r="AE888" s="14"/>
      <c r="AF888" s="12"/>
      <c r="AG888" s="12"/>
      <c r="AH888" s="12"/>
      <c r="AJ888"/>
      <c r="AK888"/>
    </row>
    <row r="889" spans="18:37" ht="14">
      <c r="R889" s="14">
        <v>10118</v>
      </c>
      <c r="S889" s="14" t="s">
        <v>228</v>
      </c>
      <c r="T889" s="12" t="s">
        <v>150</v>
      </c>
      <c r="U889" s="15" t="str">
        <f t="shared" si="25"/>
        <v>Fiserv Back-Office India - CCS</v>
      </c>
      <c r="V889" s="12" t="s">
        <v>126</v>
      </c>
      <c r="W889" s="12" t="s">
        <v>127</v>
      </c>
      <c r="X889" s="12" t="s">
        <v>128</v>
      </c>
      <c r="Y889" s="12" t="s">
        <v>1038</v>
      </c>
      <c r="AA889" s="12"/>
      <c r="AB889" s="33"/>
      <c r="AC889" s="34"/>
      <c r="AD889" s="15"/>
      <c r="AE889" s="14"/>
      <c r="AF889" s="12"/>
      <c r="AG889" s="12"/>
      <c r="AH889" s="12"/>
      <c r="AJ889"/>
      <c r="AK889"/>
    </row>
    <row r="890" spans="18:37" ht="14">
      <c r="R890" s="14">
        <v>18057</v>
      </c>
      <c r="S890" s="14" t="s">
        <v>623</v>
      </c>
      <c r="T890" s="12" t="s">
        <v>133</v>
      </c>
      <c r="U890" s="15" t="str">
        <f t="shared" si="25"/>
        <v>Flagstar PFA Delegated - AMG</v>
      </c>
      <c r="V890" s="12" t="s">
        <v>126</v>
      </c>
      <c r="W890" s="12" t="s">
        <v>163</v>
      </c>
      <c r="X890" s="12" t="s">
        <v>164</v>
      </c>
      <c r="Y890" s="12" t="s">
        <v>1038</v>
      </c>
      <c r="AA890" s="12"/>
      <c r="AB890" s="33"/>
      <c r="AC890" s="34"/>
      <c r="AD890" s="15"/>
      <c r="AE890" s="14"/>
      <c r="AF890" s="12"/>
      <c r="AG890" s="12"/>
      <c r="AH890" s="12"/>
      <c r="AJ890"/>
      <c r="AK890"/>
    </row>
    <row r="891" spans="18:37" ht="14">
      <c r="R891" s="14">
        <v>18057</v>
      </c>
      <c r="S891" s="14" t="s">
        <v>623</v>
      </c>
      <c r="T891" s="12" t="s">
        <v>156</v>
      </c>
      <c r="U891" s="15" t="str">
        <f t="shared" si="25"/>
        <v>Flagstar PFA Delegated - CLR</v>
      </c>
      <c r="V891" s="12" t="s">
        <v>126</v>
      </c>
      <c r="W891" s="12" t="s">
        <v>163</v>
      </c>
      <c r="X891" s="12" t="s">
        <v>164</v>
      </c>
      <c r="Y891" s="12" t="s">
        <v>1038</v>
      </c>
      <c r="AA891" s="12"/>
      <c r="AB891" s="33"/>
      <c r="AC891" s="34"/>
      <c r="AD891" s="15"/>
      <c r="AE891" s="14"/>
      <c r="AF891" s="12"/>
      <c r="AG891" s="12"/>
      <c r="AH891" s="12"/>
      <c r="AJ891"/>
      <c r="AK891"/>
    </row>
    <row r="892" spans="18:37" ht="14">
      <c r="R892" s="14">
        <v>18057</v>
      </c>
      <c r="S892" s="14" t="s">
        <v>623</v>
      </c>
      <c r="T892" s="12" t="s">
        <v>116</v>
      </c>
      <c r="U892" s="15" t="str">
        <f t="shared" si="25"/>
        <v>Flagstar PFA Delegated - PRD</v>
      </c>
      <c r="V892" s="12" t="s">
        <v>126</v>
      </c>
      <c r="W892" s="12" t="s">
        <v>163</v>
      </c>
      <c r="X892" s="12" t="s">
        <v>164</v>
      </c>
      <c r="Y892" s="12" t="s">
        <v>1038</v>
      </c>
      <c r="AA892" s="12"/>
      <c r="AB892" s="33"/>
      <c r="AC892" s="34"/>
      <c r="AD892" s="15"/>
      <c r="AE892" s="14"/>
      <c r="AF892" s="12"/>
      <c r="AG892" s="12"/>
      <c r="AH892" s="12"/>
      <c r="AJ892"/>
      <c r="AK892"/>
    </row>
    <row r="893" spans="18:37" ht="14">
      <c r="R893" s="14">
        <v>18057</v>
      </c>
      <c r="S893" s="14" t="s">
        <v>623</v>
      </c>
      <c r="T893" s="12" t="s">
        <v>172</v>
      </c>
      <c r="U893" s="15" t="str">
        <f t="shared" si="25"/>
        <v>Flagstar PFA Delegated - SME</v>
      </c>
      <c r="V893" s="12" t="s">
        <v>126</v>
      </c>
      <c r="W893" s="12" t="s">
        <v>163</v>
      </c>
      <c r="X893" s="12" t="s">
        <v>164</v>
      </c>
      <c r="Y893" s="12" t="s">
        <v>1038</v>
      </c>
      <c r="AA893" s="12"/>
      <c r="AB893" s="33"/>
      <c r="AC893" s="34"/>
      <c r="AD893" s="15"/>
      <c r="AE893" s="14"/>
      <c r="AF893" s="12"/>
      <c r="AG893" s="12"/>
      <c r="AH893" s="12"/>
      <c r="AJ893"/>
      <c r="AK893"/>
    </row>
    <row r="894" spans="18:37" ht="14">
      <c r="R894" s="14">
        <v>18057</v>
      </c>
      <c r="S894" s="14" t="s">
        <v>623</v>
      </c>
      <c r="T894" s="12" t="s">
        <v>145</v>
      </c>
      <c r="U894" s="15" t="str">
        <f t="shared" si="25"/>
        <v>Flagstar PFA Delegated - SUP</v>
      </c>
      <c r="V894" s="12" t="s">
        <v>126</v>
      </c>
      <c r="W894" s="12" t="s">
        <v>163</v>
      </c>
      <c r="X894" s="12" t="s">
        <v>164</v>
      </c>
      <c r="Y894" s="12" t="s">
        <v>1038</v>
      </c>
      <c r="AA894" s="12"/>
      <c r="AB894" s="33"/>
      <c r="AC894" s="34"/>
      <c r="AD894" s="15"/>
      <c r="AE894" s="14"/>
      <c r="AF894" s="12"/>
      <c r="AG894" s="12"/>
      <c r="AH894" s="12"/>
      <c r="AJ894"/>
      <c r="AK894"/>
    </row>
    <row r="895" spans="18:37" ht="14">
      <c r="R895" s="14">
        <v>18057</v>
      </c>
      <c r="S895" s="14" t="s">
        <v>623</v>
      </c>
      <c r="T895" s="12" t="s">
        <v>180</v>
      </c>
      <c r="U895" s="15" t="str">
        <f t="shared" si="25"/>
        <v>Flagstar PFA Delegated - TMG</v>
      </c>
      <c r="V895" s="12" t="s">
        <v>126</v>
      </c>
      <c r="W895" s="12" t="s">
        <v>163</v>
      </c>
      <c r="X895" s="12" t="s">
        <v>164</v>
      </c>
      <c r="Y895" s="12" t="s">
        <v>1038</v>
      </c>
      <c r="AA895" s="12"/>
      <c r="AB895" s="33"/>
      <c r="AC895" s="34"/>
      <c r="AD895" s="15"/>
      <c r="AE895" s="14"/>
      <c r="AF895" s="12"/>
      <c r="AG895" s="12"/>
      <c r="AH895" s="12"/>
      <c r="AJ895"/>
      <c r="AK895"/>
    </row>
    <row r="896" spans="18:37" ht="14">
      <c r="R896" s="14">
        <v>18057</v>
      </c>
      <c r="S896" s="14" t="s">
        <v>623</v>
      </c>
      <c r="T896" s="12" t="s">
        <v>185</v>
      </c>
      <c r="U896" s="15" t="str">
        <f t="shared" si="25"/>
        <v>Flagstar PFA Delegated - TPS</v>
      </c>
      <c r="V896" s="12" t="s">
        <v>126</v>
      </c>
      <c r="W896" s="12" t="s">
        <v>163</v>
      </c>
      <c r="X896" s="12" t="s">
        <v>164</v>
      </c>
      <c r="Y896" s="12" t="s">
        <v>1038</v>
      </c>
      <c r="AA896" s="12"/>
      <c r="AB896" s="33"/>
      <c r="AC896" s="34"/>
      <c r="AD896" s="15"/>
      <c r="AE896" s="14"/>
      <c r="AF896" s="12"/>
      <c r="AG896" s="12"/>
      <c r="AH896" s="12"/>
      <c r="AJ896"/>
      <c r="AK896"/>
    </row>
    <row r="897" spans="18:37" ht="14">
      <c r="R897" s="14">
        <v>10717</v>
      </c>
      <c r="S897" s="14" t="s">
        <v>331</v>
      </c>
      <c r="T897" s="12" t="s">
        <v>150</v>
      </c>
      <c r="U897" s="15" t="str">
        <f t="shared" si="25"/>
        <v>FlightHub BO Ticket Res CS - CCS</v>
      </c>
      <c r="V897" s="12" t="s">
        <v>126</v>
      </c>
      <c r="W897" s="12" t="s">
        <v>127</v>
      </c>
      <c r="X897" s="12" t="s">
        <v>128</v>
      </c>
      <c r="Y897" s="12" t="s">
        <v>1038</v>
      </c>
      <c r="AA897" s="12"/>
      <c r="AB897" s="33"/>
      <c r="AC897" s="34"/>
      <c r="AD897" s="15"/>
      <c r="AE897" s="14"/>
      <c r="AF897" s="12"/>
      <c r="AG897" s="12"/>
      <c r="AH897" s="12"/>
      <c r="AJ897"/>
      <c r="AK897"/>
    </row>
    <row r="898" spans="18:37" ht="14">
      <c r="R898" s="14">
        <v>10717</v>
      </c>
      <c r="S898" s="14" t="s">
        <v>331</v>
      </c>
      <c r="T898" s="12" t="s">
        <v>161</v>
      </c>
      <c r="U898" s="15" t="str">
        <f t="shared" si="25"/>
        <v>FlightHub BO Ticket Res CS - ECC</v>
      </c>
      <c r="V898" s="12" t="s">
        <v>126</v>
      </c>
      <c r="W898" s="12" t="s">
        <v>127</v>
      </c>
      <c r="X898" s="12" t="s">
        <v>128</v>
      </c>
      <c r="Y898" s="12" t="s">
        <v>1038</v>
      </c>
      <c r="AA898" s="12"/>
      <c r="AB898" s="33"/>
      <c r="AC898" s="34"/>
      <c r="AD898" s="15"/>
      <c r="AE898" s="14"/>
      <c r="AF898" s="12"/>
      <c r="AG898" s="12"/>
      <c r="AH898" s="12"/>
      <c r="AJ898"/>
      <c r="AK898"/>
    </row>
    <row r="899" spans="18:37" ht="14">
      <c r="R899" s="14">
        <v>10717</v>
      </c>
      <c r="S899" s="14" t="s">
        <v>331</v>
      </c>
      <c r="T899" s="12" t="s">
        <v>145</v>
      </c>
      <c r="U899" s="15" t="str">
        <f t="shared" ref="U899:U962" si="26">S899&amp;" - "&amp;T899</f>
        <v>FlightHub BO Ticket Res CS - SUP</v>
      </c>
      <c r="V899" s="12" t="s">
        <v>126</v>
      </c>
      <c r="W899" s="12" t="s">
        <v>127</v>
      </c>
      <c r="X899" s="12" t="s">
        <v>128</v>
      </c>
      <c r="Y899" s="12" t="s">
        <v>1038</v>
      </c>
      <c r="AA899" s="12"/>
      <c r="AB899" s="33"/>
      <c r="AC899" s="34"/>
      <c r="AD899" s="15"/>
      <c r="AE899" s="14"/>
      <c r="AF899" s="12"/>
      <c r="AG899" s="12"/>
      <c r="AH899" s="12"/>
      <c r="AJ899"/>
      <c r="AK899"/>
    </row>
    <row r="900" spans="18:37" ht="14">
      <c r="R900" s="14">
        <v>10717</v>
      </c>
      <c r="S900" s="14" t="s">
        <v>331</v>
      </c>
      <c r="T900" s="12" t="s">
        <v>180</v>
      </c>
      <c r="U900" s="15" t="str">
        <f t="shared" si="26"/>
        <v>FlightHub BO Ticket Res CS - TMG</v>
      </c>
      <c r="V900" s="12" t="s">
        <v>126</v>
      </c>
      <c r="W900" s="12" t="s">
        <v>127</v>
      </c>
      <c r="X900" s="12" t="s">
        <v>128</v>
      </c>
      <c r="Y900" s="12" t="s">
        <v>1038</v>
      </c>
      <c r="AA900" s="12"/>
      <c r="AB900" s="33"/>
      <c r="AC900" s="34"/>
      <c r="AD900" s="15"/>
      <c r="AE900" s="14"/>
      <c r="AF900" s="12"/>
      <c r="AG900" s="12"/>
      <c r="AH900" s="12"/>
      <c r="AJ900"/>
      <c r="AK900"/>
    </row>
    <row r="901" spans="18:37" ht="14">
      <c r="R901" s="14">
        <v>10717</v>
      </c>
      <c r="S901" s="14" t="s">
        <v>331</v>
      </c>
      <c r="T901" s="12" t="s">
        <v>185</v>
      </c>
      <c r="U901" s="15" t="str">
        <f t="shared" si="26"/>
        <v>FlightHub BO Ticket Res CS - TPS</v>
      </c>
      <c r="V901" s="12" t="s">
        <v>126</v>
      </c>
      <c r="W901" s="12" t="s">
        <v>127</v>
      </c>
      <c r="X901" s="12" t="s">
        <v>128</v>
      </c>
      <c r="Y901" s="12" t="s">
        <v>1038</v>
      </c>
      <c r="AA901" s="12"/>
      <c r="AB901" s="33"/>
      <c r="AC901" s="34"/>
      <c r="AD901" s="15"/>
      <c r="AE901" s="14"/>
      <c r="AF901" s="12"/>
      <c r="AG901" s="12"/>
      <c r="AH901" s="12"/>
      <c r="AJ901"/>
      <c r="AK901"/>
    </row>
    <row r="902" spans="18:37" ht="14">
      <c r="R902" s="14">
        <v>10717</v>
      </c>
      <c r="S902" s="14" t="s">
        <v>331</v>
      </c>
      <c r="T902" s="12" t="s">
        <v>203</v>
      </c>
      <c r="U902" s="15" t="str">
        <f t="shared" si="26"/>
        <v>FlightHub BO Ticket Res CS - TRG</v>
      </c>
      <c r="V902" s="12" t="s">
        <v>112</v>
      </c>
      <c r="W902" s="12" t="s">
        <v>204</v>
      </c>
      <c r="X902" s="12" t="s">
        <v>205</v>
      </c>
      <c r="Y902" s="12" t="s">
        <v>1038</v>
      </c>
      <c r="AA902" s="12"/>
      <c r="AB902" s="33"/>
      <c r="AC902" s="34"/>
      <c r="AD902" s="15"/>
      <c r="AE902" s="14"/>
      <c r="AF902" s="12"/>
      <c r="AG902" s="12"/>
      <c r="AH902" s="12"/>
      <c r="AJ902"/>
      <c r="AK902"/>
    </row>
    <row r="903" spans="18:37" ht="14">
      <c r="R903" s="14">
        <v>10717</v>
      </c>
      <c r="S903" s="14" t="s">
        <v>331</v>
      </c>
      <c r="T903" s="12" t="s">
        <v>546</v>
      </c>
      <c r="U903" s="15" t="str">
        <f t="shared" si="26"/>
        <v>FlightHub BO Ticket Res CS - TRN</v>
      </c>
      <c r="V903" s="12" t="s">
        <v>112</v>
      </c>
      <c r="W903" s="12" t="s">
        <v>204</v>
      </c>
      <c r="X903" s="12" t="s">
        <v>205</v>
      </c>
      <c r="Y903" s="12" t="s">
        <v>1038</v>
      </c>
      <c r="AA903" s="12"/>
      <c r="AB903" s="33"/>
      <c r="AC903" s="34"/>
      <c r="AD903" s="15"/>
      <c r="AE903" s="14"/>
      <c r="AF903" s="12"/>
      <c r="AG903" s="12"/>
      <c r="AH903" s="12"/>
      <c r="AJ903"/>
      <c r="AK903"/>
    </row>
    <row r="904" spans="18:37" ht="14">
      <c r="R904" s="14">
        <v>93590</v>
      </c>
      <c r="S904" s="14" t="s">
        <v>963</v>
      </c>
      <c r="T904" s="12" t="s">
        <v>129</v>
      </c>
      <c r="U904" s="15" t="str">
        <f t="shared" si="26"/>
        <v>FMAAS_Pre-sales&amp;Sol - MGT</v>
      </c>
      <c r="V904" s="12" t="s">
        <v>104</v>
      </c>
      <c r="W904" s="12" t="s">
        <v>373</v>
      </c>
      <c r="X904" s="12" t="s">
        <v>114</v>
      </c>
      <c r="Y904" s="12" t="s">
        <v>1038</v>
      </c>
      <c r="AA904" s="12"/>
      <c r="AB904" s="33"/>
      <c r="AC904" s="34"/>
      <c r="AD904" s="15"/>
      <c r="AE904" s="14"/>
      <c r="AF904" s="12"/>
      <c r="AG904" s="12"/>
      <c r="AH904" s="12"/>
      <c r="AJ904"/>
      <c r="AK904"/>
    </row>
    <row r="905" spans="18:37" ht="14">
      <c r="R905" s="14">
        <v>93590</v>
      </c>
      <c r="S905" s="14" t="s">
        <v>963</v>
      </c>
      <c r="T905" s="12" t="s">
        <v>145</v>
      </c>
      <c r="U905" s="15" t="str">
        <f t="shared" si="26"/>
        <v>FMAAS_Pre-sales&amp;Sol - SUP</v>
      </c>
      <c r="V905" s="12" t="s">
        <v>104</v>
      </c>
      <c r="W905" s="12" t="s">
        <v>373</v>
      </c>
      <c r="X905" s="12" t="s">
        <v>114</v>
      </c>
      <c r="Y905" s="12" t="s">
        <v>1038</v>
      </c>
      <c r="AA905" s="12"/>
      <c r="AB905" s="33"/>
      <c r="AC905" s="34"/>
      <c r="AD905" s="15"/>
      <c r="AE905" s="14"/>
      <c r="AF905" s="12"/>
      <c r="AG905" s="12"/>
      <c r="AH905" s="12"/>
      <c r="AJ905"/>
      <c r="AK905"/>
    </row>
    <row r="906" spans="18:37" ht="14">
      <c r="R906" s="14">
        <v>51001</v>
      </c>
      <c r="S906" s="14" t="s">
        <v>685</v>
      </c>
      <c r="T906" s="12" t="s">
        <v>116</v>
      </c>
      <c r="U906" s="15" t="str">
        <f t="shared" si="26"/>
        <v>FORTINET-2207-2407-EBS-CloudTe - PRD</v>
      </c>
      <c r="V906" s="12" t="s">
        <v>117</v>
      </c>
      <c r="W906" s="12" t="s">
        <v>117</v>
      </c>
      <c r="X906" s="12" t="s">
        <v>117</v>
      </c>
      <c r="Y906" s="12" t="s">
        <v>1038</v>
      </c>
      <c r="AA906" s="12"/>
      <c r="AB906" s="33"/>
      <c r="AC906" s="34"/>
      <c r="AD906" s="15"/>
      <c r="AE906" s="14"/>
      <c r="AF906" s="12"/>
      <c r="AG906" s="12"/>
      <c r="AH906" s="12"/>
      <c r="AJ906"/>
      <c r="AK906"/>
    </row>
    <row r="907" spans="18:37" ht="14">
      <c r="R907" s="14">
        <v>51134</v>
      </c>
      <c r="S907" s="14" t="s">
        <v>1072</v>
      </c>
      <c r="T907" s="12" t="s">
        <v>116</v>
      </c>
      <c r="U907" s="15" t="str">
        <f t="shared" si="26"/>
        <v>FORTINET-CloudTestrHCM - PRD</v>
      </c>
      <c r="V907" s="12" t="s">
        <v>117</v>
      </c>
      <c r="W907" s="12" t="s">
        <v>117</v>
      </c>
      <c r="X907" s="12" t="s">
        <v>117</v>
      </c>
      <c r="Y907" s="12" t="s">
        <v>1038</v>
      </c>
      <c r="AA907" s="12"/>
      <c r="AB907" s="33"/>
      <c r="AC907" s="34"/>
      <c r="AD907" s="15"/>
      <c r="AE907" s="14"/>
      <c r="AF907" s="12"/>
      <c r="AG907" s="12"/>
      <c r="AH907" s="12"/>
      <c r="AJ907"/>
      <c r="AK907"/>
    </row>
    <row r="908" spans="18:37" ht="14">
      <c r="R908" s="14">
        <v>10920</v>
      </c>
      <c r="S908" s="14" t="s">
        <v>466</v>
      </c>
      <c r="T908" s="12" t="s">
        <v>116</v>
      </c>
      <c r="U908" s="15" t="str">
        <f t="shared" si="26"/>
        <v>FORVIS Sales Marketing Support - PRD</v>
      </c>
      <c r="V908" s="12" t="s">
        <v>126</v>
      </c>
      <c r="W908" s="12" t="s">
        <v>163</v>
      </c>
      <c r="X908" s="12" t="s">
        <v>164</v>
      </c>
      <c r="Y908" s="12" t="s">
        <v>1038</v>
      </c>
      <c r="AA908" s="12"/>
      <c r="AB908" s="33"/>
      <c r="AC908" s="34"/>
      <c r="AD908" s="15"/>
      <c r="AE908" s="14"/>
      <c r="AF908" s="12"/>
      <c r="AG908" s="12"/>
      <c r="AH908" s="12"/>
      <c r="AJ908"/>
      <c r="AK908"/>
    </row>
    <row r="909" spans="18:37" ht="14">
      <c r="R909" s="14">
        <v>18058</v>
      </c>
      <c r="S909" s="14" t="s">
        <v>625</v>
      </c>
      <c r="T909" s="12" t="s">
        <v>172</v>
      </c>
      <c r="U909" s="15" t="str">
        <f t="shared" si="26"/>
        <v>Forward Lending - SME</v>
      </c>
      <c r="V909" s="12" t="s">
        <v>126</v>
      </c>
      <c r="W909" s="12" t="s">
        <v>163</v>
      </c>
      <c r="X909" s="12" t="s">
        <v>164</v>
      </c>
      <c r="Y909" s="12" t="s">
        <v>1038</v>
      </c>
      <c r="AA909" s="12"/>
      <c r="AB909" s="33"/>
      <c r="AC909" s="34"/>
      <c r="AD909" s="15"/>
      <c r="AE909" s="14"/>
      <c r="AF909" s="12"/>
      <c r="AG909" s="12"/>
      <c r="AH909" s="12"/>
      <c r="AJ909"/>
      <c r="AK909"/>
    </row>
    <row r="910" spans="18:37" ht="14">
      <c r="R910" s="14">
        <v>18058</v>
      </c>
      <c r="S910" s="14" t="s">
        <v>625</v>
      </c>
      <c r="T910" s="12" t="s">
        <v>180</v>
      </c>
      <c r="U910" s="15" t="str">
        <f t="shared" si="26"/>
        <v>Forward Lending - TMG</v>
      </c>
      <c r="V910" s="12" t="s">
        <v>126</v>
      </c>
      <c r="W910" s="12" t="s">
        <v>163</v>
      </c>
      <c r="X910" s="12" t="s">
        <v>164</v>
      </c>
      <c r="Y910" s="12" t="s">
        <v>1038</v>
      </c>
      <c r="AA910" s="12"/>
      <c r="AB910" s="33"/>
      <c r="AC910" s="34"/>
      <c r="AD910" s="15"/>
      <c r="AE910" s="14"/>
      <c r="AF910" s="12"/>
      <c r="AG910" s="12"/>
      <c r="AH910" s="12"/>
      <c r="AJ910"/>
      <c r="AK910"/>
    </row>
    <row r="911" spans="18:37" ht="14">
      <c r="R911" s="14">
        <v>18058</v>
      </c>
      <c r="S911" s="14" t="s">
        <v>625</v>
      </c>
      <c r="T911" s="12" t="s">
        <v>185</v>
      </c>
      <c r="U911" s="15" t="str">
        <f t="shared" si="26"/>
        <v>Forward Lending - TPS</v>
      </c>
      <c r="V911" s="12" t="s">
        <v>126</v>
      </c>
      <c r="W911" s="12" t="s">
        <v>163</v>
      </c>
      <c r="X911" s="12" t="s">
        <v>164</v>
      </c>
      <c r="Y911" s="12" t="s">
        <v>1038</v>
      </c>
      <c r="AA911" s="12"/>
      <c r="AB911" s="33"/>
      <c r="AC911" s="34"/>
      <c r="AD911" s="15"/>
      <c r="AE911" s="14"/>
      <c r="AF911" s="12"/>
      <c r="AG911" s="12"/>
      <c r="AH911" s="12"/>
      <c r="AJ911"/>
      <c r="AK911"/>
    </row>
    <row r="912" spans="18:37" ht="14">
      <c r="R912" s="14">
        <v>18073</v>
      </c>
      <c r="S912" s="14" t="s">
        <v>633</v>
      </c>
      <c r="T912" s="12" t="s">
        <v>185</v>
      </c>
      <c r="U912" s="15" t="str">
        <f t="shared" si="26"/>
        <v>Foundation-Non_QM Undrwt - TPS</v>
      </c>
      <c r="V912" s="12" t="s">
        <v>126</v>
      </c>
      <c r="W912" s="12" t="s">
        <v>163</v>
      </c>
      <c r="X912" s="12" t="s">
        <v>164</v>
      </c>
      <c r="Y912" s="12" t="s">
        <v>1038</v>
      </c>
      <c r="AA912" s="12"/>
      <c r="AB912" s="33"/>
      <c r="AC912" s="34"/>
      <c r="AD912" s="15"/>
      <c r="AE912" s="14"/>
      <c r="AF912" s="12"/>
      <c r="AG912" s="12"/>
      <c r="AH912" s="12"/>
      <c r="AJ912"/>
      <c r="AK912"/>
    </row>
    <row r="913" spans="18:37" ht="14">
      <c r="R913" s="14">
        <v>96103</v>
      </c>
      <c r="S913" s="14" t="s">
        <v>529</v>
      </c>
      <c r="T913" s="12" t="s">
        <v>133</v>
      </c>
      <c r="U913" s="15" t="str">
        <f t="shared" si="26"/>
        <v>FP &amp; A - AMG</v>
      </c>
      <c r="V913" s="12" t="s">
        <v>104</v>
      </c>
      <c r="W913" s="12" t="s">
        <v>122</v>
      </c>
      <c r="X913" s="12" t="s">
        <v>114</v>
      </c>
      <c r="Y913" s="12" t="s">
        <v>1038</v>
      </c>
      <c r="AA913" s="12"/>
      <c r="AB913" s="33"/>
      <c r="AC913" s="34"/>
      <c r="AD913" s="15"/>
      <c r="AE913" s="14"/>
      <c r="AF913" s="12"/>
      <c r="AG913" s="12"/>
      <c r="AH913" s="12"/>
      <c r="AJ913"/>
      <c r="AK913"/>
    </row>
    <row r="914" spans="18:37" ht="14">
      <c r="R914" s="14">
        <v>96103</v>
      </c>
      <c r="S914" s="14" t="s">
        <v>529</v>
      </c>
      <c r="T914" s="12" t="s">
        <v>121</v>
      </c>
      <c r="U914" s="15" t="str">
        <f t="shared" si="26"/>
        <v>FP &amp; A - F&amp;A</v>
      </c>
      <c r="V914" s="12" t="s">
        <v>104</v>
      </c>
      <c r="W914" s="12" t="s">
        <v>122</v>
      </c>
      <c r="X914" s="12" t="s">
        <v>114</v>
      </c>
      <c r="Y914" s="12" t="s">
        <v>1038</v>
      </c>
      <c r="AA914" s="12"/>
      <c r="AB914" s="33"/>
      <c r="AC914" s="34"/>
      <c r="AD914" s="15"/>
      <c r="AE914" s="14"/>
      <c r="AF914" s="12"/>
      <c r="AG914" s="12"/>
      <c r="AH914" s="12"/>
      <c r="AJ914"/>
      <c r="AK914"/>
    </row>
    <row r="915" spans="18:37" ht="14">
      <c r="R915" s="14">
        <v>96103</v>
      </c>
      <c r="S915" s="14" t="s">
        <v>529</v>
      </c>
      <c r="T915" s="12" t="s">
        <v>129</v>
      </c>
      <c r="U915" s="15" t="str">
        <f t="shared" si="26"/>
        <v>FP &amp; A - MGT</v>
      </c>
      <c r="V915" s="12" t="s">
        <v>104</v>
      </c>
      <c r="W915" s="12" t="s">
        <v>122</v>
      </c>
      <c r="X915" s="12" t="s">
        <v>114</v>
      </c>
      <c r="Y915" s="12" t="s">
        <v>1038</v>
      </c>
      <c r="AA915" s="12"/>
      <c r="AB915" s="33"/>
      <c r="AC915" s="34"/>
      <c r="AD915" s="15"/>
      <c r="AE915" s="14"/>
      <c r="AF915" s="12"/>
      <c r="AG915" s="12"/>
      <c r="AH915" s="12"/>
      <c r="AJ915"/>
      <c r="AK915"/>
    </row>
    <row r="916" spans="18:37" ht="14">
      <c r="R916" s="14">
        <v>96103</v>
      </c>
      <c r="S916" s="14" t="s">
        <v>529</v>
      </c>
      <c r="T916" s="12" t="s">
        <v>139</v>
      </c>
      <c r="U916" s="15" t="str">
        <f t="shared" si="26"/>
        <v>FP &amp; A - SMGT</v>
      </c>
      <c r="V916" s="12" t="s">
        <v>104</v>
      </c>
      <c r="W916" s="12" t="s">
        <v>122</v>
      </c>
      <c r="X916" s="12" t="s">
        <v>114</v>
      </c>
      <c r="Y916" s="12" t="s">
        <v>1038</v>
      </c>
      <c r="AA916" s="12"/>
      <c r="AB916" s="33"/>
      <c r="AC916" s="34"/>
      <c r="AD916" s="15"/>
      <c r="AE916" s="14"/>
      <c r="AF916" s="12"/>
      <c r="AG916" s="12"/>
      <c r="AH916" s="12"/>
      <c r="AJ916"/>
      <c r="AK916"/>
    </row>
    <row r="917" spans="18:37" ht="14">
      <c r="R917" s="14">
        <v>96103</v>
      </c>
      <c r="S917" s="14" t="s">
        <v>529</v>
      </c>
      <c r="T917" s="12" t="s">
        <v>145</v>
      </c>
      <c r="U917" s="15" t="str">
        <f t="shared" si="26"/>
        <v>FP &amp; A - SUP</v>
      </c>
      <c r="V917" s="12" t="s">
        <v>104</v>
      </c>
      <c r="W917" s="12" t="s">
        <v>122</v>
      </c>
      <c r="X917" s="12" t="s">
        <v>114</v>
      </c>
      <c r="Y917" s="12" t="s">
        <v>1038</v>
      </c>
      <c r="AA917" s="12"/>
      <c r="AB917" s="33"/>
      <c r="AC917" s="34"/>
      <c r="AD917" s="15"/>
      <c r="AE917" s="14"/>
      <c r="AF917" s="12"/>
      <c r="AG917" s="12"/>
      <c r="AH917" s="12"/>
      <c r="AJ917"/>
      <c r="AK917"/>
    </row>
    <row r="918" spans="18:37" ht="14">
      <c r="R918" s="14">
        <v>10740</v>
      </c>
      <c r="S918" s="14" t="s">
        <v>354</v>
      </c>
      <c r="T918" s="12" t="s">
        <v>133</v>
      </c>
      <c r="U918" s="15" t="str">
        <f t="shared" si="26"/>
        <v>FrenchBee FDS - AMG</v>
      </c>
      <c r="V918" s="12" t="s">
        <v>126</v>
      </c>
      <c r="W918" s="12" t="s">
        <v>163</v>
      </c>
      <c r="X918" s="12" t="s">
        <v>164</v>
      </c>
      <c r="Y918" s="12" t="s">
        <v>1038</v>
      </c>
      <c r="AA918" s="12"/>
      <c r="AB918" s="33"/>
      <c r="AC918" s="34"/>
      <c r="AD918" s="15"/>
      <c r="AE918" s="14"/>
      <c r="AF918" s="12"/>
      <c r="AG918" s="12"/>
      <c r="AH918" s="12"/>
      <c r="AJ918"/>
      <c r="AK918"/>
    </row>
    <row r="919" spans="18:37" ht="14">
      <c r="R919" s="14">
        <v>10117</v>
      </c>
      <c r="S919" s="14" t="s">
        <v>226</v>
      </c>
      <c r="T919" s="12" t="s">
        <v>150</v>
      </c>
      <c r="U919" s="15" t="str">
        <f t="shared" si="26"/>
        <v>FTD IND Ops - CCS</v>
      </c>
      <c r="V919" s="12" t="s">
        <v>126</v>
      </c>
      <c r="W919" s="12" t="s">
        <v>127</v>
      </c>
      <c r="X919" s="12" t="s">
        <v>128</v>
      </c>
      <c r="Y919" s="12" t="s">
        <v>1038</v>
      </c>
      <c r="AA919" s="12"/>
      <c r="AB919" s="33"/>
      <c r="AC919" s="34"/>
      <c r="AD919" s="15"/>
      <c r="AE919" s="14"/>
      <c r="AF919" s="12"/>
      <c r="AG919" s="12"/>
      <c r="AH919" s="12"/>
      <c r="AJ919"/>
      <c r="AK919"/>
    </row>
    <row r="920" spans="18:37" ht="14">
      <c r="R920" s="14">
        <v>91324</v>
      </c>
      <c r="S920" s="14" t="s">
        <v>941</v>
      </c>
      <c r="T920" s="12" t="s">
        <v>138</v>
      </c>
      <c r="U920" s="15" t="str">
        <f t="shared" si="26"/>
        <v>FTP - SD - BOS</v>
      </c>
      <c r="V920" s="12" t="s">
        <v>126</v>
      </c>
      <c r="W920" s="12" t="s">
        <v>163</v>
      </c>
      <c r="X920" s="12" t="s">
        <v>164</v>
      </c>
      <c r="Y920" s="12" t="s">
        <v>1038</v>
      </c>
      <c r="AA920" s="12"/>
      <c r="AB920" s="33"/>
      <c r="AC920" s="34"/>
      <c r="AD920" s="15"/>
      <c r="AE920" s="14"/>
      <c r="AF920" s="12"/>
      <c r="AG920" s="12"/>
      <c r="AH920" s="12"/>
      <c r="AJ920"/>
      <c r="AK920"/>
    </row>
    <row r="921" spans="18:37" ht="14">
      <c r="R921" s="14">
        <v>91324</v>
      </c>
      <c r="S921" s="14" t="s">
        <v>941</v>
      </c>
      <c r="T921" s="12" t="s">
        <v>150</v>
      </c>
      <c r="U921" s="15" t="str">
        <f t="shared" si="26"/>
        <v>FTP - SD - CCS</v>
      </c>
      <c r="V921" s="12" t="s">
        <v>126</v>
      </c>
      <c r="W921" s="12" t="s">
        <v>163</v>
      </c>
      <c r="X921" s="12" t="s">
        <v>164</v>
      </c>
      <c r="Y921" s="12" t="s">
        <v>1038</v>
      </c>
      <c r="AA921" s="12"/>
      <c r="AB921" s="33"/>
      <c r="AC921" s="34"/>
      <c r="AD921" s="15"/>
      <c r="AE921" s="14"/>
      <c r="AF921" s="12"/>
      <c r="AG921" s="12"/>
      <c r="AH921" s="12"/>
      <c r="AJ921"/>
      <c r="AK921"/>
    </row>
    <row r="922" spans="18:37" ht="14">
      <c r="R922" s="14">
        <v>91324</v>
      </c>
      <c r="S922" s="14" t="s">
        <v>941</v>
      </c>
      <c r="T922" s="12" t="s">
        <v>306</v>
      </c>
      <c r="U922" s="15" t="str">
        <f t="shared" si="26"/>
        <v>FTP - SD - FAO</v>
      </c>
      <c r="V922" s="12" t="s">
        <v>126</v>
      </c>
      <c r="W922" s="12" t="s">
        <v>163</v>
      </c>
      <c r="X922" s="12" t="s">
        <v>164</v>
      </c>
      <c r="Y922" s="12" t="s">
        <v>1038</v>
      </c>
      <c r="AA922" s="12"/>
      <c r="AB922" s="33"/>
      <c r="AC922" s="34"/>
      <c r="AD922" s="15"/>
      <c r="AE922" s="14"/>
      <c r="AF922" s="12"/>
      <c r="AG922" s="12"/>
      <c r="AH922" s="12"/>
      <c r="AJ922"/>
      <c r="AK922"/>
    </row>
    <row r="923" spans="18:37" ht="14">
      <c r="R923" s="14">
        <v>91324</v>
      </c>
      <c r="S923" s="14" t="s">
        <v>941</v>
      </c>
      <c r="T923" s="12" t="s">
        <v>250</v>
      </c>
      <c r="U923" s="15" t="str">
        <f t="shared" si="26"/>
        <v>FTP - SD - LED</v>
      </c>
      <c r="V923" s="12" t="s">
        <v>126</v>
      </c>
      <c r="W923" s="12" t="s">
        <v>163</v>
      </c>
      <c r="X923" s="12" t="s">
        <v>164</v>
      </c>
      <c r="Y923" s="12" t="s">
        <v>1038</v>
      </c>
      <c r="AA923" s="12"/>
      <c r="AB923" s="33"/>
      <c r="AC923" s="34"/>
      <c r="AD923" s="15"/>
      <c r="AE923" s="14"/>
      <c r="AF923" s="12"/>
      <c r="AG923" s="12"/>
      <c r="AH923" s="12"/>
      <c r="AJ923"/>
      <c r="AK923"/>
    </row>
    <row r="924" spans="18:37" ht="14">
      <c r="R924" s="14">
        <v>91324</v>
      </c>
      <c r="S924" s="14" t="s">
        <v>941</v>
      </c>
      <c r="T924" s="12" t="s">
        <v>129</v>
      </c>
      <c r="U924" s="15" t="str">
        <f t="shared" si="26"/>
        <v>FTP - SD - MGT</v>
      </c>
      <c r="V924" s="12" t="s">
        <v>126</v>
      </c>
      <c r="W924" s="12" t="s">
        <v>163</v>
      </c>
      <c r="X924" s="12" t="s">
        <v>164</v>
      </c>
      <c r="Y924" s="12" t="s">
        <v>1038</v>
      </c>
      <c r="AA924" s="12"/>
      <c r="AB924" s="33"/>
      <c r="AC924" s="34"/>
      <c r="AD924" s="15"/>
      <c r="AE924" s="14"/>
      <c r="AF924" s="12"/>
      <c r="AG924" s="12"/>
      <c r="AH924" s="12"/>
      <c r="AJ924"/>
      <c r="AK924"/>
    </row>
    <row r="925" spans="18:37" ht="14">
      <c r="R925" s="14">
        <v>91324</v>
      </c>
      <c r="S925" s="14" t="s">
        <v>941</v>
      </c>
      <c r="T925" s="12" t="s">
        <v>116</v>
      </c>
      <c r="U925" s="15" t="str">
        <f t="shared" si="26"/>
        <v>FTP - SD - PRD</v>
      </c>
      <c r="V925" s="12" t="s">
        <v>126</v>
      </c>
      <c r="W925" s="12" t="s">
        <v>163</v>
      </c>
      <c r="X925" s="12" t="s">
        <v>164</v>
      </c>
      <c r="Y925" s="12" t="s">
        <v>1038</v>
      </c>
      <c r="AA925" s="12"/>
      <c r="AB925" s="33"/>
      <c r="AC925" s="34"/>
      <c r="AD925" s="15"/>
      <c r="AE925" s="14"/>
      <c r="AF925" s="12"/>
      <c r="AG925" s="12"/>
      <c r="AH925" s="12"/>
      <c r="AJ925"/>
      <c r="AK925"/>
    </row>
    <row r="926" spans="18:37" ht="14">
      <c r="R926" s="14">
        <v>91324</v>
      </c>
      <c r="S926" s="14" t="s">
        <v>941</v>
      </c>
      <c r="T926" s="12" t="s">
        <v>145</v>
      </c>
      <c r="U926" s="15" t="str">
        <f t="shared" si="26"/>
        <v>FTP - SD - SUP</v>
      </c>
      <c r="V926" s="12" t="s">
        <v>126</v>
      </c>
      <c r="W926" s="12" t="s">
        <v>163</v>
      </c>
      <c r="X926" s="12" t="s">
        <v>164</v>
      </c>
      <c r="Y926" s="12" t="s">
        <v>1038</v>
      </c>
      <c r="AA926" s="12"/>
      <c r="AB926" s="33"/>
      <c r="AC926" s="34"/>
      <c r="AD926" s="15"/>
      <c r="AE926" s="14"/>
      <c r="AF926" s="12"/>
      <c r="AG926" s="12"/>
      <c r="AH926" s="12"/>
      <c r="AJ926"/>
      <c r="AK926"/>
    </row>
    <row r="927" spans="18:37" ht="14">
      <c r="R927" s="14">
        <v>91324</v>
      </c>
      <c r="S927" s="14" t="s">
        <v>941</v>
      </c>
      <c r="T927" s="12" t="s">
        <v>180</v>
      </c>
      <c r="U927" s="15" t="str">
        <f t="shared" si="26"/>
        <v>FTP - SD - TMG</v>
      </c>
      <c r="V927" s="12" t="s">
        <v>126</v>
      </c>
      <c r="W927" s="12" t="s">
        <v>163</v>
      </c>
      <c r="X927" s="12" t="s">
        <v>164</v>
      </c>
      <c r="Y927" s="12" t="s">
        <v>1038</v>
      </c>
      <c r="AA927" s="12"/>
      <c r="AB927" s="33"/>
      <c r="AC927" s="34"/>
      <c r="AD927" s="15"/>
      <c r="AE927" s="14"/>
      <c r="AF927" s="12"/>
      <c r="AG927" s="12"/>
      <c r="AH927" s="12"/>
      <c r="AJ927"/>
      <c r="AK927"/>
    </row>
    <row r="928" spans="18:37" ht="14">
      <c r="R928" s="14">
        <v>91324</v>
      </c>
      <c r="S928" s="14" t="s">
        <v>941</v>
      </c>
      <c r="T928" s="12" t="s">
        <v>185</v>
      </c>
      <c r="U928" s="15" t="str">
        <f t="shared" si="26"/>
        <v>FTP - SD - TPS</v>
      </c>
      <c r="V928" s="12" t="s">
        <v>126</v>
      </c>
      <c r="W928" s="12" t="s">
        <v>163</v>
      </c>
      <c r="X928" s="12" t="s">
        <v>164</v>
      </c>
      <c r="Y928" s="12" t="s">
        <v>1038</v>
      </c>
      <c r="AA928" s="12"/>
      <c r="AB928" s="33"/>
      <c r="AC928" s="34"/>
      <c r="AD928" s="15"/>
      <c r="AE928" s="14"/>
      <c r="AF928" s="12"/>
      <c r="AG928" s="12"/>
      <c r="AH928" s="12"/>
      <c r="AJ928"/>
      <c r="AK928"/>
    </row>
    <row r="929" spans="18:37" ht="14">
      <c r="R929" s="14">
        <v>97320</v>
      </c>
      <c r="S929" s="14" t="s">
        <v>1011</v>
      </c>
      <c r="T929" s="12" t="s">
        <v>306</v>
      </c>
      <c r="U929" s="15" t="str">
        <f t="shared" si="26"/>
        <v>FTP - Training - FAO</v>
      </c>
      <c r="V929" s="12" t="s">
        <v>104</v>
      </c>
      <c r="W929" s="12" t="s">
        <v>370</v>
      </c>
      <c r="X929" s="12" t="s">
        <v>205</v>
      </c>
      <c r="Y929" s="12" t="s">
        <v>1038</v>
      </c>
      <c r="AA929" s="12"/>
      <c r="AB929" s="33"/>
      <c r="AC929" s="34"/>
      <c r="AD929" s="15"/>
      <c r="AE929" s="14"/>
      <c r="AF929" s="12"/>
      <c r="AG929" s="12"/>
      <c r="AH929" s="12"/>
      <c r="AJ929"/>
      <c r="AK929"/>
    </row>
    <row r="930" spans="18:37" ht="14">
      <c r="R930" s="14">
        <v>97320</v>
      </c>
      <c r="S930" s="14" t="s">
        <v>1011</v>
      </c>
      <c r="T930" s="12" t="s">
        <v>129</v>
      </c>
      <c r="U930" s="15" t="str">
        <f t="shared" si="26"/>
        <v>FTP - Training - MGT</v>
      </c>
      <c r="V930" s="12" t="s">
        <v>104</v>
      </c>
      <c r="W930" s="12" t="s">
        <v>370</v>
      </c>
      <c r="X930" s="12" t="s">
        <v>205</v>
      </c>
      <c r="Y930" s="12" t="s">
        <v>1038</v>
      </c>
      <c r="AA930" s="12"/>
      <c r="AB930" s="33"/>
      <c r="AC930" s="34"/>
      <c r="AD930" s="15"/>
      <c r="AE930" s="14"/>
      <c r="AF930" s="12"/>
      <c r="AG930" s="12"/>
      <c r="AH930" s="12"/>
      <c r="AJ930"/>
      <c r="AK930"/>
    </row>
    <row r="931" spans="18:37" ht="14">
      <c r="R931" s="14">
        <v>97320</v>
      </c>
      <c r="S931" s="14" t="s">
        <v>1011</v>
      </c>
      <c r="T931" s="12" t="s">
        <v>139</v>
      </c>
      <c r="U931" s="15" t="str">
        <f t="shared" si="26"/>
        <v>FTP - Training - SMGT</v>
      </c>
      <c r="V931" s="12" t="s">
        <v>104</v>
      </c>
      <c r="W931" s="12" t="s">
        <v>370</v>
      </c>
      <c r="X931" s="12" t="s">
        <v>205</v>
      </c>
      <c r="Y931" s="12" t="s">
        <v>1038</v>
      </c>
      <c r="AA931" s="12"/>
      <c r="AB931" s="33"/>
      <c r="AC931" s="34"/>
      <c r="AD931" s="15"/>
      <c r="AE931" s="14"/>
      <c r="AF931" s="12"/>
      <c r="AG931" s="12"/>
      <c r="AH931" s="12"/>
      <c r="AJ931"/>
      <c r="AK931"/>
    </row>
    <row r="932" spans="18:37" ht="14">
      <c r="R932" s="14">
        <v>97320</v>
      </c>
      <c r="S932" s="14" t="s">
        <v>1011</v>
      </c>
      <c r="T932" s="12" t="s">
        <v>145</v>
      </c>
      <c r="U932" s="15" t="str">
        <f t="shared" si="26"/>
        <v>FTP - Training - SUP</v>
      </c>
      <c r="V932" s="12" t="s">
        <v>104</v>
      </c>
      <c r="W932" s="12" t="s">
        <v>370</v>
      </c>
      <c r="X932" s="12" t="s">
        <v>205</v>
      </c>
      <c r="Y932" s="12" t="s">
        <v>1038</v>
      </c>
      <c r="AA932" s="12"/>
      <c r="AB932" s="33"/>
      <c r="AC932" s="34"/>
      <c r="AD932" s="15"/>
      <c r="AE932" s="14"/>
      <c r="AF932" s="12"/>
      <c r="AG932" s="12"/>
      <c r="AH932" s="12"/>
      <c r="AJ932"/>
      <c r="AK932"/>
    </row>
    <row r="933" spans="18:37" ht="14">
      <c r="R933" s="14">
        <v>97320</v>
      </c>
      <c r="S933" s="14" t="s">
        <v>1011</v>
      </c>
      <c r="T933" s="12" t="s">
        <v>546</v>
      </c>
      <c r="U933" s="15" t="str">
        <f t="shared" si="26"/>
        <v>FTP - Training - TRN</v>
      </c>
      <c r="V933" s="12" t="s">
        <v>104</v>
      </c>
      <c r="W933" s="12" t="s">
        <v>370</v>
      </c>
      <c r="X933" s="12" t="s">
        <v>205</v>
      </c>
      <c r="Y933" s="12" t="s">
        <v>1038</v>
      </c>
      <c r="AA933" s="12"/>
      <c r="AB933" s="33"/>
      <c r="AC933" s="34"/>
      <c r="AD933" s="15"/>
      <c r="AE933" s="14"/>
      <c r="AF933" s="12"/>
      <c r="AG933" s="12"/>
      <c r="AH933" s="12"/>
      <c r="AJ933"/>
      <c r="AK933"/>
    </row>
    <row r="934" spans="18:37" ht="14">
      <c r="R934" s="14">
        <v>10944</v>
      </c>
      <c r="S934" s="14" t="s">
        <v>1054</v>
      </c>
      <c r="T934" s="12" t="s">
        <v>145</v>
      </c>
      <c r="U934" s="15" t="str">
        <f t="shared" si="26"/>
        <v>Fujitsu Smartleap. - SUP</v>
      </c>
      <c r="V934" s="12" t="s">
        <v>104</v>
      </c>
      <c r="W934" s="12" t="s">
        <v>117</v>
      </c>
      <c r="X934" s="12" t="s">
        <v>117</v>
      </c>
      <c r="Y934" s="12" t="s">
        <v>1038</v>
      </c>
      <c r="AA934" s="12"/>
      <c r="AB934" s="33"/>
      <c r="AC934" s="34"/>
      <c r="AD934" s="15"/>
      <c r="AE934" s="14"/>
      <c r="AF934" s="12"/>
      <c r="AG934" s="12"/>
      <c r="AH934" s="12"/>
      <c r="AJ934"/>
      <c r="AK934"/>
    </row>
    <row r="935" spans="18:37" ht="14">
      <c r="R935" s="14">
        <v>10736</v>
      </c>
      <c r="S935" s="14" t="s">
        <v>351</v>
      </c>
      <c r="T935" s="12" t="s">
        <v>111</v>
      </c>
      <c r="U935" s="15" t="str">
        <f t="shared" si="26"/>
        <v>GAM IT Support India Consol - QLY</v>
      </c>
      <c r="V935" s="12" t="s">
        <v>112</v>
      </c>
      <c r="W935" s="12" t="s">
        <v>113</v>
      </c>
      <c r="X935" s="12" t="s">
        <v>114</v>
      </c>
      <c r="Y935" s="12" t="s">
        <v>1038</v>
      </c>
      <c r="AA935" s="12"/>
      <c r="AB935" s="33"/>
      <c r="AC935" s="34"/>
      <c r="AD935" s="15"/>
      <c r="AE935" s="14"/>
      <c r="AF935" s="12"/>
      <c r="AG935" s="12"/>
      <c r="AH935" s="12"/>
      <c r="AJ935"/>
      <c r="AK935"/>
    </row>
    <row r="936" spans="18:37" ht="14">
      <c r="R936" s="14">
        <v>10736</v>
      </c>
      <c r="S936" s="14" t="s">
        <v>351</v>
      </c>
      <c r="T936" s="12" t="s">
        <v>172</v>
      </c>
      <c r="U936" s="15" t="str">
        <f t="shared" si="26"/>
        <v>GAM IT Support India Consol - SME</v>
      </c>
      <c r="V936" s="12" t="s">
        <v>126</v>
      </c>
      <c r="W936" s="12" t="s">
        <v>163</v>
      </c>
      <c r="X936" s="12" t="s">
        <v>164</v>
      </c>
      <c r="Y936" s="12" t="s">
        <v>1038</v>
      </c>
      <c r="AA936" s="12"/>
      <c r="AB936" s="33"/>
      <c r="AC936" s="34"/>
      <c r="AD936" s="15"/>
      <c r="AE936" s="14"/>
      <c r="AF936" s="12"/>
      <c r="AG936" s="12"/>
      <c r="AH936" s="12"/>
      <c r="AJ936"/>
      <c r="AK936"/>
    </row>
    <row r="937" spans="18:37" ht="14">
      <c r="R937" s="14">
        <v>10736</v>
      </c>
      <c r="S937" s="14" t="s">
        <v>351</v>
      </c>
      <c r="T937" s="12" t="s">
        <v>198</v>
      </c>
      <c r="U937" s="15" t="str">
        <f t="shared" si="26"/>
        <v>GAM IT Support India Consol - TEC</v>
      </c>
      <c r="V937" s="12" t="s">
        <v>126</v>
      </c>
      <c r="W937" s="12" t="s">
        <v>163</v>
      </c>
      <c r="X937" s="12" t="s">
        <v>164</v>
      </c>
      <c r="Y937" s="12" t="s">
        <v>1038</v>
      </c>
      <c r="AA937" s="12"/>
      <c r="AB937" s="33"/>
      <c r="AC937" s="34"/>
      <c r="AD937" s="15"/>
      <c r="AE937" s="14"/>
      <c r="AF937" s="12"/>
      <c r="AG937" s="12"/>
      <c r="AH937" s="12"/>
      <c r="AJ937"/>
      <c r="AK937"/>
    </row>
    <row r="938" spans="18:37" ht="14">
      <c r="R938" s="14">
        <v>10736</v>
      </c>
      <c r="S938" s="14" t="s">
        <v>351</v>
      </c>
      <c r="T938" s="12" t="s">
        <v>180</v>
      </c>
      <c r="U938" s="15" t="str">
        <f t="shared" si="26"/>
        <v>GAM IT Support India Consol - TMG</v>
      </c>
      <c r="V938" s="12" t="s">
        <v>126</v>
      </c>
      <c r="W938" s="12" t="s">
        <v>163</v>
      </c>
      <c r="X938" s="12" t="s">
        <v>164</v>
      </c>
      <c r="Y938" s="12" t="s">
        <v>1038</v>
      </c>
      <c r="AA938" s="12"/>
      <c r="AB938" s="33"/>
      <c r="AC938" s="34"/>
      <c r="AD938" s="15"/>
      <c r="AE938" s="14"/>
      <c r="AF938" s="12"/>
      <c r="AG938" s="12"/>
      <c r="AH938" s="12"/>
      <c r="AJ938"/>
      <c r="AK938"/>
    </row>
    <row r="939" spans="18:37" ht="14">
      <c r="R939" s="14">
        <v>91404</v>
      </c>
      <c r="S939" s="14" t="s">
        <v>533</v>
      </c>
      <c r="T939" s="12" t="s">
        <v>145</v>
      </c>
      <c r="U939" s="15" t="str">
        <f t="shared" si="26"/>
        <v>GDU2-Delivery-Leadership - SUP</v>
      </c>
      <c r="V939" s="12" t="s">
        <v>117</v>
      </c>
      <c r="W939" s="12" t="s">
        <v>117</v>
      </c>
      <c r="X939" s="12" t="s">
        <v>117</v>
      </c>
      <c r="Y939" s="12" t="s">
        <v>1038</v>
      </c>
      <c r="AA939" s="12"/>
      <c r="AB939" s="33"/>
      <c r="AC939" s="34"/>
      <c r="AD939" s="15"/>
      <c r="AE939" s="14"/>
      <c r="AF939" s="12"/>
      <c r="AG939" s="12"/>
      <c r="AH939" s="12"/>
      <c r="AJ939"/>
      <c r="AK939"/>
    </row>
    <row r="940" spans="18:37" ht="14">
      <c r="R940" s="14">
        <v>91406</v>
      </c>
      <c r="S940" s="14" t="s">
        <v>1099</v>
      </c>
      <c r="T940" s="12" t="s">
        <v>145</v>
      </c>
      <c r="U940" s="15" t="str">
        <f t="shared" si="26"/>
        <v>GDU4DeliveryLeadership - SUP</v>
      </c>
      <c r="V940" s="12" t="s">
        <v>117</v>
      </c>
      <c r="W940" s="12" t="s">
        <v>117</v>
      </c>
      <c r="X940" s="12" t="s">
        <v>117</v>
      </c>
      <c r="Y940" s="12" t="s">
        <v>1038</v>
      </c>
      <c r="AA940" s="12"/>
      <c r="AB940" s="33"/>
      <c r="AC940" s="34"/>
      <c r="AD940" s="15"/>
      <c r="AE940" s="14"/>
      <c r="AF940" s="12"/>
      <c r="AG940" s="12"/>
      <c r="AH940" s="12"/>
      <c r="AJ940"/>
      <c r="AK940"/>
    </row>
    <row r="941" spans="18:37" ht="14">
      <c r="R941" s="14">
        <v>12500</v>
      </c>
      <c r="S941" s="14" t="s">
        <v>534</v>
      </c>
      <c r="T941" s="12" t="s">
        <v>193</v>
      </c>
      <c r="U941" s="15" t="str">
        <f t="shared" si="26"/>
        <v>GE HC - FY22 Opportunities - DEV</v>
      </c>
      <c r="V941" s="12" t="s">
        <v>117</v>
      </c>
      <c r="W941" s="12" t="s">
        <v>117</v>
      </c>
      <c r="X941" s="12" t="s">
        <v>117</v>
      </c>
      <c r="Y941" s="12" t="s">
        <v>1038</v>
      </c>
      <c r="AA941" s="12"/>
      <c r="AB941" s="33"/>
      <c r="AC941" s="34"/>
      <c r="AD941" s="15"/>
      <c r="AE941" s="14"/>
      <c r="AF941" s="12"/>
      <c r="AG941" s="12"/>
      <c r="AH941" s="12"/>
      <c r="AJ941"/>
      <c r="AK941"/>
    </row>
    <row r="942" spans="18:37" ht="14">
      <c r="R942" s="14">
        <v>12500</v>
      </c>
      <c r="S942" s="14" t="s">
        <v>534</v>
      </c>
      <c r="T942" s="12" t="s">
        <v>116</v>
      </c>
      <c r="U942" s="15" t="str">
        <f t="shared" si="26"/>
        <v>GE HC - FY22 Opportunities - PRD</v>
      </c>
      <c r="V942" s="12" t="s">
        <v>117</v>
      </c>
      <c r="W942" s="12" t="s">
        <v>117</v>
      </c>
      <c r="X942" s="12" t="s">
        <v>117</v>
      </c>
      <c r="Y942" s="12" t="s">
        <v>1038</v>
      </c>
      <c r="AA942" s="12"/>
      <c r="AB942" s="33"/>
      <c r="AC942" s="34"/>
      <c r="AD942" s="15"/>
      <c r="AE942" s="14"/>
      <c r="AF942" s="12"/>
      <c r="AG942" s="12"/>
      <c r="AH942" s="12"/>
      <c r="AJ942"/>
      <c r="AK942"/>
    </row>
    <row r="943" spans="18:37" ht="14">
      <c r="R943" s="14">
        <v>12489</v>
      </c>
      <c r="S943" s="14" t="s">
        <v>536</v>
      </c>
      <c r="T943" s="12" t="s">
        <v>116</v>
      </c>
      <c r="U943" s="15" t="str">
        <f t="shared" si="26"/>
        <v>GE HC - IND Delivery - PRD</v>
      </c>
      <c r="V943" s="12" t="s">
        <v>117</v>
      </c>
      <c r="W943" s="12" t="s">
        <v>117</v>
      </c>
      <c r="X943" s="12" t="s">
        <v>117</v>
      </c>
      <c r="Y943" s="12" t="s">
        <v>1038</v>
      </c>
      <c r="AA943" s="12"/>
      <c r="AB943" s="33"/>
      <c r="AC943" s="34"/>
      <c r="AD943" s="15"/>
      <c r="AE943" s="14"/>
      <c r="AF943" s="12"/>
      <c r="AG943" s="12"/>
      <c r="AH943" s="12"/>
      <c r="AJ943"/>
      <c r="AK943"/>
    </row>
    <row r="944" spans="18:37" ht="14">
      <c r="R944" s="14">
        <v>12489</v>
      </c>
      <c r="S944" s="14" t="s">
        <v>536</v>
      </c>
      <c r="T944" s="12" t="s">
        <v>145</v>
      </c>
      <c r="U944" s="15" t="str">
        <f t="shared" si="26"/>
        <v>GE HC - IND Delivery - SUP</v>
      </c>
      <c r="V944" s="12" t="s">
        <v>117</v>
      </c>
      <c r="W944" s="12" t="s">
        <v>117</v>
      </c>
      <c r="X944" s="12" t="s">
        <v>117</v>
      </c>
      <c r="Y944" s="12" t="s">
        <v>1038</v>
      </c>
      <c r="AA944" s="12"/>
      <c r="AB944" s="33"/>
      <c r="AC944" s="34"/>
      <c r="AD944" s="15"/>
      <c r="AE944" s="14"/>
      <c r="AF944" s="12"/>
      <c r="AG944" s="12"/>
      <c r="AH944" s="12"/>
      <c r="AJ944"/>
      <c r="AK944"/>
    </row>
    <row r="945" spans="18:37" ht="14">
      <c r="R945" s="14">
        <v>12638</v>
      </c>
      <c r="S945" s="14" t="s">
        <v>611</v>
      </c>
      <c r="T945" s="12" t="s">
        <v>116</v>
      </c>
      <c r="U945" s="15" t="str">
        <f t="shared" si="26"/>
        <v>GE HC - Interfusion - PRD</v>
      </c>
      <c r="V945" s="12" t="s">
        <v>117</v>
      </c>
      <c r="W945" s="12" t="s">
        <v>117</v>
      </c>
      <c r="X945" s="12" t="s">
        <v>117</v>
      </c>
      <c r="Y945" s="12" t="s">
        <v>1038</v>
      </c>
      <c r="AA945" s="12"/>
      <c r="AB945" s="33"/>
      <c r="AC945" s="34"/>
      <c r="AD945" s="15"/>
      <c r="AE945" s="14"/>
      <c r="AF945" s="12"/>
      <c r="AG945" s="12"/>
      <c r="AH945" s="12"/>
      <c r="AJ945"/>
      <c r="AK945"/>
    </row>
    <row r="946" spans="18:37" ht="14">
      <c r="R946" s="14">
        <v>12328</v>
      </c>
      <c r="S946" s="14" t="s">
        <v>532</v>
      </c>
      <c r="T946" s="12" t="s">
        <v>193</v>
      </c>
      <c r="U946" s="15" t="str">
        <f t="shared" si="26"/>
        <v>GE HC APS Development - DEV</v>
      </c>
      <c r="V946" s="12" t="s">
        <v>117</v>
      </c>
      <c r="W946" s="12" t="s">
        <v>117</v>
      </c>
      <c r="X946" s="12" t="s">
        <v>117</v>
      </c>
      <c r="Y946" s="12" t="s">
        <v>1038</v>
      </c>
      <c r="AA946" s="12"/>
      <c r="AB946" s="33"/>
      <c r="AC946" s="34"/>
      <c r="AD946" s="15"/>
      <c r="AE946" s="14"/>
      <c r="AF946" s="12"/>
      <c r="AG946" s="12"/>
      <c r="AH946" s="12"/>
      <c r="AJ946"/>
      <c r="AK946"/>
    </row>
    <row r="947" spans="18:37" ht="14">
      <c r="R947" s="14">
        <v>12328</v>
      </c>
      <c r="S947" s="14" t="s">
        <v>532</v>
      </c>
      <c r="T947" s="12" t="s">
        <v>116</v>
      </c>
      <c r="U947" s="15" t="str">
        <f t="shared" si="26"/>
        <v>GE HC APS Development - PRD</v>
      </c>
      <c r="V947" s="12" t="s">
        <v>117</v>
      </c>
      <c r="W947" s="12" t="s">
        <v>117</v>
      </c>
      <c r="X947" s="12" t="s">
        <v>117</v>
      </c>
      <c r="Y947" s="12" t="s">
        <v>1038</v>
      </c>
      <c r="AA947" s="12"/>
      <c r="AB947" s="33"/>
      <c r="AC947" s="34"/>
      <c r="AD947" s="15"/>
      <c r="AE947" s="14"/>
      <c r="AF947" s="12"/>
      <c r="AG947" s="12"/>
      <c r="AH947" s="12"/>
      <c r="AJ947"/>
      <c r="AK947"/>
    </row>
    <row r="948" spans="18:37" ht="14">
      <c r="R948" s="14">
        <v>12328</v>
      </c>
      <c r="S948" s="14" t="s">
        <v>532</v>
      </c>
      <c r="T948" s="12" t="s">
        <v>145</v>
      </c>
      <c r="U948" s="15" t="str">
        <f t="shared" si="26"/>
        <v>GE HC APS Development - SUP</v>
      </c>
      <c r="V948" s="12" t="s">
        <v>117</v>
      </c>
      <c r="W948" s="12" t="s">
        <v>117</v>
      </c>
      <c r="X948" s="12" t="s">
        <v>117</v>
      </c>
      <c r="Y948" s="12" t="s">
        <v>1038</v>
      </c>
      <c r="AA948" s="12"/>
      <c r="AB948" s="33"/>
      <c r="AC948" s="34"/>
      <c r="AD948" s="15"/>
      <c r="AE948" s="14"/>
      <c r="AF948" s="12"/>
      <c r="AG948" s="12"/>
      <c r="AH948" s="12"/>
      <c r="AJ948"/>
      <c r="AK948"/>
    </row>
    <row r="949" spans="18:37" ht="14">
      <c r="R949" s="14">
        <v>12558</v>
      </c>
      <c r="S949" s="14" t="s">
        <v>586</v>
      </c>
      <c r="T949" s="12" t="s">
        <v>116</v>
      </c>
      <c r="U949" s="15" t="str">
        <f t="shared" si="26"/>
        <v>GE HC-FY23 Growth Opportunity - PRD</v>
      </c>
      <c r="V949" s="12" t="s">
        <v>117</v>
      </c>
      <c r="W949" s="12" t="s">
        <v>117</v>
      </c>
      <c r="X949" s="12" t="s">
        <v>117</v>
      </c>
      <c r="Y949" s="12" t="s">
        <v>1038</v>
      </c>
      <c r="AA949" s="12"/>
      <c r="AB949" s="33"/>
      <c r="AC949" s="34"/>
      <c r="AD949" s="15"/>
      <c r="AE949" s="14"/>
      <c r="AF949" s="12"/>
      <c r="AG949" s="12"/>
      <c r="AH949" s="12"/>
      <c r="AJ949"/>
      <c r="AK949"/>
    </row>
    <row r="950" spans="18:37" ht="14">
      <c r="R950" s="14">
        <v>12622</v>
      </c>
      <c r="S950" s="14" t="s">
        <v>604</v>
      </c>
      <c r="T950" s="12" t="s">
        <v>193</v>
      </c>
      <c r="U950" s="15" t="str">
        <f t="shared" si="26"/>
        <v>GE HC-FY24 Growth Opportunity - DEV</v>
      </c>
      <c r="V950" s="12" t="s">
        <v>117</v>
      </c>
      <c r="W950" s="12" t="s">
        <v>117</v>
      </c>
      <c r="X950" s="12" t="s">
        <v>117</v>
      </c>
      <c r="Y950" s="12" t="s">
        <v>1038</v>
      </c>
      <c r="AA950" s="12"/>
      <c r="AB950" s="33"/>
      <c r="AC950" s="34"/>
      <c r="AD950" s="15"/>
      <c r="AE950" s="14"/>
      <c r="AF950" s="12"/>
      <c r="AG950" s="12"/>
      <c r="AH950" s="12"/>
      <c r="AJ950"/>
      <c r="AK950"/>
    </row>
    <row r="951" spans="18:37" ht="14">
      <c r="R951" s="14">
        <v>12079</v>
      </c>
      <c r="S951" s="14" t="s">
        <v>507</v>
      </c>
      <c r="T951" s="12" t="s">
        <v>542</v>
      </c>
      <c r="U951" s="15" t="str">
        <f t="shared" si="26"/>
        <v>GEHC-IT Product Support - ADV</v>
      </c>
      <c r="V951" s="12" t="s">
        <v>117</v>
      </c>
      <c r="W951" s="12" t="s">
        <v>117</v>
      </c>
      <c r="X951" s="12" t="s">
        <v>117</v>
      </c>
      <c r="Y951" s="12" t="s">
        <v>1038</v>
      </c>
      <c r="AA951" s="12"/>
      <c r="AB951" s="33"/>
      <c r="AC951" s="34"/>
      <c r="AD951" s="15"/>
      <c r="AE951" s="14"/>
      <c r="AF951" s="12"/>
      <c r="AG951" s="12"/>
      <c r="AH951" s="12"/>
      <c r="AJ951"/>
      <c r="AK951"/>
    </row>
    <row r="952" spans="18:37" ht="14">
      <c r="R952" s="14">
        <v>12079</v>
      </c>
      <c r="S952" s="14" t="s">
        <v>507</v>
      </c>
      <c r="T952" s="12" t="s">
        <v>193</v>
      </c>
      <c r="U952" s="15" t="str">
        <f t="shared" si="26"/>
        <v>GEHC-IT Product Support - DEV</v>
      </c>
      <c r="V952" s="12" t="s">
        <v>117</v>
      </c>
      <c r="W952" s="12" t="s">
        <v>117</v>
      </c>
      <c r="X952" s="12" t="s">
        <v>117</v>
      </c>
      <c r="Y952" s="12" t="s">
        <v>1038</v>
      </c>
      <c r="AA952" s="12"/>
      <c r="AB952" s="33"/>
      <c r="AC952" s="34"/>
      <c r="AD952" s="15"/>
      <c r="AE952" s="14"/>
      <c r="AF952" s="12"/>
      <c r="AG952" s="12"/>
      <c r="AH952" s="12"/>
      <c r="AJ952"/>
      <c r="AK952"/>
    </row>
    <row r="953" spans="18:37" ht="14">
      <c r="R953" s="14">
        <v>12079</v>
      </c>
      <c r="S953" s="14" t="s">
        <v>507</v>
      </c>
      <c r="T953" s="12" t="s">
        <v>250</v>
      </c>
      <c r="U953" s="15" t="str">
        <f t="shared" si="26"/>
        <v>GEHC-IT Product Support - LED</v>
      </c>
      <c r="V953" s="12" t="s">
        <v>117</v>
      </c>
      <c r="W953" s="12" t="s">
        <v>117</v>
      </c>
      <c r="X953" s="12" t="s">
        <v>117</v>
      </c>
      <c r="Y953" s="12" t="s">
        <v>1038</v>
      </c>
      <c r="AA953" s="12"/>
      <c r="AB953" s="33"/>
      <c r="AC953" s="34"/>
      <c r="AD953" s="15"/>
      <c r="AE953" s="14"/>
      <c r="AF953" s="12"/>
      <c r="AG953" s="12"/>
      <c r="AH953" s="12"/>
      <c r="AJ953"/>
      <c r="AK953"/>
    </row>
    <row r="954" spans="18:37" ht="14">
      <c r="R954" s="14">
        <v>12079</v>
      </c>
      <c r="S954" s="14" t="s">
        <v>507</v>
      </c>
      <c r="T954" s="12" t="s">
        <v>129</v>
      </c>
      <c r="U954" s="15" t="str">
        <f t="shared" si="26"/>
        <v>GEHC-IT Product Support - MGT</v>
      </c>
      <c r="V954" s="12" t="s">
        <v>117</v>
      </c>
      <c r="W954" s="12" t="s">
        <v>117</v>
      </c>
      <c r="X954" s="12" t="s">
        <v>117</v>
      </c>
      <c r="Y954" s="12" t="s">
        <v>1038</v>
      </c>
      <c r="AA954" s="12"/>
      <c r="AB954" s="33"/>
      <c r="AC954" s="34"/>
      <c r="AD954" s="15"/>
      <c r="AE954" s="14"/>
      <c r="AF954" s="12"/>
      <c r="AG954" s="12"/>
      <c r="AH954" s="12"/>
      <c r="AJ954"/>
      <c r="AK954"/>
    </row>
    <row r="955" spans="18:37" ht="14">
      <c r="R955" s="14">
        <v>12079</v>
      </c>
      <c r="S955" s="14" t="s">
        <v>507</v>
      </c>
      <c r="T955" s="12" t="s">
        <v>547</v>
      </c>
      <c r="U955" s="15" t="str">
        <f t="shared" si="26"/>
        <v>GEHC-IT Product Support - PHR</v>
      </c>
      <c r="V955" s="12" t="s">
        <v>117</v>
      </c>
      <c r="W955" s="12" t="s">
        <v>117</v>
      </c>
      <c r="X955" s="12" t="s">
        <v>117</v>
      </c>
      <c r="Y955" s="12" t="s">
        <v>1038</v>
      </c>
      <c r="AA955" s="12"/>
      <c r="AB955" s="33"/>
      <c r="AC955" s="34"/>
      <c r="AD955" s="15"/>
      <c r="AE955" s="14"/>
      <c r="AF955" s="12"/>
      <c r="AG955" s="12"/>
      <c r="AH955" s="12"/>
      <c r="AJ955"/>
      <c r="AK955"/>
    </row>
    <row r="956" spans="18:37" ht="14">
      <c r="R956" s="14">
        <v>12079</v>
      </c>
      <c r="S956" s="14" t="s">
        <v>507</v>
      </c>
      <c r="T956" s="12" t="s">
        <v>116</v>
      </c>
      <c r="U956" s="15" t="str">
        <f t="shared" si="26"/>
        <v>GEHC-IT Product Support - PRD</v>
      </c>
      <c r="V956" s="12" t="s">
        <v>117</v>
      </c>
      <c r="W956" s="12" t="s">
        <v>117</v>
      </c>
      <c r="X956" s="12" t="s">
        <v>117</v>
      </c>
      <c r="Y956" s="12" t="s">
        <v>1038</v>
      </c>
      <c r="AA956" s="12"/>
      <c r="AB956" s="33"/>
      <c r="AC956" s="34"/>
      <c r="AD956" s="15"/>
      <c r="AE956" s="14"/>
      <c r="AF956" s="12"/>
      <c r="AG956" s="12"/>
      <c r="AH956" s="12"/>
      <c r="AJ956"/>
      <c r="AK956"/>
    </row>
    <row r="957" spans="18:37" ht="14">
      <c r="R957" s="14">
        <v>12079</v>
      </c>
      <c r="S957" s="14" t="s">
        <v>507</v>
      </c>
      <c r="T957" s="12" t="s">
        <v>172</v>
      </c>
      <c r="U957" s="15" t="str">
        <f t="shared" si="26"/>
        <v>GEHC-IT Product Support - SME</v>
      </c>
      <c r="V957" s="12" t="s">
        <v>117</v>
      </c>
      <c r="W957" s="12" t="s">
        <v>117</v>
      </c>
      <c r="X957" s="12" t="s">
        <v>117</v>
      </c>
      <c r="Y957" s="12" t="s">
        <v>1038</v>
      </c>
      <c r="AA957" s="12"/>
      <c r="AB957" s="33"/>
      <c r="AC957" s="34"/>
      <c r="AD957" s="15"/>
      <c r="AE957" s="14"/>
      <c r="AF957" s="12"/>
      <c r="AG957" s="12"/>
      <c r="AH957" s="12"/>
      <c r="AJ957"/>
      <c r="AK957"/>
    </row>
    <row r="958" spans="18:37" ht="14">
      <c r="R958" s="14">
        <v>12079</v>
      </c>
      <c r="S958" s="14" t="s">
        <v>507</v>
      </c>
      <c r="T958" s="12" t="s">
        <v>145</v>
      </c>
      <c r="U958" s="15" t="str">
        <f t="shared" si="26"/>
        <v>GEHC-IT Product Support - SUP</v>
      </c>
      <c r="V958" s="12" t="s">
        <v>117</v>
      </c>
      <c r="W958" s="12" t="s">
        <v>117</v>
      </c>
      <c r="X958" s="12" t="s">
        <v>117</v>
      </c>
      <c r="Y958" s="12" t="s">
        <v>1038</v>
      </c>
      <c r="AA958" s="12"/>
      <c r="AB958" s="33"/>
      <c r="AC958" s="34"/>
      <c r="AD958" s="15"/>
      <c r="AE958" s="14"/>
      <c r="AF958" s="12"/>
      <c r="AG958" s="12"/>
      <c r="AH958" s="12"/>
      <c r="AJ958"/>
      <c r="AK958"/>
    </row>
    <row r="959" spans="18:37" ht="14">
      <c r="R959" s="14">
        <v>96742</v>
      </c>
      <c r="S959" s="14" t="s">
        <v>549</v>
      </c>
      <c r="T959" s="12" t="s">
        <v>129</v>
      </c>
      <c r="U959" s="15" t="str">
        <f t="shared" si="26"/>
        <v>Geo Business Finance - MGT</v>
      </c>
      <c r="V959" s="12" t="s">
        <v>104</v>
      </c>
      <c r="W959" s="12" t="s">
        <v>122</v>
      </c>
      <c r="X959" s="12" t="s">
        <v>114</v>
      </c>
      <c r="Y959" s="12" t="s">
        <v>1038</v>
      </c>
      <c r="AA959" s="12"/>
      <c r="AB959" s="33"/>
      <c r="AC959" s="34"/>
      <c r="AD959" s="15"/>
      <c r="AE959" s="14"/>
      <c r="AF959" s="12"/>
      <c r="AG959" s="12"/>
      <c r="AH959" s="12"/>
      <c r="AJ959"/>
      <c r="AK959"/>
    </row>
    <row r="960" spans="18:37" ht="14">
      <c r="R960" s="14">
        <v>96742</v>
      </c>
      <c r="S960" s="14" t="s">
        <v>549</v>
      </c>
      <c r="T960" s="12" t="s">
        <v>139</v>
      </c>
      <c r="U960" s="15" t="str">
        <f t="shared" si="26"/>
        <v>Geo Business Finance - SMGT</v>
      </c>
      <c r="V960" s="12" t="s">
        <v>104</v>
      </c>
      <c r="W960" s="12" t="s">
        <v>122</v>
      </c>
      <c r="X960" s="12" t="s">
        <v>114</v>
      </c>
      <c r="Y960" s="12" t="s">
        <v>1038</v>
      </c>
      <c r="AA960" s="12"/>
      <c r="AB960" s="33"/>
      <c r="AC960" s="34"/>
      <c r="AD960" s="15"/>
      <c r="AE960" s="14"/>
      <c r="AF960" s="12"/>
      <c r="AG960" s="12"/>
      <c r="AH960" s="12"/>
      <c r="AJ960"/>
      <c r="AK960"/>
    </row>
    <row r="961" spans="18:37" ht="14">
      <c r="R961" s="14">
        <v>96742</v>
      </c>
      <c r="S961" s="14" t="s">
        <v>549</v>
      </c>
      <c r="T961" s="12" t="s">
        <v>145</v>
      </c>
      <c r="U961" s="15" t="str">
        <f t="shared" si="26"/>
        <v>Geo Business Finance - SUP</v>
      </c>
      <c r="V961" s="12" t="s">
        <v>104</v>
      </c>
      <c r="W961" s="12" t="s">
        <v>122</v>
      </c>
      <c r="X961" s="12" t="s">
        <v>114</v>
      </c>
      <c r="Y961" s="12" t="s">
        <v>1038</v>
      </c>
      <c r="AA961" s="12"/>
      <c r="AB961" s="33"/>
      <c r="AC961" s="34"/>
      <c r="AD961" s="15"/>
      <c r="AE961" s="14"/>
      <c r="AF961" s="12"/>
      <c r="AG961" s="12"/>
      <c r="AH961" s="12"/>
      <c r="AJ961"/>
      <c r="AK961"/>
    </row>
    <row r="962" spans="18:37" ht="14">
      <c r="R962" s="14">
        <v>96207</v>
      </c>
      <c r="S962" s="14" t="s">
        <v>553</v>
      </c>
      <c r="T962" s="12" t="s">
        <v>121</v>
      </c>
      <c r="U962" s="15" t="str">
        <f t="shared" si="26"/>
        <v>GFSS-Attendance _ Payroll Supp - F&amp;A</v>
      </c>
      <c r="V962" s="12" t="s">
        <v>104</v>
      </c>
      <c r="W962" s="12" t="s">
        <v>554</v>
      </c>
      <c r="X962" s="12" t="s">
        <v>114</v>
      </c>
      <c r="Y962" s="12" t="s">
        <v>1038</v>
      </c>
      <c r="AA962" s="12"/>
      <c r="AB962" s="33"/>
      <c r="AC962" s="34"/>
      <c r="AD962" s="15"/>
      <c r="AE962" s="14"/>
      <c r="AF962" s="12"/>
      <c r="AG962" s="12"/>
      <c r="AH962" s="12"/>
      <c r="AJ962"/>
      <c r="AK962"/>
    </row>
    <row r="963" spans="18:37" ht="14">
      <c r="R963" s="14">
        <v>96207</v>
      </c>
      <c r="S963" s="14" t="s">
        <v>553</v>
      </c>
      <c r="T963" s="12" t="s">
        <v>556</v>
      </c>
      <c r="U963" s="15" t="str">
        <f t="shared" ref="U963:U1026" si="27">S963&amp;" - "&amp;T963</f>
        <v>GFSS-Attendance _ Payroll Supp - HRD</v>
      </c>
      <c r="V963" s="12" t="s">
        <v>104</v>
      </c>
      <c r="W963" s="12" t="s">
        <v>554</v>
      </c>
      <c r="X963" s="12" t="s">
        <v>114</v>
      </c>
      <c r="Y963" s="12" t="s">
        <v>1038</v>
      </c>
      <c r="AA963" s="12"/>
      <c r="AB963" s="33"/>
      <c r="AC963" s="34"/>
      <c r="AD963" s="15"/>
      <c r="AE963" s="14"/>
      <c r="AF963" s="12"/>
      <c r="AG963" s="12"/>
      <c r="AH963" s="12"/>
      <c r="AJ963"/>
      <c r="AK963"/>
    </row>
    <row r="964" spans="18:37" ht="14">
      <c r="R964" s="14">
        <v>96207</v>
      </c>
      <c r="S964" s="14" t="s">
        <v>553</v>
      </c>
      <c r="T964" s="12" t="s">
        <v>145</v>
      </c>
      <c r="U964" s="15" t="str">
        <f t="shared" si="27"/>
        <v>GFSS-Attendance _ Payroll Supp - SUP</v>
      </c>
      <c r="V964" s="12" t="s">
        <v>104</v>
      </c>
      <c r="W964" s="12" t="s">
        <v>554</v>
      </c>
      <c r="X964" s="12" t="s">
        <v>114</v>
      </c>
      <c r="Y964" s="12" t="s">
        <v>1038</v>
      </c>
      <c r="AA964" s="12"/>
      <c r="AB964" s="33"/>
      <c r="AC964" s="34"/>
      <c r="AD964" s="15"/>
      <c r="AE964" s="14"/>
      <c r="AF964" s="12"/>
      <c r="AG964" s="12"/>
      <c r="AH964" s="12"/>
      <c r="AJ964"/>
      <c r="AK964"/>
    </row>
    <row r="965" spans="18:37" ht="14">
      <c r="R965" s="14">
        <v>10738</v>
      </c>
      <c r="S965" s="14" t="s">
        <v>353</v>
      </c>
      <c r="T965" s="12" t="s">
        <v>150</v>
      </c>
      <c r="U965" s="15" t="str">
        <f t="shared" si="27"/>
        <v>GHW WFM - CCS</v>
      </c>
      <c r="V965" s="12" t="s">
        <v>112</v>
      </c>
      <c r="W965" s="12" t="s">
        <v>867</v>
      </c>
      <c r="X965" s="12" t="s">
        <v>114</v>
      </c>
      <c r="Y965" s="12" t="s">
        <v>1038</v>
      </c>
      <c r="AA965" s="12"/>
      <c r="AB965" s="33"/>
      <c r="AC965" s="34"/>
      <c r="AD965" s="15"/>
      <c r="AE965" s="14"/>
      <c r="AF965" s="12"/>
      <c r="AG965" s="12"/>
      <c r="AH965" s="12"/>
      <c r="AJ965"/>
      <c r="AK965"/>
    </row>
    <row r="966" spans="18:37" ht="14">
      <c r="R966" s="14">
        <v>10738</v>
      </c>
      <c r="S966" s="14" t="s">
        <v>353</v>
      </c>
      <c r="T966" s="12" t="s">
        <v>171</v>
      </c>
      <c r="U966" s="15" t="str">
        <f t="shared" si="27"/>
        <v>GHW WFM - ETE</v>
      </c>
      <c r="V966" s="12" t="s">
        <v>112</v>
      </c>
      <c r="W966" s="12" t="s">
        <v>867</v>
      </c>
      <c r="X966" s="12" t="s">
        <v>114</v>
      </c>
      <c r="Y966" s="12" t="s">
        <v>1038</v>
      </c>
      <c r="AA966" s="12"/>
      <c r="AB966" s="33"/>
      <c r="AC966" s="34"/>
      <c r="AD966" s="15"/>
      <c r="AE966" s="14"/>
      <c r="AF966" s="12"/>
      <c r="AG966" s="12"/>
      <c r="AH966" s="12"/>
      <c r="AJ966"/>
      <c r="AK966"/>
    </row>
    <row r="967" spans="18:37" ht="14">
      <c r="R967" s="14">
        <v>10738</v>
      </c>
      <c r="S967" s="14" t="s">
        <v>353</v>
      </c>
      <c r="T967" s="12" t="s">
        <v>177</v>
      </c>
      <c r="U967" s="15" t="str">
        <f t="shared" si="27"/>
        <v>GHW WFM - OPS</v>
      </c>
      <c r="V967" s="12" t="s">
        <v>112</v>
      </c>
      <c r="W967" s="12" t="s">
        <v>867</v>
      </c>
      <c r="X967" s="12" t="s">
        <v>114</v>
      </c>
      <c r="Y967" s="12" t="s">
        <v>1038</v>
      </c>
      <c r="AA967" s="12"/>
      <c r="AB967" s="33"/>
      <c r="AC967" s="34"/>
      <c r="AD967" s="15"/>
      <c r="AE967" s="14"/>
      <c r="AF967" s="12"/>
      <c r="AG967" s="12"/>
      <c r="AH967" s="12"/>
      <c r="AJ967"/>
      <c r="AK967"/>
    </row>
    <row r="968" spans="18:37" ht="14">
      <c r="R968" s="14">
        <v>10738</v>
      </c>
      <c r="S968" s="14" t="s">
        <v>353</v>
      </c>
      <c r="T968" s="12" t="s">
        <v>872</v>
      </c>
      <c r="U968" s="15" t="str">
        <f t="shared" si="27"/>
        <v>GHW WFM - RTA</v>
      </c>
      <c r="V968" s="12" t="s">
        <v>112</v>
      </c>
      <c r="W968" s="12" t="s">
        <v>867</v>
      </c>
      <c r="X968" s="12" t="s">
        <v>114</v>
      </c>
      <c r="Y968" s="12" t="s">
        <v>1038</v>
      </c>
      <c r="AA968" s="12"/>
      <c r="AB968" s="33"/>
      <c r="AC968" s="34"/>
      <c r="AD968" s="15"/>
      <c r="AE968" s="14"/>
      <c r="AF968" s="12"/>
      <c r="AG968" s="12"/>
      <c r="AH968" s="12"/>
      <c r="AJ968"/>
      <c r="AK968"/>
    </row>
    <row r="969" spans="18:37" ht="14">
      <c r="R969" s="14">
        <v>10738</v>
      </c>
      <c r="S969" s="14" t="s">
        <v>353</v>
      </c>
      <c r="T969" s="12" t="s">
        <v>145</v>
      </c>
      <c r="U969" s="15" t="str">
        <f t="shared" si="27"/>
        <v>GHW WFM - SUP</v>
      </c>
      <c r="V969" s="12" t="s">
        <v>112</v>
      </c>
      <c r="W969" s="12" t="s">
        <v>867</v>
      </c>
      <c r="X969" s="12" t="s">
        <v>114</v>
      </c>
      <c r="Y969" s="12" t="s">
        <v>1038</v>
      </c>
      <c r="AA969" s="12"/>
      <c r="AB969" s="33"/>
      <c r="AC969" s="34"/>
      <c r="AD969" s="15"/>
      <c r="AE969" s="14"/>
      <c r="AF969" s="12"/>
      <c r="AG969" s="12"/>
      <c r="AH969" s="12"/>
      <c r="AJ969"/>
      <c r="AK969"/>
    </row>
    <row r="970" spans="18:37" ht="14">
      <c r="R970" s="14">
        <v>10738</v>
      </c>
      <c r="S970" s="14" t="s">
        <v>353</v>
      </c>
      <c r="T970" s="12" t="s">
        <v>876</v>
      </c>
      <c r="U970" s="15" t="str">
        <f t="shared" si="27"/>
        <v>GHW WFM - WFM</v>
      </c>
      <c r="V970" s="12" t="s">
        <v>112</v>
      </c>
      <c r="W970" s="12" t="s">
        <v>867</v>
      </c>
      <c r="X970" s="12" t="s">
        <v>114</v>
      </c>
      <c r="Y970" s="12" t="s">
        <v>1038</v>
      </c>
      <c r="AA970" s="12"/>
      <c r="AB970" s="33"/>
      <c r="AC970" s="34"/>
      <c r="AD970" s="15"/>
      <c r="AE970" s="14"/>
      <c r="AF970" s="12"/>
      <c r="AG970" s="12"/>
      <c r="AH970" s="12"/>
      <c r="AJ970"/>
      <c r="AK970"/>
    </row>
    <row r="971" spans="18:37" ht="14">
      <c r="R971" s="14">
        <v>51139</v>
      </c>
      <c r="S971" s="14" t="s">
        <v>711</v>
      </c>
      <c r="T971" s="12" t="s">
        <v>116</v>
      </c>
      <c r="U971" s="15" t="str">
        <f t="shared" si="27"/>
        <v>Glatfelter-ABAP-TOD - PRD</v>
      </c>
      <c r="V971" s="12" t="s">
        <v>117</v>
      </c>
      <c r="W971" s="12" t="s">
        <v>117</v>
      </c>
      <c r="X971" s="12" t="s">
        <v>117</v>
      </c>
      <c r="Y971" s="12" t="s">
        <v>1038</v>
      </c>
      <c r="AA971" s="12"/>
      <c r="AB971" s="33"/>
      <c r="AC971" s="34"/>
      <c r="AD971" s="15"/>
      <c r="AE971" s="14"/>
      <c r="AF971" s="12"/>
      <c r="AG971" s="12"/>
      <c r="AH971" s="12"/>
      <c r="AJ971"/>
      <c r="AK971"/>
    </row>
    <row r="972" spans="18:37" ht="14">
      <c r="R972" s="14">
        <v>96725</v>
      </c>
      <c r="S972" s="14" t="s">
        <v>558</v>
      </c>
      <c r="T972" s="12" t="s">
        <v>121</v>
      </c>
      <c r="U972" s="15" t="str">
        <f t="shared" si="27"/>
        <v>Global Business Controller's - F&amp;A</v>
      </c>
      <c r="V972" s="12" t="s">
        <v>104</v>
      </c>
      <c r="W972" s="12" t="s">
        <v>122</v>
      </c>
      <c r="X972" s="12" t="s">
        <v>114</v>
      </c>
      <c r="Y972" s="12" t="s">
        <v>1038</v>
      </c>
      <c r="AA972" s="12"/>
      <c r="AB972" s="33"/>
      <c r="AC972" s="34"/>
      <c r="AD972" s="15"/>
      <c r="AE972" s="14"/>
      <c r="AF972" s="12"/>
      <c r="AG972" s="12"/>
      <c r="AH972" s="12"/>
      <c r="AJ972"/>
      <c r="AK972"/>
    </row>
    <row r="973" spans="18:37" ht="14">
      <c r="R973" s="14">
        <v>96725</v>
      </c>
      <c r="S973" s="14" t="s">
        <v>558</v>
      </c>
      <c r="T973" s="12" t="s">
        <v>129</v>
      </c>
      <c r="U973" s="15" t="str">
        <f t="shared" si="27"/>
        <v>Global Business Controller's - MGT</v>
      </c>
      <c r="V973" s="12" t="s">
        <v>104</v>
      </c>
      <c r="W973" s="12" t="s">
        <v>122</v>
      </c>
      <c r="X973" s="12" t="s">
        <v>114</v>
      </c>
      <c r="Y973" s="12" t="s">
        <v>1038</v>
      </c>
      <c r="AA973" s="12"/>
      <c r="AB973" s="33"/>
      <c r="AC973" s="34"/>
      <c r="AD973" s="15"/>
      <c r="AE973" s="14"/>
      <c r="AF973" s="12"/>
      <c r="AG973" s="12"/>
      <c r="AH973" s="12"/>
      <c r="AJ973"/>
      <c r="AK973"/>
    </row>
    <row r="974" spans="18:37" ht="14">
      <c r="R974" s="14">
        <v>96725</v>
      </c>
      <c r="S974" s="14" t="s">
        <v>558</v>
      </c>
      <c r="T974" s="12" t="s">
        <v>139</v>
      </c>
      <c r="U974" s="15" t="str">
        <f t="shared" si="27"/>
        <v>Global Business Controller's - SMGT</v>
      </c>
      <c r="V974" s="12" t="s">
        <v>104</v>
      </c>
      <c r="W974" s="12" t="s">
        <v>122</v>
      </c>
      <c r="X974" s="12" t="s">
        <v>114</v>
      </c>
      <c r="Y974" s="12" t="s">
        <v>1038</v>
      </c>
      <c r="AA974" s="12"/>
      <c r="AB974" s="33"/>
      <c r="AC974" s="34"/>
      <c r="AD974" s="15"/>
      <c r="AE974" s="14"/>
      <c r="AF974" s="12"/>
      <c r="AG974" s="12"/>
      <c r="AH974" s="12"/>
      <c r="AJ974"/>
      <c r="AK974"/>
    </row>
    <row r="975" spans="18:37" ht="14">
      <c r="R975" s="14">
        <v>96725</v>
      </c>
      <c r="S975" s="14" t="s">
        <v>558</v>
      </c>
      <c r="T975" s="12" t="s">
        <v>145</v>
      </c>
      <c r="U975" s="15" t="str">
        <f t="shared" si="27"/>
        <v>Global Business Controller's - SUP</v>
      </c>
      <c r="V975" s="12" t="s">
        <v>104</v>
      </c>
      <c r="W975" s="12" t="s">
        <v>122</v>
      </c>
      <c r="X975" s="12" t="s">
        <v>114</v>
      </c>
      <c r="Y975" s="12" t="s">
        <v>1038</v>
      </c>
      <c r="AA975" s="12"/>
      <c r="AB975" s="33"/>
      <c r="AC975" s="34"/>
      <c r="AD975" s="15"/>
      <c r="AE975" s="14"/>
      <c r="AF975" s="12"/>
      <c r="AG975" s="12"/>
      <c r="AH975" s="12"/>
      <c r="AJ975"/>
      <c r="AK975"/>
    </row>
    <row r="976" spans="18:37" ht="14">
      <c r="R976" s="14">
        <v>95508</v>
      </c>
      <c r="S976" s="14" t="s">
        <v>1000</v>
      </c>
      <c r="T976" s="12" t="s">
        <v>145</v>
      </c>
      <c r="U976" s="15" t="str">
        <f t="shared" si="27"/>
        <v>Global Data Privacy - SUP</v>
      </c>
      <c r="V976" s="12" t="s">
        <v>104</v>
      </c>
      <c r="W976" s="12" t="s">
        <v>263</v>
      </c>
      <c r="X976" s="12" t="s">
        <v>264</v>
      </c>
      <c r="Y976" s="12" t="s">
        <v>1038</v>
      </c>
      <c r="AA976" s="12"/>
      <c r="AB976" s="33"/>
      <c r="AC976" s="34"/>
      <c r="AD976" s="15"/>
      <c r="AE976" s="14"/>
      <c r="AF976" s="12"/>
      <c r="AG976" s="12"/>
      <c r="AH976" s="12"/>
      <c r="AJ976"/>
      <c r="AK976"/>
    </row>
    <row r="977" spans="18:37" ht="14">
      <c r="R977" s="14">
        <v>96205</v>
      </c>
      <c r="S977" s="14" t="s">
        <v>561</v>
      </c>
      <c r="T977" s="12" t="s">
        <v>133</v>
      </c>
      <c r="U977" s="15" t="str">
        <f t="shared" si="27"/>
        <v>Global Finance Shared Services - AMG</v>
      </c>
      <c r="V977" s="12" t="s">
        <v>104</v>
      </c>
      <c r="W977" s="12" t="s">
        <v>122</v>
      </c>
      <c r="X977" s="12" t="s">
        <v>114</v>
      </c>
      <c r="Y977" s="12" t="s">
        <v>1038</v>
      </c>
      <c r="AA977" s="12"/>
      <c r="AB977" s="33"/>
      <c r="AC977" s="34"/>
      <c r="AD977" s="15"/>
      <c r="AE977" s="14"/>
      <c r="AF977" s="12"/>
      <c r="AG977" s="12"/>
      <c r="AH977" s="12"/>
      <c r="AJ977"/>
      <c r="AK977"/>
    </row>
    <row r="978" spans="18:37" ht="14">
      <c r="R978" s="14">
        <v>96205</v>
      </c>
      <c r="S978" s="14" t="s">
        <v>561</v>
      </c>
      <c r="T978" s="12" t="s">
        <v>150</v>
      </c>
      <c r="U978" s="15" t="str">
        <f t="shared" si="27"/>
        <v>Global Finance Shared Services - CCS</v>
      </c>
      <c r="V978" s="12" t="s">
        <v>104</v>
      </c>
      <c r="W978" s="12" t="s">
        <v>122</v>
      </c>
      <c r="X978" s="12" t="s">
        <v>114</v>
      </c>
      <c r="Y978" s="12" t="s">
        <v>1038</v>
      </c>
      <c r="AA978" s="12"/>
      <c r="AB978" s="33"/>
      <c r="AC978" s="34"/>
      <c r="AD978" s="15"/>
      <c r="AE978" s="14"/>
      <c r="AF978" s="12"/>
      <c r="AG978" s="12"/>
      <c r="AH978" s="12"/>
      <c r="AJ978"/>
      <c r="AK978"/>
    </row>
    <row r="979" spans="18:37" ht="14">
      <c r="R979" s="14">
        <v>96205</v>
      </c>
      <c r="S979" s="14" t="s">
        <v>561</v>
      </c>
      <c r="T979" s="12" t="s">
        <v>121</v>
      </c>
      <c r="U979" s="15" t="str">
        <f t="shared" si="27"/>
        <v>Global Finance Shared Services - F&amp;A</v>
      </c>
      <c r="V979" s="12" t="s">
        <v>104</v>
      </c>
      <c r="W979" s="12" t="s">
        <v>122</v>
      </c>
      <c r="X979" s="12" t="s">
        <v>114</v>
      </c>
      <c r="Y979" s="12" t="s">
        <v>1038</v>
      </c>
      <c r="AA979" s="12"/>
      <c r="AB979" s="33"/>
      <c r="AC979" s="34"/>
      <c r="AD979" s="15"/>
      <c r="AE979" s="14"/>
      <c r="AF979" s="12"/>
      <c r="AG979" s="12"/>
      <c r="AH979" s="12"/>
      <c r="AJ979"/>
      <c r="AK979"/>
    </row>
    <row r="980" spans="18:37" ht="14">
      <c r="R980" s="14">
        <v>96205</v>
      </c>
      <c r="S980" s="14" t="s">
        <v>561</v>
      </c>
      <c r="T980" s="12" t="s">
        <v>129</v>
      </c>
      <c r="U980" s="15" t="str">
        <f t="shared" si="27"/>
        <v>Global Finance Shared Services - MGT</v>
      </c>
      <c r="V980" s="12" t="s">
        <v>104</v>
      </c>
      <c r="W980" s="12" t="s">
        <v>122</v>
      </c>
      <c r="X980" s="12" t="s">
        <v>114</v>
      </c>
      <c r="Y980" s="12" t="s">
        <v>1038</v>
      </c>
      <c r="AA980" s="12"/>
      <c r="AB980" s="33"/>
      <c r="AC980" s="34"/>
      <c r="AD980" s="15"/>
      <c r="AE980" s="14"/>
      <c r="AF980" s="12"/>
      <c r="AG980" s="12"/>
      <c r="AH980" s="12"/>
      <c r="AJ980"/>
      <c r="AK980"/>
    </row>
    <row r="981" spans="18:37" ht="14">
      <c r="R981" s="14">
        <v>96205</v>
      </c>
      <c r="S981" s="14" t="s">
        <v>561</v>
      </c>
      <c r="T981" s="12" t="s">
        <v>139</v>
      </c>
      <c r="U981" s="15" t="str">
        <f t="shared" si="27"/>
        <v>Global Finance Shared Services - SMGT</v>
      </c>
      <c r="V981" s="12" t="s">
        <v>104</v>
      </c>
      <c r="W981" s="12" t="s">
        <v>122</v>
      </c>
      <c r="X981" s="12" t="s">
        <v>114</v>
      </c>
      <c r="Y981" s="12" t="s">
        <v>1038</v>
      </c>
      <c r="AA981" s="12"/>
      <c r="AB981" s="33"/>
      <c r="AC981" s="34"/>
      <c r="AD981" s="15"/>
      <c r="AE981" s="14"/>
      <c r="AF981" s="12"/>
      <c r="AG981" s="12"/>
      <c r="AH981" s="12"/>
      <c r="AJ981"/>
      <c r="AK981"/>
    </row>
    <row r="982" spans="18:37" ht="14">
      <c r="R982" s="14">
        <v>96205</v>
      </c>
      <c r="S982" s="14" t="s">
        <v>561</v>
      </c>
      <c r="T982" s="12" t="s">
        <v>145</v>
      </c>
      <c r="U982" s="15" t="str">
        <f t="shared" si="27"/>
        <v>Global Finance Shared Services - SUP</v>
      </c>
      <c r="V982" s="12" t="s">
        <v>104</v>
      </c>
      <c r="W982" s="12" t="s">
        <v>122</v>
      </c>
      <c r="X982" s="12" t="s">
        <v>114</v>
      </c>
      <c r="Y982" s="12" t="s">
        <v>1038</v>
      </c>
      <c r="AA982" s="12"/>
      <c r="AB982" s="33"/>
      <c r="AC982" s="34"/>
      <c r="AD982" s="15"/>
      <c r="AE982" s="14"/>
      <c r="AF982" s="12"/>
      <c r="AG982" s="12"/>
      <c r="AH982" s="12"/>
      <c r="AJ982"/>
      <c r="AK982"/>
    </row>
    <row r="983" spans="18:37" ht="14">
      <c r="R983" s="14">
        <v>96205</v>
      </c>
      <c r="S983" s="14" t="s">
        <v>561</v>
      </c>
      <c r="T983" s="12" t="s">
        <v>180</v>
      </c>
      <c r="U983" s="15" t="str">
        <f t="shared" si="27"/>
        <v>Global Finance Shared Services - TMG</v>
      </c>
      <c r="V983" s="12" t="s">
        <v>104</v>
      </c>
      <c r="W983" s="12" t="s">
        <v>122</v>
      </c>
      <c r="X983" s="12" t="s">
        <v>114</v>
      </c>
      <c r="Y983" s="12" t="s">
        <v>1038</v>
      </c>
      <c r="AA983" s="12"/>
      <c r="AB983" s="33"/>
      <c r="AC983" s="34"/>
      <c r="AD983" s="15"/>
      <c r="AE983" s="14"/>
      <c r="AF983" s="12"/>
      <c r="AG983" s="12"/>
      <c r="AH983" s="12"/>
      <c r="AJ983"/>
      <c r="AK983"/>
    </row>
    <row r="984" spans="18:37" ht="14">
      <c r="R984" s="14">
        <v>98001</v>
      </c>
      <c r="S984" s="14" t="s">
        <v>567</v>
      </c>
      <c r="T984" s="12" t="s">
        <v>352</v>
      </c>
      <c r="U984" s="15" t="str">
        <f t="shared" si="27"/>
        <v>Global Initiatives - EAT</v>
      </c>
      <c r="V984" s="12" t="s">
        <v>104</v>
      </c>
      <c r="W984" s="12" t="s">
        <v>405</v>
      </c>
      <c r="X984" s="12" t="s">
        <v>114</v>
      </c>
      <c r="Y984" s="12" t="s">
        <v>1038</v>
      </c>
      <c r="AA984" s="12"/>
      <c r="AB984" s="33"/>
      <c r="AC984" s="34"/>
      <c r="AD984" s="15"/>
      <c r="AE984" s="14"/>
      <c r="AF984" s="12"/>
      <c r="AG984" s="12"/>
      <c r="AH984" s="12"/>
      <c r="AJ984"/>
      <c r="AK984"/>
    </row>
    <row r="985" spans="18:37" ht="14">
      <c r="R985" s="14">
        <v>98001</v>
      </c>
      <c r="S985" s="14" t="s">
        <v>567</v>
      </c>
      <c r="T985" s="12" t="s">
        <v>569</v>
      </c>
      <c r="U985" s="15" t="str">
        <f t="shared" si="27"/>
        <v>Global Initiatives - GBS</v>
      </c>
      <c r="V985" s="12" t="s">
        <v>104</v>
      </c>
      <c r="W985" s="12" t="s">
        <v>405</v>
      </c>
      <c r="X985" s="12" t="s">
        <v>114</v>
      </c>
      <c r="Y985" s="12" t="s">
        <v>1038</v>
      </c>
      <c r="AA985" s="12"/>
      <c r="AB985" s="33"/>
      <c r="AC985" s="34"/>
      <c r="AD985" s="15"/>
      <c r="AE985" s="14"/>
      <c r="AF985" s="12"/>
      <c r="AG985" s="12"/>
      <c r="AH985" s="12"/>
      <c r="AJ985"/>
      <c r="AK985"/>
    </row>
    <row r="986" spans="18:37" ht="14">
      <c r="R986" s="14">
        <v>98001</v>
      </c>
      <c r="S986" s="14" t="s">
        <v>567</v>
      </c>
      <c r="T986" s="12" t="s">
        <v>177</v>
      </c>
      <c r="U986" s="15" t="str">
        <f t="shared" si="27"/>
        <v>Global Initiatives - OPS</v>
      </c>
      <c r="V986" s="12" t="s">
        <v>104</v>
      </c>
      <c r="W986" s="12" t="s">
        <v>405</v>
      </c>
      <c r="X986" s="12" t="s">
        <v>114</v>
      </c>
      <c r="Y986" s="12" t="s">
        <v>1038</v>
      </c>
      <c r="AA986" s="12"/>
      <c r="AB986" s="33"/>
      <c r="AC986" s="34"/>
      <c r="AD986" s="15"/>
      <c r="AE986" s="14"/>
      <c r="AF986" s="12"/>
      <c r="AG986" s="12"/>
      <c r="AH986" s="12"/>
      <c r="AJ986"/>
      <c r="AK986"/>
    </row>
    <row r="987" spans="18:37" ht="14">
      <c r="R987" s="14">
        <v>98001</v>
      </c>
      <c r="S987" s="14" t="s">
        <v>567</v>
      </c>
      <c r="T987" s="12" t="s">
        <v>139</v>
      </c>
      <c r="U987" s="15" t="str">
        <f t="shared" si="27"/>
        <v>Global Initiatives - SMGT</v>
      </c>
      <c r="V987" s="12" t="s">
        <v>104</v>
      </c>
      <c r="W987" s="12" t="s">
        <v>405</v>
      </c>
      <c r="X987" s="12" t="s">
        <v>114</v>
      </c>
      <c r="Y987" s="12" t="s">
        <v>1038</v>
      </c>
      <c r="AA987" s="12"/>
      <c r="AB987" s="33"/>
      <c r="AC987" s="34"/>
      <c r="AD987" s="15"/>
      <c r="AE987" s="14"/>
      <c r="AF987" s="12"/>
      <c r="AG987" s="12"/>
      <c r="AH987" s="12"/>
      <c r="AJ987"/>
      <c r="AK987"/>
    </row>
    <row r="988" spans="18:37" ht="14">
      <c r="R988" s="14">
        <v>98001</v>
      </c>
      <c r="S988" s="14" t="s">
        <v>567</v>
      </c>
      <c r="T988" s="12" t="s">
        <v>145</v>
      </c>
      <c r="U988" s="15" t="str">
        <f t="shared" si="27"/>
        <v>Global Initiatives - SUP</v>
      </c>
      <c r="V988" s="12" t="s">
        <v>104</v>
      </c>
      <c r="W988" s="12" t="s">
        <v>405</v>
      </c>
      <c r="X988" s="12" t="s">
        <v>114</v>
      </c>
      <c r="Y988" s="12" t="s">
        <v>1038</v>
      </c>
      <c r="AA988" s="12"/>
      <c r="AB988" s="33"/>
      <c r="AC988" s="34"/>
      <c r="AD988" s="15"/>
      <c r="AE988" s="14"/>
      <c r="AF988" s="12"/>
      <c r="AG988" s="12"/>
      <c r="AH988" s="12"/>
      <c r="AJ988"/>
      <c r="AK988"/>
    </row>
    <row r="989" spans="18:37" ht="14">
      <c r="R989" s="14">
        <v>99000</v>
      </c>
      <c r="S989" s="14" t="s">
        <v>573</v>
      </c>
      <c r="T989" s="12" t="s">
        <v>352</v>
      </c>
      <c r="U989" s="15" t="str">
        <f t="shared" si="27"/>
        <v>Global Office - EAT</v>
      </c>
      <c r="V989" s="12" t="s">
        <v>104</v>
      </c>
      <c r="W989" s="12" t="s">
        <v>518</v>
      </c>
      <c r="X989" s="12" t="s">
        <v>350</v>
      </c>
      <c r="Y989" s="12" t="s">
        <v>1038</v>
      </c>
      <c r="AA989" s="12"/>
      <c r="AB989" s="33"/>
      <c r="AC989" s="34"/>
      <c r="AD989" s="15"/>
      <c r="AE989" s="14"/>
      <c r="AF989" s="12"/>
      <c r="AG989" s="12"/>
      <c r="AH989" s="12"/>
      <c r="AJ989"/>
      <c r="AK989"/>
    </row>
    <row r="990" spans="18:37" ht="14">
      <c r="R990" s="14">
        <v>99000</v>
      </c>
      <c r="S990" s="14" t="s">
        <v>573</v>
      </c>
      <c r="T990" s="12" t="s">
        <v>145</v>
      </c>
      <c r="U990" s="15" t="str">
        <f t="shared" si="27"/>
        <v>Global Office - SUP</v>
      </c>
      <c r="V990" s="12" t="s">
        <v>104</v>
      </c>
      <c r="W990" s="12" t="s">
        <v>518</v>
      </c>
      <c r="X990" s="12" t="s">
        <v>350</v>
      </c>
      <c r="Y990" s="12" t="s">
        <v>1038</v>
      </c>
      <c r="AA990" s="12"/>
      <c r="AB990" s="33"/>
      <c r="AC990" s="34"/>
      <c r="AD990" s="15"/>
      <c r="AE990" s="14"/>
      <c r="AF990" s="12"/>
      <c r="AG990" s="12"/>
      <c r="AH990" s="12"/>
      <c r="AJ990"/>
      <c r="AK990"/>
    </row>
    <row r="991" spans="18:37" ht="14">
      <c r="R991" s="14">
        <v>98003</v>
      </c>
      <c r="S991" s="14" t="s">
        <v>574</v>
      </c>
      <c r="T991" s="12" t="s">
        <v>348</v>
      </c>
      <c r="U991" s="15" t="str">
        <f t="shared" si="27"/>
        <v>Global Procurement - ADM</v>
      </c>
      <c r="V991" s="12" t="s">
        <v>104</v>
      </c>
      <c r="W991" s="12" t="s">
        <v>575</v>
      </c>
      <c r="X991" s="12" t="s">
        <v>114</v>
      </c>
      <c r="Y991" s="12" t="s">
        <v>1038</v>
      </c>
      <c r="AA991" s="12"/>
      <c r="AB991" s="33"/>
      <c r="AC991" s="34"/>
      <c r="AD991" s="15"/>
      <c r="AE991" s="14"/>
      <c r="AF991" s="12"/>
      <c r="AG991" s="12"/>
      <c r="AH991" s="12"/>
      <c r="AJ991"/>
      <c r="AK991"/>
    </row>
    <row r="992" spans="18:37" ht="14">
      <c r="R992" s="14">
        <v>98003</v>
      </c>
      <c r="S992" s="14" t="s">
        <v>574</v>
      </c>
      <c r="T992" s="12" t="s">
        <v>133</v>
      </c>
      <c r="U992" s="15" t="str">
        <f t="shared" si="27"/>
        <v>Global Procurement - AMG</v>
      </c>
      <c r="V992" s="12" t="s">
        <v>104</v>
      </c>
      <c r="W992" s="12" t="s">
        <v>575</v>
      </c>
      <c r="X992" s="12" t="s">
        <v>114</v>
      </c>
      <c r="Y992" s="12" t="s">
        <v>1038</v>
      </c>
      <c r="AA992" s="12"/>
      <c r="AB992" s="33"/>
      <c r="AC992" s="34"/>
      <c r="AD992" s="15"/>
      <c r="AE992" s="14"/>
      <c r="AF992" s="12"/>
      <c r="AG992" s="12"/>
      <c r="AH992" s="12"/>
      <c r="AJ992"/>
      <c r="AK992"/>
    </row>
    <row r="993" spans="18:37" ht="14">
      <c r="R993" s="14">
        <v>98003</v>
      </c>
      <c r="S993" s="14" t="s">
        <v>574</v>
      </c>
      <c r="T993" s="12" t="s">
        <v>129</v>
      </c>
      <c r="U993" s="15" t="str">
        <f t="shared" si="27"/>
        <v>Global Procurement - MGT</v>
      </c>
      <c r="V993" s="12" t="s">
        <v>104</v>
      </c>
      <c r="W993" s="12" t="s">
        <v>575</v>
      </c>
      <c r="X993" s="12" t="s">
        <v>114</v>
      </c>
      <c r="Y993" s="12" t="s">
        <v>1038</v>
      </c>
      <c r="AA993" s="12"/>
      <c r="AB993" s="33"/>
      <c r="AC993" s="34"/>
      <c r="AD993" s="15"/>
      <c r="AE993" s="14"/>
      <c r="AF993" s="12"/>
      <c r="AG993" s="12"/>
      <c r="AH993" s="12"/>
      <c r="AJ993"/>
      <c r="AK993"/>
    </row>
    <row r="994" spans="18:37" ht="14">
      <c r="R994" s="14">
        <v>98003</v>
      </c>
      <c r="S994" s="14" t="s">
        <v>574</v>
      </c>
      <c r="T994" s="12" t="s">
        <v>578</v>
      </c>
      <c r="U994" s="15" t="str">
        <f t="shared" si="27"/>
        <v>Global Procurement - PQM</v>
      </c>
      <c r="V994" s="12" t="s">
        <v>104</v>
      </c>
      <c r="W994" s="12" t="s">
        <v>575</v>
      </c>
      <c r="X994" s="12" t="s">
        <v>114</v>
      </c>
      <c r="Y994" s="12" t="s">
        <v>1038</v>
      </c>
      <c r="AA994" s="12"/>
      <c r="AB994" s="33"/>
      <c r="AC994" s="34"/>
      <c r="AD994" s="15"/>
      <c r="AE994" s="14"/>
      <c r="AF994" s="12"/>
      <c r="AG994" s="12"/>
      <c r="AH994" s="12"/>
      <c r="AJ994"/>
      <c r="AK994"/>
    </row>
    <row r="995" spans="18:37" ht="14">
      <c r="R995" s="14">
        <v>98003</v>
      </c>
      <c r="S995" s="14" t="s">
        <v>574</v>
      </c>
      <c r="T995" s="12" t="s">
        <v>139</v>
      </c>
      <c r="U995" s="15" t="str">
        <f t="shared" si="27"/>
        <v>Global Procurement - SMGT</v>
      </c>
      <c r="V995" s="12" t="s">
        <v>104</v>
      </c>
      <c r="W995" s="12" t="s">
        <v>575</v>
      </c>
      <c r="X995" s="12" t="s">
        <v>114</v>
      </c>
      <c r="Y995" s="12" t="s">
        <v>1038</v>
      </c>
      <c r="AA995" s="12"/>
      <c r="AB995" s="33"/>
      <c r="AC995" s="34"/>
      <c r="AD995" s="15"/>
      <c r="AE995" s="14"/>
      <c r="AF995" s="12"/>
      <c r="AG995" s="12"/>
      <c r="AH995" s="12"/>
      <c r="AJ995"/>
      <c r="AK995"/>
    </row>
    <row r="996" spans="18:37" ht="14">
      <c r="R996" s="14">
        <v>98003</v>
      </c>
      <c r="S996" s="14" t="s">
        <v>574</v>
      </c>
      <c r="T996" s="12" t="s">
        <v>145</v>
      </c>
      <c r="U996" s="15" t="str">
        <f t="shared" si="27"/>
        <v>Global Procurement - SUP</v>
      </c>
      <c r="V996" s="12" t="s">
        <v>104</v>
      </c>
      <c r="W996" s="12" t="s">
        <v>575</v>
      </c>
      <c r="X996" s="12" t="s">
        <v>114</v>
      </c>
      <c r="Y996" s="12" t="s">
        <v>1038</v>
      </c>
      <c r="AA996" s="12"/>
      <c r="AB996" s="33"/>
      <c r="AC996" s="34"/>
      <c r="AD996" s="15"/>
      <c r="AE996" s="14"/>
      <c r="AF996" s="12"/>
      <c r="AG996" s="12"/>
      <c r="AH996" s="12"/>
      <c r="AJ996"/>
      <c r="AK996"/>
    </row>
    <row r="997" spans="18:37" ht="14">
      <c r="R997" s="14">
        <v>98003</v>
      </c>
      <c r="S997" s="14" t="s">
        <v>574</v>
      </c>
      <c r="T997" s="12" t="s">
        <v>180</v>
      </c>
      <c r="U997" s="15" t="str">
        <f t="shared" si="27"/>
        <v>Global Procurement - TMG</v>
      </c>
      <c r="V997" s="12" t="s">
        <v>104</v>
      </c>
      <c r="W997" s="12" t="s">
        <v>575</v>
      </c>
      <c r="X997" s="12" t="s">
        <v>114</v>
      </c>
      <c r="Y997" s="12" t="s">
        <v>1038</v>
      </c>
      <c r="AA997" s="12"/>
      <c r="AB997" s="33"/>
      <c r="AC997" s="34"/>
      <c r="AD997" s="15"/>
      <c r="AE997" s="14"/>
      <c r="AF997" s="12"/>
      <c r="AG997" s="12"/>
      <c r="AH997" s="12"/>
      <c r="AJ997"/>
      <c r="AK997"/>
    </row>
    <row r="998" spans="18:37" ht="14">
      <c r="R998" s="14">
        <v>95101</v>
      </c>
      <c r="S998" s="14" t="s">
        <v>582</v>
      </c>
      <c r="T998" s="12" t="s">
        <v>415</v>
      </c>
      <c r="U998" s="15" t="str">
        <f t="shared" si="27"/>
        <v>Global TCO - GTI</v>
      </c>
      <c r="V998" s="12" t="s">
        <v>104</v>
      </c>
      <c r="W998" s="12" t="s">
        <v>263</v>
      </c>
      <c r="X998" s="12" t="s">
        <v>264</v>
      </c>
      <c r="Y998" s="12" t="s">
        <v>1038</v>
      </c>
      <c r="AA998" s="12"/>
      <c r="AB998" s="33"/>
      <c r="AC998" s="34"/>
      <c r="AD998" s="15"/>
      <c r="AE998" s="14"/>
      <c r="AF998" s="12"/>
      <c r="AG998" s="12"/>
      <c r="AH998" s="12"/>
      <c r="AJ998"/>
      <c r="AK998"/>
    </row>
    <row r="999" spans="18:37" ht="14">
      <c r="R999" s="14">
        <v>95101</v>
      </c>
      <c r="S999" s="14" t="s">
        <v>582</v>
      </c>
      <c r="T999" s="12" t="s">
        <v>584</v>
      </c>
      <c r="U999" s="15" t="str">
        <f t="shared" si="27"/>
        <v>Global TCO - STE</v>
      </c>
      <c r="V999" s="12" t="s">
        <v>104</v>
      </c>
      <c r="W999" s="12" t="s">
        <v>263</v>
      </c>
      <c r="X999" s="12" t="s">
        <v>264</v>
      </c>
      <c r="Y999" s="12" t="s">
        <v>1038</v>
      </c>
      <c r="AA999" s="12"/>
      <c r="AB999" s="33"/>
      <c r="AC999" s="34"/>
      <c r="AD999" s="15"/>
      <c r="AE999" s="14"/>
      <c r="AF999" s="12"/>
      <c r="AG999" s="12"/>
      <c r="AH999" s="12"/>
      <c r="AJ999"/>
      <c r="AK999"/>
    </row>
    <row r="1000" spans="18:37" ht="14">
      <c r="R1000" s="14">
        <v>95101</v>
      </c>
      <c r="S1000" s="14" t="s">
        <v>582</v>
      </c>
      <c r="T1000" s="12" t="s">
        <v>145</v>
      </c>
      <c r="U1000" s="15" t="str">
        <f t="shared" si="27"/>
        <v>Global TCO - SUP</v>
      </c>
      <c r="V1000" s="12" t="s">
        <v>104</v>
      </c>
      <c r="W1000" s="12" t="s">
        <v>263</v>
      </c>
      <c r="X1000" s="12" t="s">
        <v>264</v>
      </c>
      <c r="Y1000" s="12" t="s">
        <v>1038</v>
      </c>
      <c r="AA1000" s="12"/>
      <c r="AB1000" s="33"/>
      <c r="AC1000" s="34"/>
      <c r="AD1000" s="15"/>
      <c r="AE1000" s="14"/>
      <c r="AF1000" s="12"/>
      <c r="AG1000" s="12"/>
      <c r="AH1000" s="12"/>
      <c r="AJ1000"/>
      <c r="AK1000"/>
    </row>
    <row r="1001" spans="18:37" ht="14">
      <c r="R1001" s="14">
        <v>97324</v>
      </c>
      <c r="S1001" s="14" t="s">
        <v>1012</v>
      </c>
      <c r="T1001" s="12" t="s">
        <v>145</v>
      </c>
      <c r="U1001" s="15" t="str">
        <f t="shared" si="27"/>
        <v>Global Training - SUP</v>
      </c>
      <c r="V1001" s="12" t="s">
        <v>104</v>
      </c>
      <c r="W1001" s="12" t="s">
        <v>204</v>
      </c>
      <c r="X1001" s="12" t="s">
        <v>205</v>
      </c>
      <c r="Y1001" s="12" t="s">
        <v>1038</v>
      </c>
      <c r="AA1001" s="12"/>
      <c r="AB1001" s="33"/>
      <c r="AC1001" s="34"/>
      <c r="AD1001" s="15"/>
      <c r="AE1001" s="14"/>
      <c r="AF1001" s="12"/>
      <c r="AG1001" s="12"/>
      <c r="AH1001" s="12"/>
      <c r="AJ1001"/>
      <c r="AK1001"/>
    </row>
    <row r="1002" spans="18:37" ht="14">
      <c r="R1002" s="14">
        <v>97324</v>
      </c>
      <c r="S1002" s="14" t="s">
        <v>1012</v>
      </c>
      <c r="T1002" s="12" t="s">
        <v>203</v>
      </c>
      <c r="U1002" s="15" t="str">
        <f t="shared" si="27"/>
        <v>Global Training - TRG</v>
      </c>
      <c r="V1002" s="12" t="s">
        <v>104</v>
      </c>
      <c r="W1002" s="12" t="s">
        <v>204</v>
      </c>
      <c r="X1002" s="12" t="s">
        <v>205</v>
      </c>
      <c r="Y1002" s="12" t="s">
        <v>1038</v>
      </c>
      <c r="AA1002" s="12"/>
      <c r="AB1002" s="33"/>
      <c r="AC1002" s="34"/>
      <c r="AD1002" s="15"/>
      <c r="AE1002" s="14"/>
      <c r="AF1002" s="12"/>
      <c r="AG1002" s="12"/>
      <c r="AH1002" s="12"/>
      <c r="AJ1002"/>
      <c r="AK1002"/>
    </row>
    <row r="1003" spans="18:37" ht="14">
      <c r="R1003" s="14">
        <v>97324</v>
      </c>
      <c r="S1003" s="14" t="s">
        <v>1012</v>
      </c>
      <c r="T1003" s="12" t="s">
        <v>208</v>
      </c>
      <c r="U1003" s="15" t="str">
        <f t="shared" si="27"/>
        <v>Global Training - TTR</v>
      </c>
      <c r="V1003" s="12" t="s">
        <v>104</v>
      </c>
      <c r="W1003" s="12" t="s">
        <v>204</v>
      </c>
      <c r="X1003" s="12" t="s">
        <v>205</v>
      </c>
      <c r="Y1003" s="12" t="s">
        <v>1038</v>
      </c>
      <c r="AA1003" s="12"/>
      <c r="AB1003" s="33"/>
      <c r="AC1003" s="34"/>
      <c r="AD1003" s="15"/>
      <c r="AE1003" s="14"/>
      <c r="AF1003" s="12"/>
      <c r="AG1003" s="12"/>
      <c r="AH1003" s="12"/>
      <c r="AJ1003"/>
      <c r="AK1003"/>
    </row>
    <row r="1004" spans="18:37" ht="14">
      <c r="R1004" s="14">
        <v>25575</v>
      </c>
      <c r="S1004" s="14" t="s">
        <v>651</v>
      </c>
      <c r="T1004" s="12" t="s">
        <v>150</v>
      </c>
      <c r="U1004" s="15" t="str">
        <f t="shared" si="27"/>
        <v>GoDaddy SMB High Value Sales - CCS</v>
      </c>
      <c r="V1004" s="12" t="s">
        <v>126</v>
      </c>
      <c r="W1004" s="12" t="s">
        <v>127</v>
      </c>
      <c r="X1004" s="12" t="s">
        <v>128</v>
      </c>
      <c r="Y1004" s="12" t="s">
        <v>1038</v>
      </c>
      <c r="AA1004" s="12"/>
      <c r="AB1004" s="33"/>
      <c r="AC1004" s="34"/>
      <c r="AD1004" s="15"/>
      <c r="AE1004" s="14"/>
      <c r="AF1004" s="12"/>
      <c r="AG1004" s="12"/>
      <c r="AH1004" s="12"/>
      <c r="AJ1004"/>
      <c r="AK1004"/>
    </row>
    <row r="1005" spans="18:37" ht="14">
      <c r="R1005" s="14">
        <v>10674</v>
      </c>
      <c r="S1005" s="14" t="s">
        <v>299</v>
      </c>
      <c r="T1005" s="12" t="s">
        <v>306</v>
      </c>
      <c r="U1005" s="15" t="str">
        <f t="shared" si="27"/>
        <v>GPC APAC India JC - FAO</v>
      </c>
      <c r="V1005" s="12" t="s">
        <v>126</v>
      </c>
      <c r="W1005" s="12" t="s">
        <v>163</v>
      </c>
      <c r="X1005" s="12" t="s">
        <v>164</v>
      </c>
      <c r="Y1005" s="12" t="s">
        <v>1038</v>
      </c>
      <c r="AA1005" s="12"/>
      <c r="AB1005" s="33"/>
      <c r="AC1005" s="34"/>
      <c r="AD1005" s="15"/>
      <c r="AE1005" s="14"/>
      <c r="AF1005" s="12"/>
      <c r="AG1005" s="12"/>
      <c r="AH1005" s="12"/>
      <c r="AJ1005"/>
      <c r="AK1005"/>
    </row>
    <row r="1006" spans="18:37" ht="14">
      <c r="R1006" s="14">
        <v>10674</v>
      </c>
      <c r="S1006" s="14" t="s">
        <v>299</v>
      </c>
      <c r="T1006" s="12" t="s">
        <v>129</v>
      </c>
      <c r="U1006" s="15" t="str">
        <f t="shared" si="27"/>
        <v>GPC APAC India JC - MGT</v>
      </c>
      <c r="V1006" s="12" t="s">
        <v>126</v>
      </c>
      <c r="W1006" s="12" t="s">
        <v>163</v>
      </c>
      <c r="X1006" s="12" t="s">
        <v>164</v>
      </c>
      <c r="Y1006" s="12" t="s">
        <v>1038</v>
      </c>
      <c r="AA1006" s="12"/>
      <c r="AB1006" s="33"/>
      <c r="AC1006" s="34"/>
      <c r="AD1006" s="15"/>
      <c r="AE1006" s="14"/>
      <c r="AF1006" s="12"/>
      <c r="AG1006" s="12"/>
      <c r="AH1006" s="12"/>
      <c r="AJ1006"/>
      <c r="AK1006"/>
    </row>
    <row r="1007" spans="18:37" ht="14">
      <c r="R1007" s="14">
        <v>10674</v>
      </c>
      <c r="S1007" s="14" t="s">
        <v>299</v>
      </c>
      <c r="T1007" s="12" t="s">
        <v>116</v>
      </c>
      <c r="U1007" s="15" t="str">
        <f t="shared" si="27"/>
        <v>GPC APAC India JC - PRD</v>
      </c>
      <c r="V1007" s="12" t="s">
        <v>126</v>
      </c>
      <c r="W1007" s="12" t="s">
        <v>163</v>
      </c>
      <c r="X1007" s="12" t="s">
        <v>164</v>
      </c>
      <c r="Y1007" s="12" t="s">
        <v>1038</v>
      </c>
      <c r="AA1007" s="12"/>
      <c r="AB1007" s="33"/>
      <c r="AC1007" s="34"/>
      <c r="AD1007" s="15"/>
      <c r="AE1007" s="14"/>
      <c r="AF1007" s="12"/>
      <c r="AG1007" s="12"/>
      <c r="AH1007" s="12"/>
      <c r="AJ1007"/>
      <c r="AK1007"/>
    </row>
    <row r="1008" spans="18:37" ht="14">
      <c r="R1008" s="14">
        <v>10674</v>
      </c>
      <c r="S1008" s="14" t="s">
        <v>299</v>
      </c>
      <c r="T1008" s="12" t="s">
        <v>145</v>
      </c>
      <c r="U1008" s="15" t="str">
        <f t="shared" si="27"/>
        <v>GPC APAC India JC - SUP</v>
      </c>
      <c r="V1008" s="12" t="s">
        <v>126</v>
      </c>
      <c r="W1008" s="12" t="s">
        <v>163</v>
      </c>
      <c r="X1008" s="12" t="s">
        <v>164</v>
      </c>
      <c r="Y1008" s="12" t="s">
        <v>1038</v>
      </c>
      <c r="AA1008" s="12"/>
      <c r="AB1008" s="33"/>
      <c r="AC1008" s="34"/>
      <c r="AD1008" s="15"/>
      <c r="AE1008" s="14"/>
      <c r="AF1008" s="12"/>
      <c r="AG1008" s="12"/>
      <c r="AH1008" s="12"/>
      <c r="AJ1008"/>
      <c r="AK1008"/>
    </row>
    <row r="1009" spans="18:37" ht="14">
      <c r="R1009" s="14">
        <v>10674</v>
      </c>
      <c r="S1009" s="14" t="s">
        <v>299</v>
      </c>
      <c r="T1009" s="12" t="s">
        <v>198</v>
      </c>
      <c r="U1009" s="15" t="str">
        <f t="shared" si="27"/>
        <v>GPC APAC India JC - TEC</v>
      </c>
      <c r="V1009" s="12" t="s">
        <v>126</v>
      </c>
      <c r="W1009" s="12" t="s">
        <v>163</v>
      </c>
      <c r="X1009" s="12" t="s">
        <v>164</v>
      </c>
      <c r="Y1009" s="12" t="s">
        <v>1038</v>
      </c>
      <c r="AA1009" s="12"/>
      <c r="AB1009" s="33"/>
      <c r="AC1009" s="34"/>
      <c r="AD1009" s="15"/>
      <c r="AE1009" s="14"/>
      <c r="AF1009" s="12"/>
      <c r="AG1009" s="12"/>
      <c r="AH1009" s="12"/>
      <c r="AJ1009"/>
      <c r="AK1009"/>
    </row>
    <row r="1010" spans="18:37" ht="14">
      <c r="R1010" s="14">
        <v>10674</v>
      </c>
      <c r="S1010" s="14" t="s">
        <v>299</v>
      </c>
      <c r="T1010" s="12" t="s">
        <v>180</v>
      </c>
      <c r="U1010" s="15" t="str">
        <f t="shared" si="27"/>
        <v>GPC APAC India JC - TMG</v>
      </c>
      <c r="V1010" s="12" t="s">
        <v>126</v>
      </c>
      <c r="W1010" s="12" t="s">
        <v>163</v>
      </c>
      <c r="X1010" s="12" t="s">
        <v>164</v>
      </c>
      <c r="Y1010" s="12" t="s">
        <v>1038</v>
      </c>
      <c r="AA1010" s="12"/>
      <c r="AB1010" s="33"/>
      <c r="AC1010" s="34"/>
      <c r="AD1010" s="15"/>
      <c r="AE1010" s="14"/>
      <c r="AF1010" s="12"/>
      <c r="AG1010" s="12"/>
      <c r="AH1010" s="12"/>
      <c r="AJ1010"/>
      <c r="AK1010"/>
    </row>
    <row r="1011" spans="18:37" ht="14">
      <c r="R1011" s="14">
        <v>10674</v>
      </c>
      <c r="S1011" s="14" t="s">
        <v>299</v>
      </c>
      <c r="T1011" s="12" t="s">
        <v>185</v>
      </c>
      <c r="U1011" s="15" t="str">
        <f t="shared" si="27"/>
        <v>GPC APAC India JC - TPS</v>
      </c>
      <c r="V1011" s="12" t="s">
        <v>126</v>
      </c>
      <c r="W1011" s="12" t="s">
        <v>163</v>
      </c>
      <c r="X1011" s="12" t="s">
        <v>164</v>
      </c>
      <c r="Y1011" s="12" t="s">
        <v>1038</v>
      </c>
      <c r="AA1011" s="12"/>
      <c r="AB1011" s="33"/>
      <c r="AC1011" s="34"/>
      <c r="AD1011" s="15"/>
      <c r="AE1011" s="14"/>
      <c r="AF1011" s="12"/>
      <c r="AG1011" s="12"/>
      <c r="AH1011" s="12"/>
      <c r="AJ1011"/>
      <c r="AK1011"/>
    </row>
    <row r="1012" spans="18:37" ht="14">
      <c r="R1012" s="14">
        <v>10918</v>
      </c>
      <c r="S1012" s="14" t="s">
        <v>464</v>
      </c>
      <c r="T1012" s="12" t="s">
        <v>185</v>
      </c>
      <c r="U1012" s="15" t="str">
        <f t="shared" si="27"/>
        <v>GPC GL Allocation Process - TPS</v>
      </c>
      <c r="V1012" s="12" t="s">
        <v>126</v>
      </c>
      <c r="W1012" s="12" t="s">
        <v>163</v>
      </c>
      <c r="X1012" s="12" t="s">
        <v>164</v>
      </c>
      <c r="Y1012" s="12" t="s">
        <v>1038</v>
      </c>
      <c r="AA1012" s="12"/>
      <c r="AB1012" s="33"/>
      <c r="AC1012" s="34"/>
      <c r="AD1012" s="15"/>
      <c r="AE1012" s="14"/>
      <c r="AF1012" s="12"/>
      <c r="AG1012" s="12"/>
      <c r="AH1012" s="12"/>
      <c r="AJ1012"/>
      <c r="AK1012"/>
    </row>
    <row r="1013" spans="18:37" ht="14">
      <c r="R1013" s="14">
        <v>10614</v>
      </c>
      <c r="S1013" s="14" t="s">
        <v>273</v>
      </c>
      <c r="T1013" s="12" t="s">
        <v>138</v>
      </c>
      <c r="U1013" s="15" t="str">
        <f t="shared" si="27"/>
        <v>GPCNA - BOS</v>
      </c>
      <c r="V1013" s="12" t="s">
        <v>126</v>
      </c>
      <c r="W1013" s="12" t="s">
        <v>163</v>
      </c>
      <c r="X1013" s="12" t="s">
        <v>164</v>
      </c>
      <c r="Y1013" s="12" t="s">
        <v>1038</v>
      </c>
      <c r="AA1013" s="12"/>
      <c r="AB1013" s="33"/>
      <c r="AC1013" s="34"/>
      <c r="AD1013" s="15"/>
      <c r="AE1013" s="14"/>
      <c r="AF1013" s="12"/>
      <c r="AG1013" s="12"/>
      <c r="AH1013" s="12"/>
      <c r="AJ1013"/>
      <c r="AK1013"/>
    </row>
    <row r="1014" spans="18:37" ht="14">
      <c r="R1014" s="14">
        <v>10614</v>
      </c>
      <c r="S1014" s="14" t="s">
        <v>273</v>
      </c>
      <c r="T1014" s="12" t="s">
        <v>306</v>
      </c>
      <c r="U1014" s="15" t="str">
        <f t="shared" si="27"/>
        <v>GPCNA - FAO</v>
      </c>
      <c r="V1014" s="12" t="s">
        <v>126</v>
      </c>
      <c r="W1014" s="12" t="s">
        <v>163</v>
      </c>
      <c r="X1014" s="12" t="s">
        <v>164</v>
      </c>
      <c r="Y1014" s="12" t="s">
        <v>1038</v>
      </c>
      <c r="AA1014" s="12"/>
      <c r="AB1014" s="33"/>
      <c r="AC1014" s="34"/>
      <c r="AD1014" s="15"/>
      <c r="AE1014" s="14"/>
      <c r="AF1014" s="12"/>
      <c r="AG1014" s="12"/>
      <c r="AH1014" s="12"/>
      <c r="AJ1014"/>
      <c r="AK1014"/>
    </row>
    <row r="1015" spans="18:37" ht="14">
      <c r="R1015" s="14">
        <v>10614</v>
      </c>
      <c r="S1015" s="14" t="s">
        <v>273</v>
      </c>
      <c r="T1015" s="12" t="s">
        <v>116</v>
      </c>
      <c r="U1015" s="15" t="str">
        <f t="shared" si="27"/>
        <v>GPCNA - PRD</v>
      </c>
      <c r="V1015" s="12" t="s">
        <v>126</v>
      </c>
      <c r="W1015" s="12" t="s">
        <v>163</v>
      </c>
      <c r="X1015" s="12" t="s">
        <v>164</v>
      </c>
      <c r="Y1015" s="12" t="s">
        <v>1038</v>
      </c>
      <c r="AA1015" s="12"/>
      <c r="AB1015" s="33"/>
      <c r="AC1015" s="34"/>
      <c r="AD1015" s="15"/>
      <c r="AE1015" s="14"/>
      <c r="AF1015" s="12"/>
      <c r="AG1015" s="12"/>
      <c r="AH1015" s="12"/>
      <c r="AJ1015"/>
      <c r="AK1015"/>
    </row>
    <row r="1016" spans="18:37" ht="14">
      <c r="R1016" s="14">
        <v>10614</v>
      </c>
      <c r="S1016" s="14" t="s">
        <v>273</v>
      </c>
      <c r="T1016" s="12" t="s">
        <v>185</v>
      </c>
      <c r="U1016" s="15" t="str">
        <f t="shared" si="27"/>
        <v>GPCNA - TPS</v>
      </c>
      <c r="V1016" s="12" t="s">
        <v>126</v>
      </c>
      <c r="W1016" s="12" t="s">
        <v>163</v>
      </c>
      <c r="X1016" s="12" t="s">
        <v>164</v>
      </c>
      <c r="Y1016" s="12" t="s">
        <v>1038</v>
      </c>
      <c r="AA1016" s="12"/>
      <c r="AB1016" s="33"/>
      <c r="AC1016" s="34"/>
      <c r="AD1016" s="15"/>
      <c r="AE1016" s="14"/>
      <c r="AF1016" s="12"/>
      <c r="AG1016" s="12"/>
      <c r="AH1016" s="12"/>
      <c r="AJ1016"/>
      <c r="AK1016"/>
    </row>
    <row r="1017" spans="18:37" ht="14">
      <c r="R1017" s="14">
        <v>12083</v>
      </c>
      <c r="S1017" s="14" t="s">
        <v>508</v>
      </c>
      <c r="T1017" s="12" t="s">
        <v>185</v>
      </c>
      <c r="U1017" s="15" t="str">
        <f t="shared" si="27"/>
        <v>Grady - Anesthesia - TPS</v>
      </c>
      <c r="V1017" s="12" t="s">
        <v>126</v>
      </c>
      <c r="W1017" s="12" t="s">
        <v>237</v>
      </c>
      <c r="X1017" s="12" t="s">
        <v>238</v>
      </c>
      <c r="Y1017" s="12" t="s">
        <v>1038</v>
      </c>
      <c r="AA1017" s="12"/>
      <c r="AB1017" s="33"/>
      <c r="AC1017" s="34"/>
      <c r="AD1017" s="15"/>
      <c r="AE1017" s="14"/>
      <c r="AF1017" s="12"/>
      <c r="AG1017" s="12"/>
      <c r="AH1017" s="12"/>
      <c r="AJ1017"/>
      <c r="AK1017"/>
    </row>
    <row r="1018" spans="18:37" ht="14">
      <c r="R1018" s="14">
        <v>10471</v>
      </c>
      <c r="S1018" s="14" t="s">
        <v>241</v>
      </c>
      <c r="T1018" s="12" t="s">
        <v>185</v>
      </c>
      <c r="U1018" s="15" t="str">
        <f t="shared" si="27"/>
        <v>GST for Malaysia Airlines - TPS</v>
      </c>
      <c r="V1018" s="12" t="s">
        <v>126</v>
      </c>
      <c r="W1018" s="12" t="s">
        <v>163</v>
      </c>
      <c r="X1018" s="12" t="s">
        <v>164</v>
      </c>
      <c r="Y1018" s="12" t="s">
        <v>1038</v>
      </c>
      <c r="AA1018" s="12"/>
      <c r="AB1018" s="33"/>
      <c r="AC1018" s="34"/>
      <c r="AD1018" s="15"/>
      <c r="AE1018" s="14"/>
      <c r="AF1018" s="12"/>
      <c r="AG1018" s="12"/>
      <c r="AH1018" s="12"/>
      <c r="AJ1018"/>
      <c r="AK1018"/>
    </row>
    <row r="1019" spans="18:37" ht="14">
      <c r="R1019" s="14">
        <v>95100</v>
      </c>
      <c r="S1019" s="14" t="s">
        <v>415</v>
      </c>
      <c r="T1019" s="12" t="s">
        <v>145</v>
      </c>
      <c r="U1019" s="15" t="str">
        <f t="shared" si="27"/>
        <v>GTI - SUP</v>
      </c>
      <c r="V1019" s="12" t="s">
        <v>104</v>
      </c>
      <c r="W1019" s="12" t="s">
        <v>263</v>
      </c>
      <c r="X1019" s="12" t="s">
        <v>264</v>
      </c>
      <c r="Y1019" s="12" t="s">
        <v>1038</v>
      </c>
      <c r="AA1019" s="12"/>
      <c r="AB1019" s="33"/>
      <c r="AC1019" s="34"/>
      <c r="AD1019" s="15"/>
      <c r="AE1019" s="14"/>
      <c r="AF1019" s="12"/>
      <c r="AG1019" s="12"/>
      <c r="AH1019" s="12"/>
      <c r="AJ1019"/>
      <c r="AK1019"/>
    </row>
    <row r="1020" spans="18:37" ht="14">
      <c r="R1020" s="14">
        <v>10690</v>
      </c>
      <c r="S1020" s="14" t="s">
        <v>307</v>
      </c>
      <c r="T1020" s="12" t="s">
        <v>185</v>
      </c>
      <c r="U1020" s="15" t="str">
        <f t="shared" si="27"/>
        <v>Hagerty - Claims Data Entry - TPS</v>
      </c>
      <c r="V1020" s="12" t="s">
        <v>117</v>
      </c>
      <c r="W1020" s="12" t="s">
        <v>117</v>
      </c>
      <c r="X1020" s="12" t="s">
        <v>117</v>
      </c>
      <c r="Y1020" s="12" t="s">
        <v>1038</v>
      </c>
      <c r="AA1020" s="12"/>
      <c r="AB1020" s="33"/>
      <c r="AC1020" s="34"/>
      <c r="AD1020" s="15"/>
      <c r="AE1020" s="14"/>
      <c r="AF1020" s="12"/>
      <c r="AG1020" s="12"/>
      <c r="AH1020" s="12"/>
      <c r="AJ1020"/>
      <c r="AK1020"/>
    </row>
    <row r="1021" spans="18:37" ht="14">
      <c r="R1021" s="14">
        <v>10654</v>
      </c>
      <c r="S1021" s="14" t="s">
        <v>287</v>
      </c>
      <c r="T1021" s="12" t="s">
        <v>150</v>
      </c>
      <c r="U1021" s="15" t="str">
        <f t="shared" si="27"/>
        <v>Hagerty Insurance - CCS</v>
      </c>
      <c r="V1021" s="12" t="s">
        <v>126</v>
      </c>
      <c r="W1021" s="12" t="s">
        <v>163</v>
      </c>
      <c r="X1021" s="12" t="s">
        <v>164</v>
      </c>
      <c r="Y1021" s="12" t="s">
        <v>1038</v>
      </c>
      <c r="AA1021" s="12"/>
      <c r="AB1021" s="33"/>
      <c r="AC1021" s="34"/>
      <c r="AD1021" s="15"/>
      <c r="AE1021" s="14"/>
      <c r="AF1021" s="12"/>
      <c r="AG1021" s="12"/>
      <c r="AH1021" s="12"/>
      <c r="AJ1021"/>
      <c r="AK1021"/>
    </row>
    <row r="1022" spans="18:37" ht="14">
      <c r="R1022" s="14">
        <v>10654</v>
      </c>
      <c r="S1022" s="14" t="s">
        <v>287</v>
      </c>
      <c r="T1022" s="12" t="s">
        <v>156</v>
      </c>
      <c r="U1022" s="15" t="str">
        <f t="shared" si="27"/>
        <v>Hagerty Insurance - CLR</v>
      </c>
      <c r="V1022" s="12" t="s">
        <v>126</v>
      </c>
      <c r="W1022" s="12" t="s">
        <v>163</v>
      </c>
      <c r="X1022" s="12" t="s">
        <v>164</v>
      </c>
      <c r="Y1022" s="12" t="s">
        <v>1038</v>
      </c>
      <c r="AA1022" s="12"/>
      <c r="AB1022" s="33"/>
      <c r="AC1022" s="34"/>
      <c r="AD1022" s="15"/>
      <c r="AE1022" s="14"/>
      <c r="AF1022" s="12"/>
      <c r="AG1022" s="12"/>
      <c r="AH1022" s="12"/>
      <c r="AJ1022"/>
      <c r="AK1022"/>
    </row>
    <row r="1023" spans="18:37" ht="14">
      <c r="R1023" s="14">
        <v>10654</v>
      </c>
      <c r="S1023" s="14" t="s">
        <v>287</v>
      </c>
      <c r="T1023" s="12" t="s">
        <v>161</v>
      </c>
      <c r="U1023" s="15" t="str">
        <f t="shared" si="27"/>
        <v>Hagerty Insurance - ECC</v>
      </c>
      <c r="V1023" s="12" t="s">
        <v>126</v>
      </c>
      <c r="W1023" s="12" t="s">
        <v>163</v>
      </c>
      <c r="X1023" s="12" t="s">
        <v>164</v>
      </c>
      <c r="Y1023" s="12" t="s">
        <v>1038</v>
      </c>
      <c r="AA1023" s="12"/>
      <c r="AB1023" s="33"/>
      <c r="AC1023" s="34"/>
      <c r="AD1023" s="15"/>
      <c r="AE1023" s="14"/>
      <c r="AF1023" s="12"/>
      <c r="AG1023" s="12"/>
      <c r="AH1023" s="12"/>
      <c r="AJ1023"/>
      <c r="AK1023"/>
    </row>
    <row r="1024" spans="18:37" ht="14">
      <c r="R1024" s="14">
        <v>10654</v>
      </c>
      <c r="S1024" s="14" t="s">
        <v>287</v>
      </c>
      <c r="T1024" s="12" t="s">
        <v>171</v>
      </c>
      <c r="U1024" s="15" t="str">
        <f t="shared" si="27"/>
        <v>Hagerty Insurance - ETE</v>
      </c>
      <c r="V1024" s="12" t="s">
        <v>126</v>
      </c>
      <c r="W1024" s="12" t="s">
        <v>163</v>
      </c>
      <c r="X1024" s="12" t="s">
        <v>164</v>
      </c>
      <c r="Y1024" s="12" t="s">
        <v>1038</v>
      </c>
      <c r="AA1024" s="12"/>
      <c r="AB1024" s="33"/>
      <c r="AC1024" s="34"/>
      <c r="AD1024" s="15"/>
      <c r="AE1024" s="14"/>
      <c r="AF1024" s="12"/>
      <c r="AG1024" s="12"/>
      <c r="AH1024" s="12"/>
      <c r="AJ1024"/>
      <c r="AK1024"/>
    </row>
    <row r="1025" spans="18:37" ht="14">
      <c r="R1025" s="14">
        <v>10654</v>
      </c>
      <c r="S1025" s="14" t="s">
        <v>287</v>
      </c>
      <c r="T1025" s="12" t="s">
        <v>145</v>
      </c>
      <c r="U1025" s="15" t="str">
        <f t="shared" si="27"/>
        <v>Hagerty Insurance - SUP</v>
      </c>
      <c r="V1025" s="12" t="s">
        <v>126</v>
      </c>
      <c r="W1025" s="12" t="s">
        <v>163</v>
      </c>
      <c r="X1025" s="12" t="s">
        <v>164</v>
      </c>
      <c r="Y1025" s="12" t="s">
        <v>1038</v>
      </c>
      <c r="AA1025" s="12"/>
      <c r="AB1025" s="33"/>
      <c r="AC1025" s="34"/>
      <c r="AD1025" s="15"/>
      <c r="AE1025" s="14"/>
      <c r="AF1025" s="12"/>
      <c r="AG1025" s="12"/>
      <c r="AH1025" s="12"/>
      <c r="AJ1025"/>
      <c r="AK1025"/>
    </row>
    <row r="1026" spans="18:37" ht="14">
      <c r="R1026" s="14">
        <v>10654</v>
      </c>
      <c r="S1026" s="14" t="s">
        <v>287</v>
      </c>
      <c r="T1026" s="12" t="s">
        <v>180</v>
      </c>
      <c r="U1026" s="15" t="str">
        <f t="shared" si="27"/>
        <v>Hagerty Insurance - TMG</v>
      </c>
      <c r="V1026" s="12" t="s">
        <v>126</v>
      </c>
      <c r="W1026" s="12" t="s">
        <v>163</v>
      </c>
      <c r="X1026" s="12" t="s">
        <v>164</v>
      </c>
      <c r="Y1026" s="12" t="s">
        <v>1038</v>
      </c>
      <c r="AA1026" s="12"/>
      <c r="AB1026" s="33"/>
      <c r="AC1026" s="34"/>
      <c r="AD1026" s="15"/>
      <c r="AE1026" s="14"/>
      <c r="AF1026" s="12"/>
      <c r="AG1026" s="12"/>
      <c r="AH1026" s="12"/>
      <c r="AJ1026"/>
      <c r="AK1026"/>
    </row>
    <row r="1027" spans="18:37" ht="14">
      <c r="R1027" s="14">
        <v>10654</v>
      </c>
      <c r="S1027" s="14" t="s">
        <v>287</v>
      </c>
      <c r="T1027" s="12" t="s">
        <v>185</v>
      </c>
      <c r="U1027" s="15" t="str">
        <f t="shared" ref="U1027:U1090" si="28">S1027&amp;" - "&amp;T1027</f>
        <v>Hagerty Insurance - TPS</v>
      </c>
      <c r="V1027" s="12" t="s">
        <v>126</v>
      </c>
      <c r="W1027" s="12" t="s">
        <v>163</v>
      </c>
      <c r="X1027" s="12" t="s">
        <v>164</v>
      </c>
      <c r="Y1027" s="12" t="s">
        <v>1038</v>
      </c>
      <c r="AA1027" s="12"/>
      <c r="AB1027" s="33"/>
      <c r="AC1027" s="34"/>
      <c r="AD1027" s="15"/>
      <c r="AE1027" s="14"/>
      <c r="AF1027" s="12"/>
      <c r="AG1027" s="12"/>
      <c r="AH1027" s="12"/>
      <c r="AJ1027"/>
      <c r="AK1027"/>
    </row>
    <row r="1028" spans="18:37" ht="14">
      <c r="R1028" s="14">
        <v>10767</v>
      </c>
      <c r="S1028" s="14" t="s">
        <v>368</v>
      </c>
      <c r="T1028" s="12" t="s">
        <v>262</v>
      </c>
      <c r="U1028" s="15" t="str">
        <f t="shared" si="28"/>
        <v>HahnAir_PRA_TiTan - GSI</v>
      </c>
      <c r="V1028" s="12" t="s">
        <v>104</v>
      </c>
      <c r="W1028" s="12" t="s">
        <v>117</v>
      </c>
      <c r="X1028" s="12" t="s">
        <v>117</v>
      </c>
      <c r="Y1028" s="12" t="s">
        <v>1038</v>
      </c>
      <c r="AA1028" s="12"/>
      <c r="AB1028" s="33"/>
      <c r="AC1028" s="34"/>
      <c r="AD1028" s="15"/>
      <c r="AE1028" s="14"/>
      <c r="AF1028" s="12"/>
      <c r="AG1028" s="12"/>
      <c r="AH1028" s="12"/>
      <c r="AJ1028"/>
      <c r="AK1028"/>
    </row>
    <row r="1029" spans="18:37" ht="14">
      <c r="R1029" s="14">
        <v>10767</v>
      </c>
      <c r="S1029" s="14" t="s">
        <v>368</v>
      </c>
      <c r="T1029" s="12" t="s">
        <v>145</v>
      </c>
      <c r="U1029" s="15" t="str">
        <f t="shared" si="28"/>
        <v>HahnAir_PRA_TiTan - SUP</v>
      </c>
      <c r="V1029" s="12" t="s">
        <v>104</v>
      </c>
      <c r="W1029" s="12" t="s">
        <v>117</v>
      </c>
      <c r="X1029" s="12" t="s">
        <v>117</v>
      </c>
      <c r="Y1029" s="12" t="s">
        <v>1038</v>
      </c>
      <c r="AA1029" s="12"/>
      <c r="AB1029" s="33"/>
      <c r="AC1029" s="34"/>
      <c r="AD1029" s="15"/>
      <c r="AE1029" s="14"/>
      <c r="AF1029" s="12"/>
      <c r="AG1029" s="12"/>
      <c r="AH1029" s="12"/>
      <c r="AJ1029"/>
      <c r="AK1029"/>
    </row>
    <row r="1030" spans="18:37" ht="14">
      <c r="R1030" s="14">
        <v>10956</v>
      </c>
      <c r="S1030" s="14" t="s">
        <v>489</v>
      </c>
      <c r="T1030" s="12" t="s">
        <v>306</v>
      </c>
      <c r="U1030" s="15" t="str">
        <f t="shared" si="28"/>
        <v>Harland Clarke FAO - FAO</v>
      </c>
      <c r="V1030" s="12" t="s">
        <v>126</v>
      </c>
      <c r="W1030" s="12" t="s">
        <v>163</v>
      </c>
      <c r="X1030" s="12" t="s">
        <v>164</v>
      </c>
      <c r="Y1030" s="12" t="s">
        <v>1038</v>
      </c>
      <c r="AA1030" s="12"/>
      <c r="AB1030" s="33"/>
      <c r="AC1030" s="34"/>
      <c r="AD1030" s="15"/>
      <c r="AE1030" s="14"/>
      <c r="AF1030" s="12"/>
      <c r="AG1030" s="12"/>
      <c r="AH1030" s="12"/>
      <c r="AJ1030"/>
      <c r="AK1030"/>
    </row>
    <row r="1031" spans="18:37" ht="14">
      <c r="R1031" s="14">
        <v>10956</v>
      </c>
      <c r="S1031" s="14" t="s">
        <v>489</v>
      </c>
      <c r="T1031" s="12" t="s">
        <v>196</v>
      </c>
      <c r="U1031" s="15" t="str">
        <f t="shared" si="28"/>
        <v>Harland Clarke FAO - SUT</v>
      </c>
      <c r="V1031" s="12" t="s">
        <v>126</v>
      </c>
      <c r="W1031" s="12" t="s">
        <v>163</v>
      </c>
      <c r="X1031" s="12" t="s">
        <v>164</v>
      </c>
      <c r="Y1031" s="12" t="s">
        <v>1038</v>
      </c>
      <c r="AA1031" s="12"/>
      <c r="AB1031" s="33"/>
      <c r="AC1031" s="34"/>
      <c r="AD1031" s="15"/>
      <c r="AE1031" s="14"/>
      <c r="AF1031" s="12"/>
      <c r="AG1031" s="12"/>
      <c r="AH1031" s="12"/>
      <c r="AJ1031"/>
      <c r="AK1031"/>
    </row>
    <row r="1032" spans="18:37" ht="14">
      <c r="R1032" s="14">
        <v>10956</v>
      </c>
      <c r="S1032" s="14" t="s">
        <v>489</v>
      </c>
      <c r="T1032" s="12" t="s">
        <v>180</v>
      </c>
      <c r="U1032" s="15" t="str">
        <f t="shared" si="28"/>
        <v>Harland Clarke FAO - TMG</v>
      </c>
      <c r="V1032" s="12" t="s">
        <v>126</v>
      </c>
      <c r="W1032" s="12" t="s">
        <v>163</v>
      </c>
      <c r="X1032" s="12" t="s">
        <v>164</v>
      </c>
      <c r="Y1032" s="12" t="s">
        <v>1038</v>
      </c>
      <c r="AA1032" s="12"/>
      <c r="AB1032" s="33"/>
      <c r="AC1032" s="34"/>
      <c r="AD1032" s="15"/>
      <c r="AE1032" s="14"/>
      <c r="AF1032" s="12"/>
      <c r="AG1032" s="12"/>
      <c r="AH1032" s="12"/>
      <c r="AJ1032"/>
      <c r="AK1032"/>
    </row>
    <row r="1033" spans="18:37" ht="14">
      <c r="R1033" s="14">
        <v>10956</v>
      </c>
      <c r="S1033" s="14" t="s">
        <v>489</v>
      </c>
      <c r="T1033" s="12" t="s">
        <v>185</v>
      </c>
      <c r="U1033" s="15" t="str">
        <f t="shared" si="28"/>
        <v>Harland Clarke FAO - TPS</v>
      </c>
      <c r="V1033" s="12" t="s">
        <v>126</v>
      </c>
      <c r="W1033" s="12" t="s">
        <v>163</v>
      </c>
      <c r="X1033" s="12" t="s">
        <v>164</v>
      </c>
      <c r="Y1033" s="12" t="s">
        <v>1038</v>
      </c>
      <c r="AA1033" s="12"/>
      <c r="AB1033" s="33"/>
      <c r="AC1033" s="34"/>
      <c r="AD1033" s="15"/>
      <c r="AE1033" s="14"/>
      <c r="AF1033" s="12"/>
      <c r="AG1033" s="12"/>
      <c r="AH1033" s="12"/>
      <c r="AJ1033"/>
      <c r="AK1033"/>
    </row>
    <row r="1034" spans="18:37" ht="14">
      <c r="R1034" s="14">
        <v>20510</v>
      </c>
      <c r="S1034" s="14" t="s">
        <v>638</v>
      </c>
      <c r="T1034" s="12" t="s">
        <v>145</v>
      </c>
      <c r="U1034" s="15" t="str">
        <f t="shared" si="28"/>
        <v>Hartford CAT Modeling Support - SUP</v>
      </c>
      <c r="V1034" s="12" t="s">
        <v>126</v>
      </c>
      <c r="W1034" s="12" t="s">
        <v>890</v>
      </c>
      <c r="X1034" s="12" t="s">
        <v>890</v>
      </c>
      <c r="Y1034" s="12" t="s">
        <v>1038</v>
      </c>
      <c r="AA1034" s="12"/>
      <c r="AB1034" s="33"/>
      <c r="AC1034" s="34"/>
      <c r="AD1034" s="15"/>
      <c r="AE1034" s="14"/>
      <c r="AF1034" s="12"/>
      <c r="AG1034" s="12"/>
      <c r="AH1034" s="12"/>
      <c r="AJ1034"/>
      <c r="AK1034"/>
    </row>
    <row r="1035" spans="18:37" ht="14">
      <c r="R1035" s="14">
        <v>20510</v>
      </c>
      <c r="S1035" s="14" t="s">
        <v>638</v>
      </c>
      <c r="T1035" s="12" t="s">
        <v>185</v>
      </c>
      <c r="U1035" s="15" t="str">
        <f t="shared" si="28"/>
        <v>Hartford CAT Modeling Support - TPS</v>
      </c>
      <c r="V1035" s="12" t="s">
        <v>126</v>
      </c>
      <c r="W1035" s="12" t="s">
        <v>890</v>
      </c>
      <c r="X1035" s="12" t="s">
        <v>890</v>
      </c>
      <c r="Y1035" s="12" t="s">
        <v>1038</v>
      </c>
      <c r="AA1035" s="12"/>
      <c r="AB1035" s="33"/>
      <c r="AC1035" s="34"/>
      <c r="AD1035" s="15"/>
      <c r="AE1035" s="14"/>
      <c r="AF1035" s="12"/>
      <c r="AG1035" s="12"/>
      <c r="AH1035" s="12"/>
      <c r="AJ1035"/>
      <c r="AK1035"/>
    </row>
    <row r="1036" spans="18:37" ht="14">
      <c r="R1036" s="14">
        <v>86231</v>
      </c>
      <c r="S1036" s="14" t="s">
        <v>591</v>
      </c>
      <c r="T1036" s="12" t="s">
        <v>145</v>
      </c>
      <c r="U1036" s="15" t="str">
        <f t="shared" si="28"/>
        <v>HDE – Coding - SUP</v>
      </c>
      <c r="V1036" s="12" t="s">
        <v>117</v>
      </c>
      <c r="W1036" s="12" t="s">
        <v>117</v>
      </c>
      <c r="X1036" s="12" t="s">
        <v>117</v>
      </c>
      <c r="Y1036" s="12" t="s">
        <v>1038</v>
      </c>
      <c r="AA1036" s="12"/>
      <c r="AB1036" s="33"/>
      <c r="AC1036" s="34"/>
      <c r="AD1036" s="15"/>
      <c r="AE1036" s="14"/>
      <c r="AF1036" s="12"/>
      <c r="AG1036" s="12"/>
      <c r="AH1036" s="12"/>
      <c r="AJ1036"/>
      <c r="AK1036"/>
    </row>
    <row r="1037" spans="18:37" ht="14">
      <c r="R1037" s="14">
        <v>86229</v>
      </c>
      <c r="S1037" s="14" t="s">
        <v>593</v>
      </c>
      <c r="T1037" s="12" t="s">
        <v>116</v>
      </c>
      <c r="U1037" s="15" t="str">
        <f t="shared" si="28"/>
        <v>HDE – Hospital - PRD</v>
      </c>
      <c r="V1037" s="12" t="s">
        <v>117</v>
      </c>
      <c r="W1037" s="12" t="s">
        <v>117</v>
      </c>
      <c r="X1037" s="12" t="s">
        <v>117</v>
      </c>
      <c r="Y1037" s="12" t="s">
        <v>1038</v>
      </c>
      <c r="AA1037" s="12"/>
      <c r="AB1037" s="33"/>
      <c r="AC1037" s="34"/>
      <c r="AD1037" s="15"/>
      <c r="AE1037" s="14"/>
      <c r="AF1037" s="12"/>
      <c r="AG1037" s="12"/>
      <c r="AH1037" s="12"/>
      <c r="AJ1037"/>
      <c r="AK1037"/>
    </row>
    <row r="1038" spans="18:37" ht="14">
      <c r="R1038" s="14">
        <v>86229</v>
      </c>
      <c r="S1038" s="14" t="s">
        <v>593</v>
      </c>
      <c r="T1038" s="12" t="s">
        <v>145</v>
      </c>
      <c r="U1038" s="15" t="str">
        <f t="shared" si="28"/>
        <v>HDE – Hospital - SUP</v>
      </c>
      <c r="V1038" s="12" t="s">
        <v>117</v>
      </c>
      <c r="W1038" s="12" t="s">
        <v>117</v>
      </c>
      <c r="X1038" s="12" t="s">
        <v>117</v>
      </c>
      <c r="Y1038" s="12" t="s">
        <v>1038</v>
      </c>
      <c r="AA1038" s="12"/>
      <c r="AB1038" s="33"/>
      <c r="AC1038" s="34"/>
      <c r="AD1038" s="15"/>
      <c r="AE1038" s="14"/>
      <c r="AF1038" s="12"/>
      <c r="AG1038" s="12"/>
      <c r="AH1038" s="12"/>
      <c r="AJ1038"/>
      <c r="AK1038"/>
    </row>
    <row r="1039" spans="18:37" ht="14">
      <c r="R1039" s="14">
        <v>86234</v>
      </c>
      <c r="S1039" s="14" t="s">
        <v>594</v>
      </c>
      <c r="T1039" s="12" t="s">
        <v>116</v>
      </c>
      <c r="U1039" s="15" t="str">
        <f t="shared" si="28"/>
        <v>HDE – Payer BLM - PRD</v>
      </c>
      <c r="V1039" s="12" t="s">
        <v>117</v>
      </c>
      <c r="W1039" s="12" t="s">
        <v>117</v>
      </c>
      <c r="X1039" s="12" t="s">
        <v>117</v>
      </c>
      <c r="Y1039" s="12" t="s">
        <v>1038</v>
      </c>
      <c r="AA1039" s="12"/>
      <c r="AB1039" s="33"/>
      <c r="AC1039" s="34"/>
      <c r="AD1039" s="15"/>
      <c r="AE1039" s="14"/>
      <c r="AF1039" s="12"/>
      <c r="AG1039" s="12"/>
      <c r="AH1039" s="12"/>
      <c r="AJ1039"/>
      <c r="AK1039"/>
    </row>
    <row r="1040" spans="18:37" ht="14">
      <c r="R1040" s="14">
        <v>86234</v>
      </c>
      <c r="S1040" s="14" t="s">
        <v>594</v>
      </c>
      <c r="T1040" s="12" t="s">
        <v>145</v>
      </c>
      <c r="U1040" s="15" t="str">
        <f t="shared" si="28"/>
        <v>HDE – Payer BLM - SUP</v>
      </c>
      <c r="V1040" s="12" t="s">
        <v>117</v>
      </c>
      <c r="W1040" s="12" t="s">
        <v>117</v>
      </c>
      <c r="X1040" s="12" t="s">
        <v>117</v>
      </c>
      <c r="Y1040" s="12" t="s">
        <v>1038</v>
      </c>
      <c r="AA1040" s="12"/>
      <c r="AB1040" s="33"/>
      <c r="AC1040" s="34"/>
      <c r="AD1040" s="15"/>
      <c r="AE1040" s="14"/>
      <c r="AF1040" s="12"/>
      <c r="AG1040" s="12"/>
      <c r="AH1040" s="12"/>
      <c r="AJ1040"/>
      <c r="AK1040"/>
    </row>
    <row r="1041" spans="18:37" ht="14">
      <c r="R1041" s="14">
        <v>86230</v>
      </c>
      <c r="S1041" s="14" t="s">
        <v>596</v>
      </c>
      <c r="T1041" s="12" t="s">
        <v>597</v>
      </c>
      <c r="U1041" s="15" t="str">
        <f t="shared" si="28"/>
        <v>HDE – RCMS - BAS</v>
      </c>
      <c r="V1041" s="12" t="s">
        <v>117</v>
      </c>
      <c r="W1041" s="12" t="s">
        <v>117</v>
      </c>
      <c r="X1041" s="12" t="s">
        <v>117</v>
      </c>
      <c r="Y1041" s="12" t="s">
        <v>1038</v>
      </c>
      <c r="AA1041" s="12"/>
      <c r="AB1041" s="33"/>
      <c r="AC1041" s="34"/>
      <c r="AD1041" s="15"/>
      <c r="AE1041" s="14"/>
      <c r="AF1041" s="12"/>
      <c r="AG1041" s="12"/>
      <c r="AH1041" s="12"/>
      <c r="AJ1041"/>
      <c r="AK1041"/>
    </row>
    <row r="1042" spans="18:37" ht="14">
      <c r="R1042" s="14">
        <v>86230</v>
      </c>
      <c r="S1042" s="14" t="s">
        <v>596</v>
      </c>
      <c r="T1042" s="12" t="s">
        <v>129</v>
      </c>
      <c r="U1042" s="15" t="str">
        <f t="shared" si="28"/>
        <v>HDE – RCMS - MGT</v>
      </c>
      <c r="V1042" s="12" t="s">
        <v>117</v>
      </c>
      <c r="W1042" s="12" t="s">
        <v>117</v>
      </c>
      <c r="X1042" s="12" t="s">
        <v>117</v>
      </c>
      <c r="Y1042" s="12" t="s">
        <v>1038</v>
      </c>
      <c r="AA1042" s="12"/>
      <c r="AB1042" s="33"/>
      <c r="AC1042" s="34"/>
      <c r="AD1042" s="15"/>
      <c r="AE1042" s="14"/>
      <c r="AF1042" s="12"/>
      <c r="AG1042" s="12"/>
      <c r="AH1042" s="12"/>
      <c r="AJ1042"/>
      <c r="AK1042"/>
    </row>
    <row r="1043" spans="18:37" ht="14">
      <c r="R1043" s="14">
        <v>86230</v>
      </c>
      <c r="S1043" s="14" t="s">
        <v>596</v>
      </c>
      <c r="T1043" s="12" t="s">
        <v>116</v>
      </c>
      <c r="U1043" s="15" t="str">
        <f t="shared" si="28"/>
        <v>HDE – RCMS - PRD</v>
      </c>
      <c r="V1043" s="12" t="s">
        <v>117</v>
      </c>
      <c r="W1043" s="12" t="s">
        <v>117</v>
      </c>
      <c r="X1043" s="12" t="s">
        <v>117</v>
      </c>
      <c r="Y1043" s="12" t="s">
        <v>1038</v>
      </c>
      <c r="AA1043" s="12"/>
      <c r="AB1043" s="33"/>
      <c r="AC1043" s="34"/>
      <c r="AD1043" s="15"/>
      <c r="AE1043" s="14"/>
      <c r="AF1043" s="12"/>
      <c r="AG1043" s="12"/>
      <c r="AH1043" s="12"/>
      <c r="AJ1043"/>
      <c r="AK1043"/>
    </row>
    <row r="1044" spans="18:37" ht="14">
      <c r="R1044" s="14">
        <v>86230</v>
      </c>
      <c r="S1044" s="14" t="s">
        <v>596</v>
      </c>
      <c r="T1044" s="12" t="s">
        <v>145</v>
      </c>
      <c r="U1044" s="15" t="str">
        <f t="shared" si="28"/>
        <v>HDE – RCMS - SUP</v>
      </c>
      <c r="V1044" s="12" t="s">
        <v>117</v>
      </c>
      <c r="W1044" s="12" t="s">
        <v>117</v>
      </c>
      <c r="X1044" s="12" t="s">
        <v>117</v>
      </c>
      <c r="Y1044" s="12" t="s">
        <v>1038</v>
      </c>
      <c r="AA1044" s="12"/>
      <c r="AB1044" s="33"/>
      <c r="AC1044" s="34"/>
      <c r="AD1044" s="15"/>
      <c r="AE1044" s="14"/>
      <c r="AF1044" s="12"/>
      <c r="AG1044" s="12"/>
      <c r="AH1044" s="12"/>
      <c r="AJ1044"/>
      <c r="AK1044"/>
    </row>
    <row r="1045" spans="18:37" ht="14">
      <c r="R1045" s="14">
        <v>86230</v>
      </c>
      <c r="S1045" s="14" t="s">
        <v>596</v>
      </c>
      <c r="T1045" s="12" t="s">
        <v>180</v>
      </c>
      <c r="U1045" s="15" t="str">
        <f t="shared" si="28"/>
        <v>HDE – RCMS - TMG</v>
      </c>
      <c r="V1045" s="12" t="s">
        <v>117</v>
      </c>
      <c r="W1045" s="12" t="s">
        <v>117</v>
      </c>
      <c r="X1045" s="12" t="s">
        <v>117</v>
      </c>
      <c r="Y1045" s="12" t="s">
        <v>1038</v>
      </c>
      <c r="AA1045" s="12"/>
      <c r="AB1045" s="33"/>
      <c r="AC1045" s="34"/>
      <c r="AD1045" s="15"/>
      <c r="AE1045" s="14"/>
      <c r="AF1045" s="12"/>
      <c r="AG1045" s="12"/>
      <c r="AH1045" s="12"/>
      <c r="AJ1045"/>
      <c r="AK1045"/>
    </row>
    <row r="1046" spans="18:37" ht="14">
      <c r="R1046" s="14">
        <v>12388</v>
      </c>
      <c r="S1046" s="14" t="s">
        <v>538</v>
      </c>
      <c r="T1046" s="12" t="s">
        <v>116</v>
      </c>
      <c r="U1046" s="15" t="str">
        <f t="shared" si="28"/>
        <v>HealthFirst - Claims_Onshore - PRD</v>
      </c>
      <c r="V1046" s="12" t="s">
        <v>126</v>
      </c>
      <c r="W1046" s="12" t="s">
        <v>163</v>
      </c>
      <c r="X1046" s="12" t="s">
        <v>164</v>
      </c>
      <c r="Y1046" s="12" t="s">
        <v>1038</v>
      </c>
      <c r="AA1046" s="12"/>
      <c r="AB1046" s="33"/>
      <c r="AC1046" s="34"/>
      <c r="AD1046" s="15"/>
      <c r="AE1046" s="14"/>
      <c r="AF1046" s="12"/>
      <c r="AG1046" s="12"/>
      <c r="AH1046" s="12"/>
      <c r="AJ1046"/>
      <c r="AK1046"/>
    </row>
    <row r="1047" spans="18:37" ht="14">
      <c r="R1047" s="14">
        <v>12388</v>
      </c>
      <c r="S1047" s="14" t="s">
        <v>538</v>
      </c>
      <c r="T1047" s="12" t="s">
        <v>145</v>
      </c>
      <c r="U1047" s="15" t="str">
        <f t="shared" si="28"/>
        <v>HealthFirst - Claims_Onshore - SUP</v>
      </c>
      <c r="V1047" s="12" t="s">
        <v>126</v>
      </c>
      <c r="W1047" s="12" t="s">
        <v>163</v>
      </c>
      <c r="X1047" s="12" t="s">
        <v>164</v>
      </c>
      <c r="Y1047" s="12" t="s">
        <v>1038</v>
      </c>
      <c r="AA1047" s="12"/>
      <c r="AB1047" s="33"/>
      <c r="AC1047" s="34"/>
      <c r="AD1047" s="15"/>
      <c r="AE1047" s="14"/>
      <c r="AF1047" s="12"/>
      <c r="AG1047" s="12"/>
      <c r="AH1047" s="12"/>
      <c r="AJ1047"/>
      <c r="AK1047"/>
    </row>
    <row r="1048" spans="18:37" ht="14">
      <c r="R1048" s="14">
        <v>12382</v>
      </c>
      <c r="S1048" s="14" t="s">
        <v>537</v>
      </c>
      <c r="T1048" s="12" t="s">
        <v>116</v>
      </c>
      <c r="U1048" s="15" t="str">
        <f t="shared" si="28"/>
        <v>Healthfirst - E&amp;B Offshore - PRD</v>
      </c>
      <c r="V1048" s="12" t="s">
        <v>126</v>
      </c>
      <c r="W1048" s="12" t="s">
        <v>163</v>
      </c>
      <c r="X1048" s="12" t="s">
        <v>164</v>
      </c>
      <c r="Y1048" s="12" t="s">
        <v>1038</v>
      </c>
      <c r="AA1048" s="12"/>
      <c r="AB1048" s="33"/>
      <c r="AC1048" s="34"/>
      <c r="AD1048" s="15"/>
      <c r="AE1048" s="14"/>
      <c r="AF1048" s="12"/>
      <c r="AG1048" s="12"/>
      <c r="AH1048" s="12"/>
      <c r="AJ1048"/>
      <c r="AK1048"/>
    </row>
    <row r="1049" spans="18:37" ht="14">
      <c r="R1049" s="14">
        <v>12382</v>
      </c>
      <c r="S1049" s="14" t="s">
        <v>537</v>
      </c>
      <c r="T1049" s="12" t="s">
        <v>230</v>
      </c>
      <c r="U1049" s="15" t="str">
        <f t="shared" si="28"/>
        <v>Healthfirst - E&amp;B Offshore - PRSP</v>
      </c>
      <c r="V1049" s="12" t="s">
        <v>126</v>
      </c>
      <c r="W1049" s="12" t="s">
        <v>163</v>
      </c>
      <c r="X1049" s="12" t="s">
        <v>164</v>
      </c>
      <c r="Y1049" s="12" t="s">
        <v>1038</v>
      </c>
      <c r="AA1049" s="12"/>
      <c r="AB1049" s="33"/>
      <c r="AC1049" s="34"/>
      <c r="AD1049" s="15"/>
      <c r="AE1049" s="14"/>
      <c r="AF1049" s="12"/>
      <c r="AG1049" s="12"/>
      <c r="AH1049" s="12"/>
      <c r="AJ1049"/>
      <c r="AK1049"/>
    </row>
    <row r="1050" spans="18:37" ht="14">
      <c r="R1050" s="14">
        <v>12382</v>
      </c>
      <c r="S1050" s="14" t="s">
        <v>537</v>
      </c>
      <c r="T1050" s="12" t="s">
        <v>111</v>
      </c>
      <c r="U1050" s="15" t="str">
        <f t="shared" si="28"/>
        <v>Healthfirst - E&amp;B Offshore - QLY</v>
      </c>
      <c r="V1050" s="12" t="s">
        <v>112</v>
      </c>
      <c r="W1050" s="12" t="s">
        <v>113</v>
      </c>
      <c r="X1050" s="12" t="s">
        <v>114</v>
      </c>
      <c r="Y1050" s="12" t="s">
        <v>1038</v>
      </c>
      <c r="AA1050" s="12"/>
      <c r="AB1050" s="33"/>
      <c r="AC1050" s="34"/>
      <c r="AD1050" s="15"/>
      <c r="AE1050" s="14"/>
      <c r="AF1050" s="12"/>
      <c r="AG1050" s="12"/>
      <c r="AH1050" s="12"/>
      <c r="AJ1050"/>
      <c r="AK1050"/>
    </row>
    <row r="1051" spans="18:37" ht="14">
      <c r="R1051" s="14">
        <v>12382</v>
      </c>
      <c r="S1051" s="14" t="s">
        <v>537</v>
      </c>
      <c r="T1051" s="12" t="s">
        <v>180</v>
      </c>
      <c r="U1051" s="15" t="str">
        <f t="shared" si="28"/>
        <v>Healthfirst - E&amp;B Offshore - TMG</v>
      </c>
      <c r="V1051" s="12" t="s">
        <v>126</v>
      </c>
      <c r="W1051" s="12" t="s">
        <v>163</v>
      </c>
      <c r="X1051" s="12" t="s">
        <v>164</v>
      </c>
      <c r="Y1051" s="12" t="s">
        <v>1038</v>
      </c>
      <c r="AA1051" s="12"/>
      <c r="AB1051" s="33"/>
      <c r="AC1051" s="34"/>
      <c r="AD1051" s="15"/>
      <c r="AE1051" s="14"/>
      <c r="AF1051" s="12"/>
      <c r="AG1051" s="12"/>
      <c r="AH1051" s="12"/>
      <c r="AJ1051"/>
      <c r="AK1051"/>
    </row>
    <row r="1052" spans="18:37" ht="14">
      <c r="R1052" s="14">
        <v>12382</v>
      </c>
      <c r="S1052" s="14" t="s">
        <v>537</v>
      </c>
      <c r="T1052" s="12" t="s">
        <v>185</v>
      </c>
      <c r="U1052" s="15" t="str">
        <f t="shared" si="28"/>
        <v>Healthfirst - E&amp;B Offshore - TPS</v>
      </c>
      <c r="V1052" s="12" t="s">
        <v>126</v>
      </c>
      <c r="W1052" s="12" t="s">
        <v>163</v>
      </c>
      <c r="X1052" s="12" t="s">
        <v>164</v>
      </c>
      <c r="Y1052" s="12" t="s">
        <v>1038</v>
      </c>
      <c r="AA1052" s="12"/>
      <c r="AB1052" s="33"/>
      <c r="AC1052" s="34"/>
      <c r="AD1052" s="15"/>
      <c r="AE1052" s="14"/>
      <c r="AF1052" s="12"/>
      <c r="AG1052" s="12"/>
      <c r="AH1052" s="12"/>
      <c r="AJ1052"/>
      <c r="AK1052"/>
    </row>
    <row r="1053" spans="18:37" ht="14">
      <c r="R1053" s="14">
        <v>12466</v>
      </c>
      <c r="S1053" s="14" t="s">
        <v>559</v>
      </c>
      <c r="T1053" s="12" t="s">
        <v>116</v>
      </c>
      <c r="U1053" s="15" t="str">
        <f t="shared" si="28"/>
        <v>Healthfirst DME Re-Auth - PRD</v>
      </c>
      <c r="V1053" s="12" t="s">
        <v>126</v>
      </c>
      <c r="W1053" s="12" t="s">
        <v>163</v>
      </c>
      <c r="X1053" s="12" t="s">
        <v>164</v>
      </c>
      <c r="Y1053" s="12" t="s">
        <v>1038</v>
      </c>
      <c r="AA1053" s="12"/>
      <c r="AB1053" s="33"/>
      <c r="AC1053" s="34"/>
      <c r="AD1053" s="15"/>
      <c r="AE1053" s="14"/>
      <c r="AF1053" s="12"/>
      <c r="AG1053" s="12"/>
      <c r="AH1053" s="12"/>
      <c r="AJ1053"/>
      <c r="AK1053"/>
    </row>
    <row r="1054" spans="18:37" ht="14">
      <c r="R1054" s="14">
        <v>12466</v>
      </c>
      <c r="S1054" s="14" t="s">
        <v>559</v>
      </c>
      <c r="T1054" s="12" t="s">
        <v>172</v>
      </c>
      <c r="U1054" s="15" t="str">
        <f t="shared" si="28"/>
        <v>Healthfirst DME Re-Auth - SME</v>
      </c>
      <c r="V1054" s="12" t="s">
        <v>126</v>
      </c>
      <c r="W1054" s="12" t="s">
        <v>163</v>
      </c>
      <c r="X1054" s="12" t="s">
        <v>164</v>
      </c>
      <c r="Y1054" s="12" t="s">
        <v>1038</v>
      </c>
      <c r="AA1054" s="12"/>
      <c r="AB1054" s="33"/>
      <c r="AC1054" s="34"/>
      <c r="AD1054" s="15"/>
      <c r="AE1054" s="14"/>
      <c r="AF1054" s="12"/>
      <c r="AG1054" s="12"/>
      <c r="AH1054" s="12"/>
      <c r="AJ1054"/>
      <c r="AK1054"/>
    </row>
    <row r="1055" spans="18:37" ht="14">
      <c r="R1055" s="14">
        <v>12466</v>
      </c>
      <c r="S1055" s="14" t="s">
        <v>559</v>
      </c>
      <c r="T1055" s="12" t="s">
        <v>180</v>
      </c>
      <c r="U1055" s="15" t="str">
        <f t="shared" si="28"/>
        <v>Healthfirst DME Re-Auth - TMG</v>
      </c>
      <c r="V1055" s="12" t="s">
        <v>126</v>
      </c>
      <c r="W1055" s="12" t="s">
        <v>163</v>
      </c>
      <c r="X1055" s="12" t="s">
        <v>164</v>
      </c>
      <c r="Y1055" s="12" t="s">
        <v>1038</v>
      </c>
      <c r="AA1055" s="12"/>
      <c r="AB1055" s="33"/>
      <c r="AC1055" s="34"/>
      <c r="AD1055" s="15"/>
      <c r="AE1055" s="14"/>
      <c r="AF1055" s="12"/>
      <c r="AG1055" s="12"/>
      <c r="AH1055" s="12"/>
      <c r="AJ1055"/>
      <c r="AK1055"/>
    </row>
    <row r="1056" spans="18:37" ht="14">
      <c r="R1056" s="14">
        <v>12466</v>
      </c>
      <c r="S1056" s="14" t="s">
        <v>559</v>
      </c>
      <c r="T1056" s="12" t="s">
        <v>185</v>
      </c>
      <c r="U1056" s="15" t="str">
        <f t="shared" si="28"/>
        <v>Healthfirst DME Re-Auth - TPS</v>
      </c>
      <c r="V1056" s="12" t="s">
        <v>126</v>
      </c>
      <c r="W1056" s="12" t="s">
        <v>163</v>
      </c>
      <c r="X1056" s="12" t="s">
        <v>164</v>
      </c>
      <c r="Y1056" s="12" t="s">
        <v>1038</v>
      </c>
      <c r="AA1056" s="12"/>
      <c r="AB1056" s="33"/>
      <c r="AC1056" s="34"/>
      <c r="AD1056" s="15"/>
      <c r="AE1056" s="14"/>
      <c r="AF1056" s="12"/>
      <c r="AG1056" s="12"/>
      <c r="AH1056" s="12"/>
      <c r="AJ1056"/>
      <c r="AK1056"/>
    </row>
    <row r="1057" spans="18:37" ht="14">
      <c r="R1057" s="14">
        <v>12455</v>
      </c>
      <c r="S1057" s="14" t="s">
        <v>557</v>
      </c>
      <c r="T1057" s="12" t="s">
        <v>230</v>
      </c>
      <c r="U1057" s="15" t="str">
        <f t="shared" si="28"/>
        <v>Healthfirst OSS Support - PRSP</v>
      </c>
      <c r="V1057" s="12" t="s">
        <v>126</v>
      </c>
      <c r="W1057" s="12" t="s">
        <v>163</v>
      </c>
      <c r="X1057" s="12" t="s">
        <v>164</v>
      </c>
      <c r="Y1057" s="12" t="s">
        <v>1038</v>
      </c>
      <c r="AA1057" s="12"/>
      <c r="AB1057" s="33"/>
      <c r="AC1057" s="34"/>
      <c r="AD1057" s="15"/>
      <c r="AE1057" s="14"/>
      <c r="AF1057" s="12"/>
      <c r="AG1057" s="12"/>
      <c r="AH1057" s="12"/>
      <c r="AJ1057"/>
      <c r="AK1057"/>
    </row>
    <row r="1058" spans="18:37" ht="14">
      <c r="R1058" s="14">
        <v>12455</v>
      </c>
      <c r="S1058" s="14" t="s">
        <v>557</v>
      </c>
      <c r="T1058" s="12" t="s">
        <v>185</v>
      </c>
      <c r="U1058" s="15" t="str">
        <f t="shared" si="28"/>
        <v>Healthfirst OSS Support - TPS</v>
      </c>
      <c r="V1058" s="12" t="s">
        <v>126</v>
      </c>
      <c r="W1058" s="12" t="s">
        <v>163</v>
      </c>
      <c r="X1058" s="12" t="s">
        <v>164</v>
      </c>
      <c r="Y1058" s="12" t="s">
        <v>1038</v>
      </c>
      <c r="AA1058" s="12"/>
      <c r="AB1058" s="33"/>
      <c r="AC1058" s="34"/>
      <c r="AD1058" s="15"/>
      <c r="AE1058" s="14"/>
      <c r="AF1058" s="12"/>
      <c r="AG1058" s="12"/>
      <c r="AH1058" s="12"/>
      <c r="AJ1058"/>
      <c r="AK1058"/>
    </row>
    <row r="1059" spans="18:37" ht="14">
      <c r="R1059" s="14">
        <v>51606</v>
      </c>
      <c r="S1059" s="14" t="s">
        <v>1096</v>
      </c>
      <c r="T1059" s="12" t="s">
        <v>116</v>
      </c>
      <c r="U1059" s="15" t="str">
        <f t="shared" si="28"/>
        <v>Herff Jones - PRD</v>
      </c>
      <c r="V1059" s="12" t="s">
        <v>117</v>
      </c>
      <c r="W1059" s="12" t="s">
        <v>117</v>
      </c>
      <c r="X1059" s="12" t="s">
        <v>117</v>
      </c>
      <c r="Y1059" s="12" t="s">
        <v>1038</v>
      </c>
      <c r="AA1059" s="12"/>
      <c r="AB1059" s="33"/>
      <c r="AC1059" s="34"/>
      <c r="AD1059" s="15"/>
      <c r="AE1059" s="14"/>
      <c r="AF1059" s="12"/>
      <c r="AG1059" s="12"/>
      <c r="AH1059" s="12"/>
      <c r="AJ1059"/>
      <c r="AK1059"/>
    </row>
    <row r="1060" spans="18:37" ht="14">
      <c r="R1060" s="14">
        <v>10817</v>
      </c>
      <c r="S1060" s="14" t="s">
        <v>397</v>
      </c>
      <c r="T1060" s="12" t="s">
        <v>150</v>
      </c>
      <c r="U1060" s="15" t="str">
        <f t="shared" si="28"/>
        <v>Hilton Hindi LOB - CCS</v>
      </c>
      <c r="V1060" s="12" t="s">
        <v>126</v>
      </c>
      <c r="W1060" s="12" t="s">
        <v>127</v>
      </c>
      <c r="X1060" s="12" t="s">
        <v>128</v>
      </c>
      <c r="Y1060" s="12" t="s">
        <v>1038</v>
      </c>
      <c r="AA1060" s="12"/>
      <c r="AB1060" s="33"/>
      <c r="AC1060" s="34"/>
      <c r="AD1060" s="15"/>
      <c r="AE1060" s="14"/>
      <c r="AF1060" s="12"/>
      <c r="AG1060" s="12"/>
      <c r="AH1060" s="12"/>
      <c r="AJ1060"/>
      <c r="AK1060"/>
    </row>
    <row r="1061" spans="18:37" ht="14">
      <c r="R1061" s="14">
        <v>10817</v>
      </c>
      <c r="S1061" s="14" t="s">
        <v>397</v>
      </c>
      <c r="T1061" s="12" t="s">
        <v>161</v>
      </c>
      <c r="U1061" s="15" t="str">
        <f t="shared" si="28"/>
        <v>Hilton Hindi LOB - ECC</v>
      </c>
      <c r="V1061" s="12" t="s">
        <v>126</v>
      </c>
      <c r="W1061" s="12" t="s">
        <v>127</v>
      </c>
      <c r="X1061" s="12" t="s">
        <v>128</v>
      </c>
      <c r="Y1061" s="12" t="s">
        <v>1038</v>
      </c>
      <c r="AA1061" s="12"/>
      <c r="AB1061" s="33"/>
      <c r="AC1061" s="34"/>
      <c r="AD1061" s="15"/>
      <c r="AE1061" s="14"/>
      <c r="AF1061" s="12"/>
      <c r="AG1061" s="12"/>
      <c r="AH1061" s="12"/>
      <c r="AJ1061"/>
      <c r="AK1061"/>
    </row>
    <row r="1062" spans="18:37" ht="14">
      <c r="R1062" s="14">
        <v>12609</v>
      </c>
      <c r="S1062" s="14" t="s">
        <v>600</v>
      </c>
      <c r="T1062" s="12" t="s">
        <v>116</v>
      </c>
      <c r="U1062" s="15" t="str">
        <f t="shared" si="28"/>
        <v>Hinge Health - PRD</v>
      </c>
      <c r="V1062" s="12" t="s">
        <v>117</v>
      </c>
      <c r="W1062" s="12" t="s">
        <v>117</v>
      </c>
      <c r="X1062" s="12" t="s">
        <v>117</v>
      </c>
      <c r="Y1062" s="12" t="s">
        <v>1038</v>
      </c>
      <c r="AA1062" s="12"/>
      <c r="AB1062" s="33"/>
      <c r="AC1062" s="34"/>
      <c r="AD1062" s="15"/>
      <c r="AE1062" s="14"/>
      <c r="AF1062" s="12"/>
      <c r="AG1062" s="12"/>
      <c r="AH1062" s="12"/>
      <c r="AJ1062"/>
      <c r="AK1062"/>
    </row>
    <row r="1063" spans="18:37" ht="14">
      <c r="R1063" s="14">
        <v>20460</v>
      </c>
      <c r="S1063" s="14" t="s">
        <v>637</v>
      </c>
      <c r="T1063" s="12" t="s">
        <v>185</v>
      </c>
      <c r="U1063" s="15" t="str">
        <f t="shared" si="28"/>
        <v>Hiscox Inbound Support - TPS</v>
      </c>
      <c r="V1063" s="12" t="s">
        <v>126</v>
      </c>
      <c r="W1063" s="12" t="s">
        <v>163</v>
      </c>
      <c r="X1063" s="12" t="s">
        <v>164</v>
      </c>
      <c r="Y1063" s="12" t="s">
        <v>1038</v>
      </c>
      <c r="AA1063" s="12"/>
      <c r="AB1063" s="33"/>
      <c r="AC1063" s="34"/>
      <c r="AD1063" s="15"/>
      <c r="AE1063" s="14"/>
      <c r="AF1063" s="12"/>
      <c r="AG1063" s="12"/>
      <c r="AH1063" s="12"/>
      <c r="AJ1063"/>
      <c r="AK1063"/>
    </row>
    <row r="1064" spans="18:37" ht="14">
      <c r="R1064" s="14">
        <v>10041</v>
      </c>
      <c r="S1064" s="14" t="s">
        <v>194</v>
      </c>
      <c r="T1064" s="12" t="s">
        <v>185</v>
      </c>
      <c r="U1064" s="15" t="str">
        <f t="shared" si="28"/>
        <v>Hiscox_Ops Services_India - TPS</v>
      </c>
      <c r="V1064" s="12" t="s">
        <v>126</v>
      </c>
      <c r="W1064" s="12" t="s">
        <v>163</v>
      </c>
      <c r="X1064" s="12" t="s">
        <v>164</v>
      </c>
      <c r="Y1064" s="12" t="s">
        <v>1038</v>
      </c>
      <c r="AA1064" s="12"/>
      <c r="AB1064" s="33"/>
      <c r="AC1064" s="34"/>
      <c r="AD1064" s="15"/>
      <c r="AE1064" s="14"/>
      <c r="AF1064" s="12"/>
      <c r="AG1064" s="12"/>
      <c r="AH1064" s="12"/>
      <c r="AJ1064"/>
      <c r="AK1064"/>
    </row>
    <row r="1065" spans="18:37" ht="14">
      <c r="R1065" s="14">
        <v>51144</v>
      </c>
      <c r="S1065" s="14" t="s">
        <v>712</v>
      </c>
      <c r="T1065" s="12" t="s">
        <v>116</v>
      </c>
      <c r="U1065" s="15" t="str">
        <f t="shared" si="28"/>
        <v>Hollander-EBSSupport - PRD</v>
      </c>
      <c r="V1065" s="12" t="s">
        <v>117</v>
      </c>
      <c r="W1065" s="12" t="s">
        <v>117</v>
      </c>
      <c r="X1065" s="12" t="s">
        <v>117</v>
      </c>
      <c r="Y1065" s="12" t="s">
        <v>1038</v>
      </c>
      <c r="AA1065" s="12"/>
      <c r="AB1065" s="33"/>
      <c r="AC1065" s="34"/>
      <c r="AD1065" s="15"/>
      <c r="AE1065" s="14"/>
      <c r="AF1065" s="12"/>
      <c r="AG1065" s="12"/>
      <c r="AH1065" s="12"/>
      <c r="AJ1065"/>
      <c r="AK1065"/>
    </row>
    <row r="1066" spans="18:37" ht="14">
      <c r="R1066" s="14">
        <v>96737</v>
      </c>
      <c r="S1066" s="14" t="s">
        <v>614</v>
      </c>
      <c r="T1066" s="12" t="s">
        <v>139</v>
      </c>
      <c r="U1066" s="15" t="str">
        <f t="shared" si="28"/>
        <v>Horizontal Business Finance - SMGT</v>
      </c>
      <c r="V1066" s="12" t="s">
        <v>104</v>
      </c>
      <c r="W1066" s="12" t="s">
        <v>122</v>
      </c>
      <c r="X1066" s="12" t="s">
        <v>114</v>
      </c>
      <c r="Y1066" s="12" t="s">
        <v>1038</v>
      </c>
      <c r="AA1066" s="12"/>
      <c r="AB1066" s="33"/>
      <c r="AC1066" s="34"/>
      <c r="AD1066" s="15"/>
      <c r="AE1066" s="14"/>
      <c r="AF1066" s="12"/>
      <c r="AG1066" s="12"/>
      <c r="AH1066" s="12"/>
      <c r="AJ1066"/>
      <c r="AK1066"/>
    </row>
    <row r="1067" spans="18:37" ht="14">
      <c r="R1067" s="14">
        <v>96737</v>
      </c>
      <c r="S1067" s="14" t="s">
        <v>614</v>
      </c>
      <c r="T1067" s="12" t="s">
        <v>145</v>
      </c>
      <c r="U1067" s="15" t="str">
        <f t="shared" si="28"/>
        <v>Horizontal Business Finance - SUP</v>
      </c>
      <c r="V1067" s="12" t="s">
        <v>104</v>
      </c>
      <c r="W1067" s="12" t="s">
        <v>122</v>
      </c>
      <c r="X1067" s="12" t="s">
        <v>114</v>
      </c>
      <c r="Y1067" s="12" t="s">
        <v>1038</v>
      </c>
      <c r="AA1067" s="12"/>
      <c r="AB1067" s="33"/>
      <c r="AC1067" s="34"/>
      <c r="AD1067" s="15"/>
      <c r="AE1067" s="14"/>
      <c r="AF1067" s="12"/>
      <c r="AG1067" s="12"/>
      <c r="AH1067" s="12"/>
      <c r="AJ1067"/>
      <c r="AK1067"/>
    </row>
    <row r="1068" spans="18:37" ht="14">
      <c r="R1068" s="14">
        <v>10721</v>
      </c>
      <c r="S1068" s="14" t="s">
        <v>334</v>
      </c>
      <c r="T1068" s="12" t="s">
        <v>133</v>
      </c>
      <c r="U1068" s="15" t="str">
        <f t="shared" si="28"/>
        <v>Hotstar Digital Chat CS IND - AMG</v>
      </c>
      <c r="V1068" s="12" t="s">
        <v>126</v>
      </c>
      <c r="W1068" s="12" t="s">
        <v>127</v>
      </c>
      <c r="X1068" s="12" t="s">
        <v>128</v>
      </c>
      <c r="Y1068" s="12" t="s">
        <v>1038</v>
      </c>
      <c r="AA1068" s="12"/>
      <c r="AB1068" s="33"/>
      <c r="AC1068" s="34"/>
      <c r="AD1068" s="15"/>
      <c r="AE1068" s="14"/>
      <c r="AF1068" s="12"/>
      <c r="AG1068" s="12"/>
      <c r="AH1068" s="12"/>
      <c r="AJ1068"/>
      <c r="AK1068"/>
    </row>
    <row r="1069" spans="18:37" ht="14">
      <c r="R1069" s="14">
        <v>10721</v>
      </c>
      <c r="S1069" s="14" t="s">
        <v>334</v>
      </c>
      <c r="T1069" s="12" t="s">
        <v>150</v>
      </c>
      <c r="U1069" s="15" t="str">
        <f t="shared" si="28"/>
        <v>Hotstar Digital Chat CS IND - CCS</v>
      </c>
      <c r="V1069" s="12" t="s">
        <v>126</v>
      </c>
      <c r="W1069" s="12" t="s">
        <v>127</v>
      </c>
      <c r="X1069" s="12" t="s">
        <v>128</v>
      </c>
      <c r="Y1069" s="12" t="s">
        <v>1038</v>
      </c>
      <c r="AA1069" s="12"/>
      <c r="AB1069" s="33"/>
      <c r="AC1069" s="34"/>
      <c r="AD1069" s="15"/>
      <c r="AE1069" s="14"/>
      <c r="AF1069" s="12"/>
      <c r="AG1069" s="12"/>
      <c r="AH1069" s="12"/>
      <c r="AJ1069"/>
      <c r="AK1069"/>
    </row>
    <row r="1070" spans="18:37" ht="14">
      <c r="R1070" s="14">
        <v>10721</v>
      </c>
      <c r="S1070" s="14" t="s">
        <v>334</v>
      </c>
      <c r="T1070" s="12" t="s">
        <v>161</v>
      </c>
      <c r="U1070" s="15" t="str">
        <f t="shared" si="28"/>
        <v>Hotstar Digital Chat CS IND - ECC</v>
      </c>
      <c r="V1070" s="12" t="s">
        <v>126</v>
      </c>
      <c r="W1070" s="12" t="s">
        <v>178</v>
      </c>
      <c r="X1070" s="12" t="s">
        <v>128</v>
      </c>
      <c r="Y1070" s="12" t="s">
        <v>1038</v>
      </c>
      <c r="AA1070" s="12"/>
      <c r="AB1070" s="33"/>
      <c r="AC1070" s="34"/>
      <c r="AD1070" s="15"/>
      <c r="AE1070" s="14"/>
      <c r="AF1070" s="12"/>
      <c r="AG1070" s="12"/>
      <c r="AH1070" s="12"/>
      <c r="AJ1070"/>
      <c r="AK1070"/>
    </row>
    <row r="1071" spans="18:37" ht="14">
      <c r="R1071" s="14">
        <v>10721</v>
      </c>
      <c r="S1071" s="14" t="s">
        <v>334</v>
      </c>
      <c r="T1071" s="12" t="s">
        <v>129</v>
      </c>
      <c r="U1071" s="15" t="str">
        <f t="shared" si="28"/>
        <v>Hotstar Digital Chat CS IND - MGT</v>
      </c>
      <c r="V1071" s="12" t="s">
        <v>126</v>
      </c>
      <c r="W1071" s="12" t="s">
        <v>127</v>
      </c>
      <c r="X1071" s="12" t="s">
        <v>128</v>
      </c>
      <c r="Y1071" s="12" t="s">
        <v>1038</v>
      </c>
      <c r="AA1071" s="12"/>
      <c r="AB1071" s="33"/>
      <c r="AC1071" s="34"/>
      <c r="AD1071" s="15"/>
      <c r="AE1071" s="14"/>
      <c r="AF1071" s="12"/>
      <c r="AG1071" s="12"/>
      <c r="AH1071" s="12"/>
      <c r="AJ1071"/>
      <c r="AK1071"/>
    </row>
    <row r="1072" spans="18:37" ht="14">
      <c r="R1072" s="14">
        <v>10721</v>
      </c>
      <c r="S1072" s="14" t="s">
        <v>334</v>
      </c>
      <c r="T1072" s="12" t="s">
        <v>116</v>
      </c>
      <c r="U1072" s="15" t="str">
        <f t="shared" si="28"/>
        <v>Hotstar Digital Chat CS IND - PRD</v>
      </c>
      <c r="V1072" s="12" t="s">
        <v>126</v>
      </c>
      <c r="W1072" s="12" t="s">
        <v>178</v>
      </c>
      <c r="X1072" s="12" t="s">
        <v>128</v>
      </c>
      <c r="Y1072" s="12" t="s">
        <v>1038</v>
      </c>
      <c r="AA1072" s="12"/>
      <c r="AB1072" s="33"/>
      <c r="AC1072" s="34"/>
      <c r="AD1072" s="15"/>
      <c r="AE1072" s="14"/>
      <c r="AF1072" s="12"/>
      <c r="AG1072" s="12"/>
      <c r="AH1072" s="12"/>
      <c r="AJ1072"/>
      <c r="AK1072"/>
    </row>
    <row r="1073" spans="18:37" ht="14">
      <c r="R1073" s="14">
        <v>10721</v>
      </c>
      <c r="S1073" s="14" t="s">
        <v>334</v>
      </c>
      <c r="T1073" s="12" t="s">
        <v>111</v>
      </c>
      <c r="U1073" s="15" t="str">
        <f t="shared" si="28"/>
        <v>Hotstar Digital Chat CS IND - QLY</v>
      </c>
      <c r="V1073" s="12" t="s">
        <v>112</v>
      </c>
      <c r="W1073" s="12" t="s">
        <v>113</v>
      </c>
      <c r="X1073" s="12" t="s">
        <v>114</v>
      </c>
      <c r="Y1073" s="12" t="s">
        <v>1038</v>
      </c>
      <c r="AA1073" s="12"/>
      <c r="AB1073" s="33"/>
      <c r="AC1073" s="34"/>
      <c r="AD1073" s="15"/>
      <c r="AE1073" s="14"/>
      <c r="AF1073" s="12"/>
      <c r="AG1073" s="12"/>
      <c r="AH1073" s="12"/>
      <c r="AJ1073"/>
      <c r="AK1073"/>
    </row>
    <row r="1074" spans="18:37" ht="14">
      <c r="R1074" s="14">
        <v>10721</v>
      </c>
      <c r="S1074" s="14" t="s">
        <v>334</v>
      </c>
      <c r="T1074" s="12" t="s">
        <v>145</v>
      </c>
      <c r="U1074" s="15" t="str">
        <f t="shared" si="28"/>
        <v>Hotstar Digital Chat CS IND - SUP</v>
      </c>
      <c r="V1074" s="12" t="s">
        <v>126</v>
      </c>
      <c r="W1074" s="12" t="s">
        <v>178</v>
      </c>
      <c r="X1074" s="12" t="s">
        <v>128</v>
      </c>
      <c r="Y1074" s="12" t="s">
        <v>1038</v>
      </c>
      <c r="AA1074" s="12"/>
      <c r="AB1074" s="33"/>
      <c r="AC1074" s="34"/>
      <c r="AD1074" s="15"/>
      <c r="AE1074" s="14"/>
      <c r="AF1074" s="12"/>
      <c r="AG1074" s="12"/>
      <c r="AH1074" s="12"/>
      <c r="AJ1074"/>
      <c r="AK1074"/>
    </row>
    <row r="1075" spans="18:37" ht="14">
      <c r="R1075" s="14">
        <v>10721</v>
      </c>
      <c r="S1075" s="14" t="s">
        <v>334</v>
      </c>
      <c r="T1075" s="12" t="s">
        <v>180</v>
      </c>
      <c r="U1075" s="15" t="str">
        <f t="shared" si="28"/>
        <v>Hotstar Digital Chat CS IND - TMG</v>
      </c>
      <c r="V1075" s="12" t="s">
        <v>126</v>
      </c>
      <c r="W1075" s="12" t="s">
        <v>178</v>
      </c>
      <c r="X1075" s="12" t="s">
        <v>128</v>
      </c>
      <c r="Y1075" s="12" t="s">
        <v>1038</v>
      </c>
      <c r="AA1075" s="12"/>
      <c r="AB1075" s="33"/>
      <c r="AC1075" s="34"/>
      <c r="AD1075" s="15"/>
      <c r="AE1075" s="14"/>
      <c r="AF1075" s="12"/>
      <c r="AG1075" s="12"/>
      <c r="AH1075" s="12"/>
      <c r="AJ1075"/>
      <c r="AK1075"/>
    </row>
    <row r="1076" spans="18:37" ht="14">
      <c r="R1076" s="14">
        <v>10721</v>
      </c>
      <c r="S1076" s="14" t="s">
        <v>334</v>
      </c>
      <c r="T1076" s="12" t="s">
        <v>185</v>
      </c>
      <c r="U1076" s="15" t="str">
        <f t="shared" si="28"/>
        <v>Hotstar Digital Chat CS IND - TPS</v>
      </c>
      <c r="V1076" s="12" t="s">
        <v>126</v>
      </c>
      <c r="W1076" s="12" t="s">
        <v>178</v>
      </c>
      <c r="X1076" s="12" t="s">
        <v>128</v>
      </c>
      <c r="Y1076" s="12" t="s">
        <v>1038</v>
      </c>
      <c r="AA1076" s="12"/>
      <c r="AB1076" s="33"/>
      <c r="AC1076" s="34"/>
      <c r="AD1076" s="15"/>
      <c r="AE1076" s="14"/>
      <c r="AF1076" s="12"/>
      <c r="AG1076" s="12"/>
      <c r="AH1076" s="12"/>
      <c r="AJ1076"/>
      <c r="AK1076"/>
    </row>
    <row r="1077" spans="18:37" ht="14">
      <c r="R1077" s="14">
        <v>10721</v>
      </c>
      <c r="S1077" s="14" t="s">
        <v>334</v>
      </c>
      <c r="T1077" s="12" t="s">
        <v>208</v>
      </c>
      <c r="U1077" s="15" t="str">
        <f t="shared" si="28"/>
        <v>Hotstar Digital Chat CS IND - TTR</v>
      </c>
      <c r="V1077" s="12" t="s">
        <v>112</v>
      </c>
      <c r="W1077" s="12" t="s">
        <v>204</v>
      </c>
      <c r="X1077" s="12" t="s">
        <v>205</v>
      </c>
      <c r="Y1077" s="12" t="s">
        <v>1038</v>
      </c>
      <c r="AA1077" s="12"/>
      <c r="AB1077" s="33"/>
      <c r="AC1077" s="34"/>
      <c r="AD1077" s="15"/>
      <c r="AE1077" s="14"/>
      <c r="AF1077" s="12"/>
      <c r="AG1077" s="12"/>
      <c r="AH1077" s="12"/>
      <c r="AJ1077"/>
      <c r="AK1077"/>
    </row>
    <row r="1078" spans="18:37" ht="14">
      <c r="R1078" s="14">
        <v>97115</v>
      </c>
      <c r="S1078" s="14" t="s">
        <v>616</v>
      </c>
      <c r="T1078" s="12" t="s">
        <v>129</v>
      </c>
      <c r="U1078" s="15" t="str">
        <f t="shared" si="28"/>
        <v>HR Business Partners - MGT</v>
      </c>
      <c r="V1078" s="12" t="s">
        <v>104</v>
      </c>
      <c r="W1078" s="12" t="s">
        <v>410</v>
      </c>
      <c r="X1078" s="12" t="s">
        <v>114</v>
      </c>
      <c r="Y1078" s="12" t="s">
        <v>1038</v>
      </c>
      <c r="AA1078" s="12"/>
      <c r="AB1078" s="33"/>
      <c r="AC1078" s="34"/>
      <c r="AD1078" s="15"/>
      <c r="AE1078" s="14"/>
      <c r="AF1078" s="12"/>
      <c r="AG1078" s="12"/>
      <c r="AH1078" s="12"/>
      <c r="AJ1078"/>
      <c r="AK1078"/>
    </row>
    <row r="1079" spans="18:37" ht="14">
      <c r="R1079" s="14">
        <v>97115</v>
      </c>
      <c r="S1079" s="14" t="s">
        <v>616</v>
      </c>
      <c r="T1079" s="12" t="s">
        <v>547</v>
      </c>
      <c r="U1079" s="15" t="str">
        <f t="shared" si="28"/>
        <v>HR Business Partners - PHR</v>
      </c>
      <c r="V1079" s="12" t="s">
        <v>104</v>
      </c>
      <c r="W1079" s="12" t="s">
        <v>410</v>
      </c>
      <c r="X1079" s="12" t="s">
        <v>114</v>
      </c>
      <c r="Y1079" s="12" t="s">
        <v>1038</v>
      </c>
      <c r="AA1079" s="12"/>
      <c r="AB1079" s="33"/>
      <c r="AC1079" s="34"/>
      <c r="AD1079" s="15"/>
      <c r="AE1079" s="14"/>
      <c r="AF1079" s="12"/>
      <c r="AG1079" s="12"/>
      <c r="AH1079" s="12"/>
      <c r="AJ1079"/>
      <c r="AK1079"/>
    </row>
    <row r="1080" spans="18:37" ht="14">
      <c r="R1080" s="14">
        <v>97115</v>
      </c>
      <c r="S1080" s="14" t="s">
        <v>616</v>
      </c>
      <c r="T1080" s="12" t="s">
        <v>139</v>
      </c>
      <c r="U1080" s="15" t="str">
        <f t="shared" si="28"/>
        <v>HR Business Partners - SMGT</v>
      </c>
      <c r="V1080" s="12" t="s">
        <v>104</v>
      </c>
      <c r="W1080" s="12" t="s">
        <v>410</v>
      </c>
      <c r="X1080" s="12" t="s">
        <v>114</v>
      </c>
      <c r="Y1080" s="12" t="s">
        <v>1038</v>
      </c>
      <c r="AA1080" s="12"/>
      <c r="AB1080" s="33"/>
      <c r="AC1080" s="34"/>
      <c r="AD1080" s="15"/>
      <c r="AE1080" s="14"/>
      <c r="AF1080" s="12"/>
      <c r="AG1080" s="12"/>
      <c r="AH1080" s="12"/>
      <c r="AJ1080"/>
      <c r="AK1080"/>
    </row>
    <row r="1081" spans="18:37" ht="14">
      <c r="R1081" s="14">
        <v>97115</v>
      </c>
      <c r="S1081" s="14" t="s">
        <v>616</v>
      </c>
      <c r="T1081" s="12" t="s">
        <v>145</v>
      </c>
      <c r="U1081" s="15" t="str">
        <f t="shared" si="28"/>
        <v>HR Business Partners - SUP</v>
      </c>
      <c r="V1081" s="12" t="s">
        <v>104</v>
      </c>
      <c r="W1081" s="12" t="s">
        <v>410</v>
      </c>
      <c r="X1081" s="12" t="s">
        <v>114</v>
      </c>
      <c r="Y1081" s="12" t="s">
        <v>1038</v>
      </c>
      <c r="AA1081" s="12"/>
      <c r="AB1081" s="33"/>
      <c r="AC1081" s="34"/>
      <c r="AD1081" s="15"/>
      <c r="AE1081" s="14"/>
      <c r="AF1081" s="12"/>
      <c r="AG1081" s="12"/>
      <c r="AH1081" s="12"/>
      <c r="AJ1081"/>
      <c r="AK1081"/>
    </row>
    <row r="1082" spans="18:37" ht="14">
      <c r="R1082" s="14">
        <v>97124</v>
      </c>
      <c r="S1082" s="14" t="s">
        <v>620</v>
      </c>
      <c r="T1082" s="12" t="s">
        <v>556</v>
      </c>
      <c r="U1082" s="15" t="str">
        <f t="shared" si="28"/>
        <v>HR Campus Initiatives - HRD</v>
      </c>
      <c r="V1082" s="12" t="s">
        <v>104</v>
      </c>
      <c r="W1082" s="12" t="s">
        <v>512</v>
      </c>
      <c r="X1082" s="12" t="s">
        <v>114</v>
      </c>
      <c r="Y1082" s="12" t="s">
        <v>1038</v>
      </c>
      <c r="AA1082" s="12"/>
      <c r="AB1082" s="33"/>
      <c r="AC1082" s="34"/>
      <c r="AD1082" s="15"/>
      <c r="AE1082" s="14"/>
      <c r="AF1082" s="12"/>
      <c r="AG1082" s="12"/>
      <c r="AH1082" s="12"/>
      <c r="AJ1082"/>
      <c r="AK1082"/>
    </row>
    <row r="1083" spans="18:37" ht="14">
      <c r="R1083" s="14">
        <v>97124</v>
      </c>
      <c r="S1083" s="14" t="s">
        <v>620</v>
      </c>
      <c r="T1083" s="12" t="s">
        <v>129</v>
      </c>
      <c r="U1083" s="15" t="str">
        <f t="shared" si="28"/>
        <v>HR Campus Initiatives - MGT</v>
      </c>
      <c r="V1083" s="12" t="s">
        <v>104</v>
      </c>
      <c r="W1083" s="12" t="s">
        <v>512</v>
      </c>
      <c r="X1083" s="12" t="s">
        <v>114</v>
      </c>
      <c r="Y1083" s="12" t="s">
        <v>1038</v>
      </c>
      <c r="AA1083" s="12"/>
      <c r="AB1083" s="33"/>
      <c r="AC1083" s="34"/>
      <c r="AD1083" s="15"/>
      <c r="AE1083" s="14"/>
      <c r="AF1083" s="12"/>
      <c r="AG1083" s="12"/>
      <c r="AH1083" s="12"/>
      <c r="AJ1083"/>
      <c r="AK1083"/>
    </row>
    <row r="1084" spans="18:37" ht="14">
      <c r="R1084" s="14">
        <v>97124</v>
      </c>
      <c r="S1084" s="14" t="s">
        <v>620</v>
      </c>
      <c r="T1084" s="12" t="s">
        <v>145</v>
      </c>
      <c r="U1084" s="15" t="str">
        <f t="shared" si="28"/>
        <v>HR Campus Initiatives - SUP</v>
      </c>
      <c r="V1084" s="12" t="s">
        <v>104</v>
      </c>
      <c r="W1084" s="12" t="s">
        <v>512</v>
      </c>
      <c r="X1084" s="12" t="s">
        <v>114</v>
      </c>
      <c r="Y1084" s="12" t="s">
        <v>1038</v>
      </c>
      <c r="AA1084" s="12"/>
      <c r="AB1084" s="33"/>
      <c r="AC1084" s="34"/>
      <c r="AD1084" s="15"/>
      <c r="AE1084" s="14"/>
      <c r="AF1084" s="12"/>
      <c r="AG1084" s="12"/>
      <c r="AH1084" s="12"/>
      <c r="AJ1084"/>
      <c r="AK1084"/>
    </row>
    <row r="1085" spans="18:37" ht="14">
      <c r="R1085" s="14">
        <v>97106</v>
      </c>
      <c r="S1085" s="14" t="s">
        <v>624</v>
      </c>
      <c r="T1085" s="12" t="s">
        <v>556</v>
      </c>
      <c r="U1085" s="15" t="str">
        <f t="shared" si="28"/>
        <v>HR Comp &amp; Benefits - HRD</v>
      </c>
      <c r="V1085" s="12" t="s">
        <v>104</v>
      </c>
      <c r="W1085" s="12" t="s">
        <v>410</v>
      </c>
      <c r="X1085" s="12" t="s">
        <v>114</v>
      </c>
      <c r="Y1085" s="12" t="s">
        <v>1038</v>
      </c>
      <c r="AA1085" s="12"/>
      <c r="AB1085" s="33"/>
      <c r="AC1085" s="34"/>
      <c r="AD1085" s="15"/>
      <c r="AE1085" s="14"/>
      <c r="AF1085" s="12"/>
      <c r="AG1085" s="12"/>
      <c r="AH1085" s="12"/>
      <c r="AJ1085"/>
      <c r="AK1085"/>
    </row>
    <row r="1086" spans="18:37" ht="14">
      <c r="R1086" s="14">
        <v>97106</v>
      </c>
      <c r="S1086" s="14" t="s">
        <v>624</v>
      </c>
      <c r="T1086" s="12" t="s">
        <v>129</v>
      </c>
      <c r="U1086" s="15" t="str">
        <f t="shared" si="28"/>
        <v>HR Comp &amp; Benefits - MGT</v>
      </c>
      <c r="V1086" s="12" t="s">
        <v>104</v>
      </c>
      <c r="W1086" s="12" t="s">
        <v>410</v>
      </c>
      <c r="X1086" s="12" t="s">
        <v>114</v>
      </c>
      <c r="Y1086" s="12" t="s">
        <v>1038</v>
      </c>
      <c r="AA1086" s="12"/>
      <c r="AB1086" s="33"/>
      <c r="AC1086" s="34"/>
      <c r="AD1086" s="15"/>
      <c r="AE1086" s="14"/>
      <c r="AF1086" s="12"/>
      <c r="AG1086" s="12"/>
      <c r="AH1086" s="12"/>
      <c r="AJ1086"/>
      <c r="AK1086"/>
    </row>
    <row r="1087" spans="18:37" ht="14">
      <c r="R1087" s="14">
        <v>97106</v>
      </c>
      <c r="S1087" s="14" t="s">
        <v>624</v>
      </c>
      <c r="T1087" s="12" t="s">
        <v>145</v>
      </c>
      <c r="U1087" s="15" t="str">
        <f t="shared" si="28"/>
        <v>HR Comp &amp; Benefits - SUP</v>
      </c>
      <c r="V1087" s="12" t="s">
        <v>104</v>
      </c>
      <c r="W1087" s="12" t="s">
        <v>410</v>
      </c>
      <c r="X1087" s="12" t="s">
        <v>114</v>
      </c>
      <c r="Y1087" s="12" t="s">
        <v>1038</v>
      </c>
      <c r="AA1087" s="12"/>
      <c r="AB1087" s="33"/>
      <c r="AC1087" s="34"/>
      <c r="AD1087" s="15"/>
      <c r="AE1087" s="14"/>
      <c r="AF1087" s="12"/>
      <c r="AG1087" s="12"/>
      <c r="AH1087" s="12"/>
      <c r="AJ1087"/>
      <c r="AK1087"/>
    </row>
    <row r="1088" spans="18:37" ht="14">
      <c r="R1088" s="14">
        <v>97117</v>
      </c>
      <c r="S1088" s="14" t="s">
        <v>627</v>
      </c>
      <c r="T1088" s="12" t="s">
        <v>145</v>
      </c>
      <c r="U1088" s="15" t="str">
        <f t="shared" si="28"/>
        <v>HR Employee Engagement - SUP</v>
      </c>
      <c r="V1088" s="12" t="s">
        <v>104</v>
      </c>
      <c r="W1088" s="12" t="s">
        <v>494</v>
      </c>
      <c r="X1088" s="12" t="s">
        <v>114</v>
      </c>
      <c r="Y1088" s="12" t="s">
        <v>1038</v>
      </c>
      <c r="AA1088" s="12"/>
      <c r="AB1088" s="33"/>
      <c r="AC1088" s="34"/>
      <c r="AD1088" s="15"/>
      <c r="AE1088" s="14"/>
      <c r="AF1088" s="12"/>
      <c r="AG1088" s="12"/>
      <c r="AH1088" s="12"/>
      <c r="AJ1088"/>
      <c r="AK1088"/>
    </row>
    <row r="1089" spans="18:37" ht="14">
      <c r="R1089" s="14">
        <v>97127</v>
      </c>
      <c r="S1089" s="14" t="s">
        <v>1008</v>
      </c>
      <c r="T1089" s="12" t="s">
        <v>129</v>
      </c>
      <c r="U1089" s="15" t="str">
        <f t="shared" si="28"/>
        <v>HR Global Employee Relations - MGT</v>
      </c>
      <c r="V1089" s="12" t="s">
        <v>104</v>
      </c>
      <c r="W1089" s="12" t="s">
        <v>410</v>
      </c>
      <c r="X1089" s="12" t="s">
        <v>114</v>
      </c>
      <c r="Y1089" s="12" t="s">
        <v>1038</v>
      </c>
      <c r="AA1089" s="12"/>
      <c r="AB1089" s="33"/>
      <c r="AC1089" s="34"/>
      <c r="AD1089" s="15"/>
      <c r="AE1089" s="14"/>
      <c r="AF1089" s="12"/>
      <c r="AG1089" s="12"/>
      <c r="AH1089" s="12"/>
      <c r="AJ1089"/>
      <c r="AK1089"/>
    </row>
    <row r="1090" spans="18:37" ht="14">
      <c r="R1090" s="14">
        <v>97107</v>
      </c>
      <c r="S1090" s="14" t="s">
        <v>629</v>
      </c>
      <c r="T1090" s="12" t="s">
        <v>556</v>
      </c>
      <c r="U1090" s="15" t="str">
        <f t="shared" si="28"/>
        <v>HR Operations - HRD</v>
      </c>
      <c r="V1090" s="12" t="s">
        <v>104</v>
      </c>
      <c r="W1090" s="12" t="s">
        <v>410</v>
      </c>
      <c r="X1090" s="12" t="s">
        <v>114</v>
      </c>
      <c r="Y1090" s="12" t="s">
        <v>1038</v>
      </c>
      <c r="AA1090" s="12"/>
      <c r="AB1090" s="33"/>
      <c r="AC1090" s="34"/>
      <c r="AD1090" s="15"/>
      <c r="AE1090" s="14"/>
      <c r="AF1090" s="12"/>
      <c r="AG1090" s="12"/>
      <c r="AH1090" s="12"/>
      <c r="AJ1090"/>
      <c r="AK1090"/>
    </row>
    <row r="1091" spans="18:37" ht="14">
      <c r="R1091" s="14">
        <v>97107</v>
      </c>
      <c r="S1091" s="14" t="s">
        <v>629</v>
      </c>
      <c r="T1091" s="12" t="s">
        <v>129</v>
      </c>
      <c r="U1091" s="15" t="str">
        <f t="shared" ref="U1091:U1154" si="29">S1091&amp;" - "&amp;T1091</f>
        <v>HR Operations - MGT</v>
      </c>
      <c r="V1091" s="12" t="s">
        <v>104</v>
      </c>
      <c r="W1091" s="12" t="s">
        <v>410</v>
      </c>
      <c r="X1091" s="12" t="s">
        <v>114</v>
      </c>
      <c r="Y1091" s="12" t="s">
        <v>1038</v>
      </c>
      <c r="AA1091" s="12"/>
      <c r="AB1091" s="33"/>
      <c r="AC1091" s="34"/>
      <c r="AD1091" s="15"/>
      <c r="AE1091" s="14"/>
      <c r="AF1091" s="12"/>
      <c r="AG1091" s="12"/>
      <c r="AH1091" s="12"/>
      <c r="AJ1091"/>
      <c r="AK1091"/>
    </row>
    <row r="1092" spans="18:37" ht="14">
      <c r="R1092" s="14">
        <v>97107</v>
      </c>
      <c r="S1092" s="14" t="s">
        <v>629</v>
      </c>
      <c r="T1092" s="12" t="s">
        <v>547</v>
      </c>
      <c r="U1092" s="15" t="str">
        <f t="shared" si="29"/>
        <v>HR Operations - PHR</v>
      </c>
      <c r="V1092" s="12" t="s">
        <v>104</v>
      </c>
      <c r="W1092" s="12" t="s">
        <v>410</v>
      </c>
      <c r="X1092" s="12" t="s">
        <v>114</v>
      </c>
      <c r="Y1092" s="12" t="s">
        <v>1038</v>
      </c>
      <c r="AA1092" s="12"/>
      <c r="AB1092" s="33"/>
      <c r="AC1092" s="34"/>
      <c r="AD1092" s="15"/>
      <c r="AE1092" s="14"/>
      <c r="AF1092" s="12"/>
      <c r="AG1092" s="12"/>
      <c r="AH1092" s="12"/>
      <c r="AJ1092"/>
      <c r="AK1092"/>
    </row>
    <row r="1093" spans="18:37" ht="14">
      <c r="R1093" s="14">
        <v>97107</v>
      </c>
      <c r="S1093" s="14" t="s">
        <v>629</v>
      </c>
      <c r="T1093" s="12" t="s">
        <v>139</v>
      </c>
      <c r="U1093" s="15" t="str">
        <f t="shared" si="29"/>
        <v>HR Operations - SMGT</v>
      </c>
      <c r="V1093" s="12" t="s">
        <v>104</v>
      </c>
      <c r="W1093" s="12" t="s">
        <v>410</v>
      </c>
      <c r="X1093" s="12" t="s">
        <v>114</v>
      </c>
      <c r="Y1093" s="12" t="s">
        <v>1038</v>
      </c>
      <c r="AA1093" s="12"/>
      <c r="AB1093" s="33"/>
      <c r="AC1093" s="34"/>
      <c r="AD1093" s="15"/>
      <c r="AE1093" s="14"/>
      <c r="AF1093" s="12"/>
      <c r="AG1093" s="12"/>
      <c r="AH1093" s="12"/>
      <c r="AJ1093"/>
      <c r="AK1093"/>
    </row>
    <row r="1094" spans="18:37" ht="14">
      <c r="R1094" s="14">
        <v>97107</v>
      </c>
      <c r="S1094" s="14" t="s">
        <v>629</v>
      </c>
      <c r="T1094" s="12" t="s">
        <v>145</v>
      </c>
      <c r="U1094" s="15" t="str">
        <f t="shared" si="29"/>
        <v>HR Operations - SUP</v>
      </c>
      <c r="V1094" s="12" t="s">
        <v>104</v>
      </c>
      <c r="W1094" s="12" t="s">
        <v>410</v>
      </c>
      <c r="X1094" s="12" t="s">
        <v>114</v>
      </c>
      <c r="Y1094" s="12" t="s">
        <v>1038</v>
      </c>
      <c r="AA1094" s="12"/>
      <c r="AB1094" s="33"/>
      <c r="AC1094" s="34"/>
      <c r="AD1094" s="15"/>
      <c r="AE1094" s="14"/>
      <c r="AF1094" s="12"/>
      <c r="AG1094" s="12"/>
      <c r="AH1094" s="12"/>
      <c r="AJ1094"/>
      <c r="AK1094"/>
    </row>
    <row r="1095" spans="18:37" ht="14">
      <c r="R1095" s="14">
        <v>97107</v>
      </c>
      <c r="S1095" s="14" t="s">
        <v>629</v>
      </c>
      <c r="T1095" s="12" t="s">
        <v>180</v>
      </c>
      <c r="U1095" s="15" t="str">
        <f t="shared" si="29"/>
        <v>HR Operations - TMG</v>
      </c>
      <c r="V1095" s="12" t="s">
        <v>104</v>
      </c>
      <c r="W1095" s="12" t="s">
        <v>410</v>
      </c>
      <c r="X1095" s="12" t="s">
        <v>114</v>
      </c>
      <c r="Y1095" s="12" t="s">
        <v>1038</v>
      </c>
      <c r="AA1095" s="12"/>
      <c r="AB1095" s="33"/>
      <c r="AC1095" s="34"/>
      <c r="AD1095" s="15"/>
      <c r="AE1095" s="14"/>
      <c r="AF1095" s="12"/>
      <c r="AG1095" s="12"/>
      <c r="AH1095" s="12"/>
      <c r="AJ1095"/>
      <c r="AK1095"/>
    </row>
    <row r="1096" spans="18:37" ht="14">
      <c r="R1096" s="14">
        <v>97116</v>
      </c>
      <c r="S1096" s="14" t="s">
        <v>635</v>
      </c>
      <c r="T1096" s="12" t="s">
        <v>271</v>
      </c>
      <c r="U1096" s="15" t="str">
        <f t="shared" si="29"/>
        <v>HR Shared Services Global - 799999</v>
      </c>
      <c r="V1096" s="12" t="s">
        <v>126</v>
      </c>
      <c r="W1096" s="12" t="s">
        <v>636</v>
      </c>
      <c r="X1096" s="12" t="s">
        <v>114</v>
      </c>
      <c r="Y1096" s="12" t="s">
        <v>1038</v>
      </c>
      <c r="AA1096" s="12"/>
      <c r="AB1096" s="33"/>
      <c r="AC1096" s="34"/>
      <c r="AD1096" s="15"/>
      <c r="AE1096" s="14"/>
      <c r="AF1096" s="12"/>
      <c r="AG1096" s="12"/>
      <c r="AH1096" s="12"/>
      <c r="AJ1096"/>
      <c r="AK1096"/>
    </row>
    <row r="1097" spans="18:37" ht="14">
      <c r="R1097" s="14">
        <v>97116</v>
      </c>
      <c r="S1097" s="14" t="s">
        <v>635</v>
      </c>
      <c r="T1097" s="12" t="s">
        <v>556</v>
      </c>
      <c r="U1097" s="15" t="str">
        <f t="shared" si="29"/>
        <v>HR Shared Services Global - HRD</v>
      </c>
      <c r="V1097" s="12" t="s">
        <v>126</v>
      </c>
      <c r="W1097" s="12" t="s">
        <v>636</v>
      </c>
      <c r="X1097" s="12" t="s">
        <v>114</v>
      </c>
      <c r="Y1097" s="12" t="s">
        <v>1038</v>
      </c>
      <c r="AA1097" s="12"/>
      <c r="AB1097" s="33"/>
      <c r="AC1097" s="34"/>
      <c r="AD1097" s="15"/>
      <c r="AE1097" s="14"/>
      <c r="AF1097" s="12"/>
      <c r="AG1097" s="12"/>
      <c r="AH1097" s="12"/>
      <c r="AJ1097"/>
      <c r="AK1097"/>
    </row>
    <row r="1098" spans="18:37" ht="14">
      <c r="R1098" s="14">
        <v>97116</v>
      </c>
      <c r="S1098" s="14" t="s">
        <v>635</v>
      </c>
      <c r="T1098" s="12" t="s">
        <v>129</v>
      </c>
      <c r="U1098" s="15" t="str">
        <f t="shared" si="29"/>
        <v>HR Shared Services Global - MGT</v>
      </c>
      <c r="V1098" s="12" t="s">
        <v>126</v>
      </c>
      <c r="W1098" s="12" t="s">
        <v>636</v>
      </c>
      <c r="X1098" s="12" t="s">
        <v>114</v>
      </c>
      <c r="Y1098" s="12" t="s">
        <v>1038</v>
      </c>
      <c r="AA1098" s="12"/>
      <c r="AB1098" s="33"/>
      <c r="AC1098" s="34"/>
      <c r="AD1098" s="15"/>
      <c r="AE1098" s="14"/>
      <c r="AF1098" s="12"/>
      <c r="AG1098" s="12"/>
      <c r="AH1098" s="12"/>
      <c r="AJ1098"/>
      <c r="AK1098"/>
    </row>
    <row r="1099" spans="18:37" ht="14">
      <c r="R1099" s="14">
        <v>97116</v>
      </c>
      <c r="S1099" s="14" t="s">
        <v>635</v>
      </c>
      <c r="T1099" s="12" t="s">
        <v>139</v>
      </c>
      <c r="U1099" s="15" t="str">
        <f t="shared" si="29"/>
        <v>HR Shared Services Global - SMGT</v>
      </c>
      <c r="V1099" s="12" t="s">
        <v>126</v>
      </c>
      <c r="W1099" s="12" t="s">
        <v>636</v>
      </c>
      <c r="X1099" s="12" t="s">
        <v>114</v>
      </c>
      <c r="Y1099" s="12" t="s">
        <v>1038</v>
      </c>
      <c r="AA1099" s="12"/>
      <c r="AB1099" s="33"/>
      <c r="AC1099" s="34"/>
      <c r="AD1099" s="15"/>
      <c r="AE1099" s="14"/>
      <c r="AF1099" s="12"/>
      <c r="AG1099" s="12"/>
      <c r="AH1099" s="12"/>
      <c r="AJ1099"/>
      <c r="AK1099"/>
    </row>
    <row r="1100" spans="18:37" ht="14">
      <c r="R1100" s="14">
        <v>97116</v>
      </c>
      <c r="S1100" s="14" t="s">
        <v>635</v>
      </c>
      <c r="T1100" s="12" t="s">
        <v>145</v>
      </c>
      <c r="U1100" s="15" t="str">
        <f t="shared" si="29"/>
        <v>HR Shared Services Global - SUP</v>
      </c>
      <c r="V1100" s="12" t="s">
        <v>126</v>
      </c>
      <c r="W1100" s="12" t="s">
        <v>636</v>
      </c>
      <c r="X1100" s="12" t="s">
        <v>114</v>
      </c>
      <c r="Y1100" s="12" t="s">
        <v>1038</v>
      </c>
      <c r="AA1100" s="12"/>
      <c r="AB1100" s="33"/>
      <c r="AC1100" s="34"/>
      <c r="AD1100" s="15"/>
      <c r="AE1100" s="14"/>
      <c r="AF1100" s="12"/>
      <c r="AG1100" s="12"/>
      <c r="AH1100" s="12"/>
      <c r="AJ1100"/>
      <c r="AK1100"/>
    </row>
    <row r="1101" spans="18:37" ht="14">
      <c r="R1101" s="14">
        <v>97126</v>
      </c>
      <c r="S1101" s="14" t="s">
        <v>640</v>
      </c>
      <c r="T1101" s="12" t="s">
        <v>556</v>
      </c>
      <c r="U1101" s="15" t="str">
        <f t="shared" si="29"/>
        <v>HR Technology &amp; Analytics - HRD</v>
      </c>
      <c r="V1101" s="12" t="s">
        <v>104</v>
      </c>
      <c r="W1101" s="12" t="s">
        <v>636</v>
      </c>
      <c r="X1101" s="12" t="s">
        <v>114</v>
      </c>
      <c r="Y1101" s="12" t="s">
        <v>1038</v>
      </c>
      <c r="AA1101" s="12"/>
      <c r="AB1101" s="33"/>
      <c r="AC1101" s="34"/>
      <c r="AD1101" s="15"/>
      <c r="AE1101" s="14"/>
      <c r="AF1101" s="12"/>
      <c r="AG1101" s="12"/>
      <c r="AH1101" s="12"/>
      <c r="AJ1101"/>
      <c r="AK1101"/>
    </row>
    <row r="1102" spans="18:37" ht="14">
      <c r="R1102" s="14">
        <v>51149</v>
      </c>
      <c r="S1102" s="14" t="s">
        <v>714</v>
      </c>
      <c r="T1102" s="12" t="s">
        <v>116</v>
      </c>
      <c r="U1102" s="15" t="str">
        <f t="shared" si="29"/>
        <v>HTP-2205-2412-ITOps-CIMS - PRD</v>
      </c>
      <c r="V1102" s="12" t="s">
        <v>117</v>
      </c>
      <c r="W1102" s="12" t="s">
        <v>117</v>
      </c>
      <c r="X1102" s="12" t="s">
        <v>117</v>
      </c>
      <c r="Y1102" s="12" t="s">
        <v>1038</v>
      </c>
      <c r="AA1102" s="12"/>
      <c r="AB1102" s="33"/>
      <c r="AC1102" s="34"/>
      <c r="AD1102" s="15"/>
      <c r="AE1102" s="14"/>
      <c r="AF1102" s="12"/>
      <c r="AG1102" s="12"/>
      <c r="AH1102" s="12"/>
      <c r="AJ1102"/>
      <c r="AK1102"/>
    </row>
    <row r="1103" spans="18:37" ht="14">
      <c r="R1103" s="14">
        <v>51150</v>
      </c>
      <c r="S1103" s="14" t="s">
        <v>716</v>
      </c>
      <c r="T1103" s="12" t="s">
        <v>116</v>
      </c>
      <c r="U1103" s="15" t="str">
        <f t="shared" si="29"/>
        <v>HTP-2207-2412-DBandLinxUnix-CI - PRD</v>
      </c>
      <c r="V1103" s="12" t="s">
        <v>117</v>
      </c>
      <c r="W1103" s="12" t="s">
        <v>117</v>
      </c>
      <c r="X1103" s="12" t="s">
        <v>117</v>
      </c>
      <c r="Y1103" s="12" t="s">
        <v>1038</v>
      </c>
      <c r="AA1103" s="12"/>
      <c r="AB1103" s="33"/>
      <c r="AC1103" s="34"/>
      <c r="AD1103" s="15"/>
      <c r="AE1103" s="14"/>
      <c r="AF1103" s="12"/>
      <c r="AG1103" s="12"/>
      <c r="AH1103" s="12"/>
      <c r="AJ1103"/>
      <c r="AK1103"/>
    </row>
    <row r="1104" spans="18:37" ht="14">
      <c r="R1104" s="14">
        <v>51151</v>
      </c>
      <c r="S1104" s="14" t="s">
        <v>1073</v>
      </c>
      <c r="T1104" s="12" t="s">
        <v>116</v>
      </c>
      <c r="U1104" s="15" t="str">
        <f t="shared" si="29"/>
        <v>HTP23012402QECAutomatedTe - PRD</v>
      </c>
      <c r="V1104" s="12" t="s">
        <v>117</v>
      </c>
      <c r="W1104" s="12" t="s">
        <v>117</v>
      </c>
      <c r="X1104" s="12" t="s">
        <v>117</v>
      </c>
      <c r="Y1104" s="12" t="s">
        <v>1038</v>
      </c>
      <c r="AA1104" s="12"/>
      <c r="AB1104" s="33"/>
      <c r="AC1104" s="34"/>
      <c r="AD1104" s="15"/>
      <c r="AE1104" s="14"/>
      <c r="AF1104" s="12"/>
      <c r="AG1104" s="12"/>
      <c r="AH1104" s="12"/>
      <c r="AJ1104"/>
      <c r="AK1104"/>
    </row>
    <row r="1105" spans="18:37" ht="14">
      <c r="R1105" s="14">
        <v>97100</v>
      </c>
      <c r="S1105" s="14" t="s">
        <v>642</v>
      </c>
      <c r="T1105" s="12" t="s">
        <v>556</v>
      </c>
      <c r="U1105" s="15" t="str">
        <f t="shared" si="29"/>
        <v>Human Resources Local - HRD</v>
      </c>
      <c r="V1105" s="12" t="s">
        <v>104</v>
      </c>
      <c r="W1105" s="12" t="s">
        <v>410</v>
      </c>
      <c r="X1105" s="12" t="s">
        <v>114</v>
      </c>
      <c r="Y1105" s="12" t="s">
        <v>1038</v>
      </c>
      <c r="AA1105" s="12"/>
      <c r="AB1105" s="33"/>
      <c r="AC1105" s="34"/>
      <c r="AD1105" s="15"/>
      <c r="AE1105" s="14"/>
      <c r="AF1105" s="12"/>
      <c r="AG1105" s="12"/>
      <c r="AH1105" s="12"/>
      <c r="AJ1105"/>
      <c r="AK1105"/>
    </row>
    <row r="1106" spans="18:37" ht="14">
      <c r="R1106" s="14">
        <v>97100</v>
      </c>
      <c r="S1106" s="14" t="s">
        <v>642</v>
      </c>
      <c r="T1106" s="12" t="s">
        <v>145</v>
      </c>
      <c r="U1106" s="15" t="str">
        <f t="shared" si="29"/>
        <v>Human Resources Local - SUP</v>
      </c>
      <c r="V1106" s="12" t="s">
        <v>104</v>
      </c>
      <c r="W1106" s="12" t="s">
        <v>410</v>
      </c>
      <c r="X1106" s="12" t="s">
        <v>114</v>
      </c>
      <c r="Y1106" s="12" t="s">
        <v>1038</v>
      </c>
      <c r="AA1106" s="12"/>
      <c r="AB1106" s="33"/>
      <c r="AC1106" s="34"/>
      <c r="AD1106" s="15"/>
      <c r="AE1106" s="14"/>
      <c r="AF1106" s="12"/>
      <c r="AG1106" s="12"/>
      <c r="AH1106" s="12"/>
      <c r="AJ1106"/>
      <c r="AK1106"/>
    </row>
    <row r="1107" spans="18:37" ht="14">
      <c r="R1107" s="14">
        <v>97100</v>
      </c>
      <c r="S1107" s="14" t="s">
        <v>642</v>
      </c>
      <c r="T1107" s="12" t="s">
        <v>180</v>
      </c>
      <c r="U1107" s="15" t="str">
        <f t="shared" si="29"/>
        <v>Human Resources Local - TMG</v>
      </c>
      <c r="V1107" s="12" t="s">
        <v>104</v>
      </c>
      <c r="W1107" s="12" t="s">
        <v>410</v>
      </c>
      <c r="X1107" s="12" t="s">
        <v>114</v>
      </c>
      <c r="Y1107" s="12" t="s">
        <v>1038</v>
      </c>
      <c r="AA1107" s="12"/>
      <c r="AB1107" s="33"/>
      <c r="AC1107" s="34"/>
      <c r="AD1107" s="15"/>
      <c r="AE1107" s="14"/>
      <c r="AF1107" s="12"/>
      <c r="AG1107" s="12"/>
      <c r="AH1107" s="12"/>
      <c r="AJ1107"/>
      <c r="AK1107"/>
    </row>
    <row r="1108" spans="18:37" ht="14">
      <c r="R1108" s="14">
        <v>12094</v>
      </c>
      <c r="S1108" s="14" t="s">
        <v>509</v>
      </c>
      <c r="T1108" s="12" t="s">
        <v>129</v>
      </c>
      <c r="U1108" s="15" t="str">
        <f t="shared" si="29"/>
        <v>Humana Inc_CL - MGT</v>
      </c>
      <c r="V1108" s="12" t="s">
        <v>126</v>
      </c>
      <c r="W1108" s="12" t="s">
        <v>163</v>
      </c>
      <c r="X1108" s="12" t="s">
        <v>164</v>
      </c>
      <c r="Y1108" s="12" t="s">
        <v>1038</v>
      </c>
      <c r="AA1108" s="12"/>
      <c r="AB1108" s="33"/>
      <c r="AC1108" s="34"/>
      <c r="AD1108" s="15"/>
      <c r="AE1108" s="14"/>
      <c r="AF1108" s="12"/>
      <c r="AG1108" s="12"/>
      <c r="AH1108" s="12"/>
      <c r="AJ1108"/>
      <c r="AK1108"/>
    </row>
    <row r="1109" spans="18:37" ht="14">
      <c r="R1109" s="14">
        <v>12094</v>
      </c>
      <c r="S1109" s="14" t="s">
        <v>509</v>
      </c>
      <c r="T1109" s="12" t="s">
        <v>177</v>
      </c>
      <c r="U1109" s="15" t="str">
        <f t="shared" si="29"/>
        <v>Humana Inc_CL - OPS</v>
      </c>
      <c r="V1109" s="12" t="s">
        <v>126</v>
      </c>
      <c r="W1109" s="12" t="s">
        <v>163</v>
      </c>
      <c r="X1109" s="12" t="s">
        <v>164</v>
      </c>
      <c r="Y1109" s="12" t="s">
        <v>1038</v>
      </c>
      <c r="AA1109" s="12"/>
      <c r="AB1109" s="33"/>
      <c r="AC1109" s="34"/>
      <c r="AD1109" s="15"/>
      <c r="AE1109" s="14"/>
      <c r="AF1109" s="12"/>
      <c r="AG1109" s="12"/>
      <c r="AH1109" s="12"/>
      <c r="AJ1109"/>
      <c r="AK1109"/>
    </row>
    <row r="1110" spans="18:37" ht="14">
      <c r="R1110" s="14">
        <v>12094</v>
      </c>
      <c r="S1110" s="14" t="s">
        <v>509</v>
      </c>
      <c r="T1110" s="12" t="s">
        <v>116</v>
      </c>
      <c r="U1110" s="15" t="str">
        <f t="shared" si="29"/>
        <v>Humana Inc_CL - PRD</v>
      </c>
      <c r="V1110" s="12" t="s">
        <v>126</v>
      </c>
      <c r="W1110" s="12" t="s">
        <v>163</v>
      </c>
      <c r="X1110" s="12" t="s">
        <v>164</v>
      </c>
      <c r="Y1110" s="12" t="s">
        <v>1038</v>
      </c>
      <c r="AA1110" s="12"/>
      <c r="AB1110" s="33"/>
      <c r="AC1110" s="34"/>
      <c r="AD1110" s="15"/>
      <c r="AE1110" s="14"/>
      <c r="AF1110" s="12"/>
      <c r="AG1110" s="12"/>
      <c r="AH1110" s="12"/>
      <c r="AJ1110"/>
      <c r="AK1110"/>
    </row>
    <row r="1111" spans="18:37" ht="14">
      <c r="R1111" s="14">
        <v>12094</v>
      </c>
      <c r="S1111" s="14" t="s">
        <v>509</v>
      </c>
      <c r="T1111" s="12" t="s">
        <v>185</v>
      </c>
      <c r="U1111" s="15" t="str">
        <f t="shared" si="29"/>
        <v>Humana Inc_CL - TPS</v>
      </c>
      <c r="V1111" s="12" t="s">
        <v>126</v>
      </c>
      <c r="W1111" s="12" t="s">
        <v>163</v>
      </c>
      <c r="X1111" s="12" t="s">
        <v>164</v>
      </c>
      <c r="Y1111" s="12" t="s">
        <v>1038</v>
      </c>
      <c r="AA1111" s="12"/>
      <c r="AB1111" s="33"/>
      <c r="AC1111" s="34"/>
      <c r="AD1111" s="15"/>
      <c r="AE1111" s="14"/>
      <c r="AF1111" s="12"/>
      <c r="AG1111" s="12"/>
      <c r="AH1111" s="12"/>
      <c r="AJ1111"/>
      <c r="AK1111"/>
    </row>
    <row r="1112" spans="18:37" ht="14">
      <c r="R1112" s="14">
        <v>12095</v>
      </c>
      <c r="S1112" s="14" t="s">
        <v>513</v>
      </c>
      <c r="T1112" s="12" t="s">
        <v>332</v>
      </c>
      <c r="U1112" s="15" t="str">
        <f t="shared" si="29"/>
        <v>Humana Inc_DCAV - RCF</v>
      </c>
      <c r="V1112" s="12" t="s">
        <v>126</v>
      </c>
      <c r="W1112" s="12" t="s">
        <v>163</v>
      </c>
      <c r="X1112" s="12" t="s">
        <v>164</v>
      </c>
      <c r="Y1112" s="12" t="s">
        <v>1038</v>
      </c>
      <c r="AA1112" s="12"/>
      <c r="AB1112" s="33"/>
      <c r="AC1112" s="34"/>
      <c r="AD1112" s="15"/>
      <c r="AE1112" s="14"/>
      <c r="AF1112" s="12"/>
      <c r="AG1112" s="12"/>
      <c r="AH1112" s="12"/>
      <c r="AJ1112"/>
      <c r="AK1112"/>
    </row>
    <row r="1113" spans="18:37" ht="14">
      <c r="R1113" s="14">
        <v>12095</v>
      </c>
      <c r="S1113" s="14" t="s">
        <v>513</v>
      </c>
      <c r="T1113" s="12" t="s">
        <v>145</v>
      </c>
      <c r="U1113" s="15" t="str">
        <f t="shared" si="29"/>
        <v>Humana Inc_DCAV - SUP</v>
      </c>
      <c r="V1113" s="12" t="s">
        <v>126</v>
      </c>
      <c r="W1113" s="12" t="s">
        <v>163</v>
      </c>
      <c r="X1113" s="12" t="s">
        <v>164</v>
      </c>
      <c r="Y1113" s="12" t="s">
        <v>1038</v>
      </c>
      <c r="AA1113" s="12"/>
      <c r="AB1113" s="33"/>
      <c r="AC1113" s="34"/>
      <c r="AD1113" s="15"/>
      <c r="AE1113" s="14"/>
      <c r="AF1113" s="12"/>
      <c r="AG1113" s="12"/>
      <c r="AH1113" s="12"/>
      <c r="AJ1113"/>
      <c r="AK1113"/>
    </row>
    <row r="1114" spans="18:37" ht="14">
      <c r="R1114" s="14">
        <v>12095</v>
      </c>
      <c r="S1114" s="14" t="s">
        <v>513</v>
      </c>
      <c r="T1114" s="12" t="s">
        <v>185</v>
      </c>
      <c r="U1114" s="15" t="str">
        <f t="shared" si="29"/>
        <v>Humana Inc_DCAV - TPS</v>
      </c>
      <c r="V1114" s="12" t="s">
        <v>126</v>
      </c>
      <c r="W1114" s="12" t="s">
        <v>163</v>
      </c>
      <c r="X1114" s="12" t="s">
        <v>164</v>
      </c>
      <c r="Y1114" s="12" t="s">
        <v>1038</v>
      </c>
      <c r="AA1114" s="12"/>
      <c r="AB1114" s="33"/>
      <c r="AC1114" s="34"/>
      <c r="AD1114" s="15"/>
      <c r="AE1114" s="14"/>
      <c r="AF1114" s="12"/>
      <c r="AG1114" s="12"/>
      <c r="AH1114" s="12"/>
      <c r="AJ1114"/>
      <c r="AK1114"/>
    </row>
    <row r="1115" spans="18:37" ht="14">
      <c r="R1115" s="14">
        <v>12095</v>
      </c>
      <c r="S1115" s="14" t="s">
        <v>513</v>
      </c>
      <c r="T1115" s="12" t="s">
        <v>208</v>
      </c>
      <c r="U1115" s="15" t="str">
        <f t="shared" si="29"/>
        <v>Humana Inc_DCAV - TTR</v>
      </c>
      <c r="V1115" s="12" t="s">
        <v>112</v>
      </c>
      <c r="W1115" s="12" t="s">
        <v>204</v>
      </c>
      <c r="X1115" s="12" t="s">
        <v>205</v>
      </c>
      <c r="Y1115" s="12" t="s">
        <v>1038</v>
      </c>
      <c r="AA1115" s="12"/>
      <c r="AB1115" s="33"/>
      <c r="AC1115" s="34"/>
      <c r="AD1115" s="15"/>
      <c r="AE1115" s="14"/>
      <c r="AF1115" s="12"/>
      <c r="AG1115" s="12"/>
      <c r="AH1115" s="12"/>
      <c r="AJ1115"/>
      <c r="AK1115"/>
    </row>
    <row r="1116" spans="18:37" ht="14">
      <c r="R1116" s="14">
        <v>12097</v>
      </c>
      <c r="S1116" s="14" t="s">
        <v>515</v>
      </c>
      <c r="T1116" s="12" t="s">
        <v>116</v>
      </c>
      <c r="U1116" s="15" t="str">
        <f t="shared" si="29"/>
        <v>Humana Inc_Recredentialing - PRD</v>
      </c>
      <c r="V1116" s="12" t="s">
        <v>126</v>
      </c>
      <c r="W1116" s="12" t="s">
        <v>163</v>
      </c>
      <c r="X1116" s="12" t="s">
        <v>164</v>
      </c>
      <c r="Y1116" s="12" t="s">
        <v>1038</v>
      </c>
      <c r="AA1116" s="12"/>
      <c r="AB1116" s="33"/>
      <c r="AC1116" s="34"/>
      <c r="AD1116" s="15"/>
      <c r="AE1116" s="14"/>
      <c r="AF1116" s="12"/>
      <c r="AG1116" s="12"/>
      <c r="AH1116" s="12"/>
      <c r="AJ1116"/>
      <c r="AK1116"/>
    </row>
    <row r="1117" spans="18:37" ht="14">
      <c r="R1117" s="14">
        <v>12097</v>
      </c>
      <c r="S1117" s="14" t="s">
        <v>515</v>
      </c>
      <c r="T1117" s="12" t="s">
        <v>111</v>
      </c>
      <c r="U1117" s="15" t="str">
        <f t="shared" si="29"/>
        <v>Humana Inc_Recredentialing - QLY</v>
      </c>
      <c r="V1117" s="12" t="s">
        <v>112</v>
      </c>
      <c r="W1117" s="12" t="s">
        <v>113</v>
      </c>
      <c r="X1117" s="12" t="s">
        <v>114</v>
      </c>
      <c r="Y1117" s="12" t="s">
        <v>1038</v>
      </c>
      <c r="AA1117" s="12"/>
      <c r="AB1117" s="33"/>
      <c r="AC1117" s="34"/>
      <c r="AD1117" s="15"/>
      <c r="AE1117" s="14"/>
      <c r="AF1117" s="12"/>
      <c r="AG1117" s="12"/>
      <c r="AH1117" s="12"/>
      <c r="AJ1117"/>
      <c r="AK1117"/>
    </row>
    <row r="1118" spans="18:37" ht="14">
      <c r="R1118" s="14">
        <v>12097</v>
      </c>
      <c r="S1118" s="14" t="s">
        <v>515</v>
      </c>
      <c r="T1118" s="12" t="s">
        <v>185</v>
      </c>
      <c r="U1118" s="15" t="str">
        <f t="shared" si="29"/>
        <v>Humana Inc_Recredentialing - TPS</v>
      </c>
      <c r="V1118" s="12" t="s">
        <v>126</v>
      </c>
      <c r="W1118" s="12" t="s">
        <v>163</v>
      </c>
      <c r="X1118" s="12" t="s">
        <v>164</v>
      </c>
      <c r="Y1118" s="12" t="s">
        <v>1038</v>
      </c>
      <c r="AA1118" s="12"/>
      <c r="AB1118" s="33"/>
      <c r="AC1118" s="34"/>
      <c r="AD1118" s="15"/>
      <c r="AE1118" s="14"/>
      <c r="AF1118" s="12"/>
      <c r="AG1118" s="12"/>
      <c r="AH1118" s="12"/>
      <c r="AJ1118"/>
      <c r="AK1118"/>
    </row>
    <row r="1119" spans="18:37" ht="14">
      <c r="R1119" s="14">
        <v>10620</v>
      </c>
      <c r="S1119" s="14" t="s">
        <v>275</v>
      </c>
      <c r="T1119" s="12" t="s">
        <v>133</v>
      </c>
      <c r="U1119" s="15" t="str">
        <f t="shared" si="29"/>
        <v>IAG GBS LTD-Cargo-CC-Airoli - AMG</v>
      </c>
      <c r="V1119" s="12" t="s">
        <v>126</v>
      </c>
      <c r="W1119" s="12" t="s">
        <v>163</v>
      </c>
      <c r="X1119" s="12" t="s">
        <v>164</v>
      </c>
      <c r="Y1119" s="12" t="s">
        <v>1038</v>
      </c>
      <c r="AA1119" s="12"/>
      <c r="AB1119" s="33"/>
      <c r="AC1119" s="34"/>
      <c r="AD1119" s="15"/>
      <c r="AE1119" s="14"/>
      <c r="AF1119" s="12"/>
      <c r="AG1119" s="12"/>
      <c r="AH1119" s="12"/>
      <c r="AJ1119"/>
      <c r="AK1119"/>
    </row>
    <row r="1120" spans="18:37" ht="14">
      <c r="R1120" s="14">
        <v>10620</v>
      </c>
      <c r="S1120" s="14" t="s">
        <v>275</v>
      </c>
      <c r="T1120" s="12" t="s">
        <v>433</v>
      </c>
      <c r="U1120" s="15" t="str">
        <f t="shared" si="29"/>
        <v>IAG GBS LTD-Cargo-CC-Airoli - ANA</v>
      </c>
      <c r="V1120" s="12" t="s">
        <v>126</v>
      </c>
      <c r="W1120" s="12" t="s">
        <v>163</v>
      </c>
      <c r="X1120" s="12" t="s">
        <v>164</v>
      </c>
      <c r="Y1120" s="12" t="s">
        <v>1038</v>
      </c>
      <c r="AA1120" s="12"/>
      <c r="AB1120" s="33"/>
      <c r="AC1120" s="34"/>
      <c r="AD1120" s="15"/>
      <c r="AE1120" s="14"/>
      <c r="AF1120" s="12"/>
      <c r="AG1120" s="12"/>
      <c r="AH1120" s="12"/>
      <c r="AJ1120"/>
      <c r="AK1120"/>
    </row>
    <row r="1121" spans="18:37" ht="14">
      <c r="R1121" s="14">
        <v>10620</v>
      </c>
      <c r="S1121" s="14" t="s">
        <v>275</v>
      </c>
      <c r="T1121" s="12" t="s">
        <v>150</v>
      </c>
      <c r="U1121" s="15" t="str">
        <f t="shared" si="29"/>
        <v>IAG GBS LTD-Cargo-CC-Airoli - CCS</v>
      </c>
      <c r="V1121" s="12" t="s">
        <v>126</v>
      </c>
      <c r="W1121" s="12" t="s">
        <v>163</v>
      </c>
      <c r="X1121" s="12" t="s">
        <v>164</v>
      </c>
      <c r="Y1121" s="12" t="s">
        <v>1038</v>
      </c>
      <c r="AA1121" s="12"/>
      <c r="AB1121" s="33"/>
      <c r="AC1121" s="34"/>
      <c r="AD1121" s="15"/>
      <c r="AE1121" s="14"/>
      <c r="AF1121" s="12"/>
      <c r="AG1121" s="12"/>
      <c r="AH1121" s="12"/>
      <c r="AJ1121"/>
      <c r="AK1121"/>
    </row>
    <row r="1122" spans="18:37" ht="14">
      <c r="R1122" s="14">
        <v>10620</v>
      </c>
      <c r="S1122" s="14" t="s">
        <v>275</v>
      </c>
      <c r="T1122" s="12" t="s">
        <v>161</v>
      </c>
      <c r="U1122" s="15" t="str">
        <f t="shared" si="29"/>
        <v>IAG GBS LTD-Cargo-CC-Airoli - ECC</v>
      </c>
      <c r="V1122" s="12" t="s">
        <v>126</v>
      </c>
      <c r="W1122" s="12" t="s">
        <v>163</v>
      </c>
      <c r="X1122" s="12" t="s">
        <v>164</v>
      </c>
      <c r="Y1122" s="12" t="s">
        <v>1038</v>
      </c>
      <c r="AA1122" s="12"/>
      <c r="AB1122" s="33"/>
      <c r="AC1122" s="34"/>
      <c r="AD1122" s="15"/>
      <c r="AE1122" s="14"/>
      <c r="AF1122" s="12"/>
      <c r="AG1122" s="12"/>
      <c r="AH1122" s="12"/>
      <c r="AJ1122"/>
      <c r="AK1122"/>
    </row>
    <row r="1123" spans="18:37" ht="14">
      <c r="R1123" s="14">
        <v>10620</v>
      </c>
      <c r="S1123" s="14" t="s">
        <v>275</v>
      </c>
      <c r="T1123" s="12" t="s">
        <v>230</v>
      </c>
      <c r="U1123" s="15" t="str">
        <f t="shared" si="29"/>
        <v>IAG GBS LTD-Cargo-CC-Airoli - PRSP</v>
      </c>
      <c r="V1123" s="12" t="s">
        <v>126</v>
      </c>
      <c r="W1123" s="12" t="s">
        <v>163</v>
      </c>
      <c r="X1123" s="12" t="s">
        <v>164</v>
      </c>
      <c r="Y1123" s="12" t="s">
        <v>1038</v>
      </c>
      <c r="AA1123" s="12"/>
      <c r="AB1123" s="33"/>
      <c r="AC1123" s="34"/>
      <c r="AD1123" s="15"/>
      <c r="AE1123" s="14"/>
      <c r="AF1123" s="12"/>
      <c r="AG1123" s="12"/>
      <c r="AH1123" s="12"/>
      <c r="AJ1123"/>
      <c r="AK1123"/>
    </row>
    <row r="1124" spans="18:37" ht="14">
      <c r="R1124" s="14">
        <v>10620</v>
      </c>
      <c r="S1124" s="14" t="s">
        <v>275</v>
      </c>
      <c r="T1124" s="12" t="s">
        <v>111</v>
      </c>
      <c r="U1124" s="15" t="str">
        <f t="shared" si="29"/>
        <v>IAG GBS LTD-Cargo-CC-Airoli - QLY</v>
      </c>
      <c r="V1124" s="12" t="s">
        <v>112</v>
      </c>
      <c r="W1124" s="12" t="s">
        <v>113</v>
      </c>
      <c r="X1124" s="12" t="s">
        <v>114</v>
      </c>
      <c r="Y1124" s="12" t="s">
        <v>1038</v>
      </c>
      <c r="AA1124" s="12"/>
      <c r="AB1124" s="33"/>
      <c r="AC1124" s="34"/>
      <c r="AD1124" s="15"/>
      <c r="AE1124" s="14"/>
      <c r="AF1124" s="12"/>
      <c r="AG1124" s="12"/>
      <c r="AH1124" s="12"/>
      <c r="AJ1124"/>
      <c r="AK1124"/>
    </row>
    <row r="1125" spans="18:37" ht="14">
      <c r="R1125" s="14">
        <v>10620</v>
      </c>
      <c r="S1125" s="14" t="s">
        <v>275</v>
      </c>
      <c r="T1125" s="12" t="s">
        <v>145</v>
      </c>
      <c r="U1125" s="15" t="str">
        <f t="shared" si="29"/>
        <v>IAG GBS LTD-Cargo-CC-Airoli - SUP</v>
      </c>
      <c r="V1125" s="12" t="s">
        <v>126</v>
      </c>
      <c r="W1125" s="12" t="s">
        <v>163</v>
      </c>
      <c r="X1125" s="12" t="s">
        <v>164</v>
      </c>
      <c r="Y1125" s="12" t="s">
        <v>1038</v>
      </c>
      <c r="AA1125" s="12"/>
      <c r="AB1125" s="33"/>
      <c r="AC1125" s="34"/>
      <c r="AD1125" s="15"/>
      <c r="AE1125" s="14"/>
      <c r="AF1125" s="12"/>
      <c r="AG1125" s="12"/>
      <c r="AH1125" s="12"/>
      <c r="AJ1125"/>
      <c r="AK1125"/>
    </row>
    <row r="1126" spans="18:37" ht="14">
      <c r="R1126" s="14">
        <v>10620</v>
      </c>
      <c r="S1126" s="14" t="s">
        <v>275</v>
      </c>
      <c r="T1126" s="12" t="s">
        <v>180</v>
      </c>
      <c r="U1126" s="15" t="str">
        <f t="shared" si="29"/>
        <v>IAG GBS LTD-Cargo-CC-Airoli - TMG</v>
      </c>
      <c r="V1126" s="12" t="s">
        <v>126</v>
      </c>
      <c r="W1126" s="12" t="s">
        <v>163</v>
      </c>
      <c r="X1126" s="12" t="s">
        <v>164</v>
      </c>
      <c r="Y1126" s="12" t="s">
        <v>1038</v>
      </c>
      <c r="AA1126" s="12"/>
      <c r="AB1126" s="33"/>
      <c r="AC1126" s="34"/>
      <c r="AD1126" s="15"/>
      <c r="AE1126" s="14"/>
      <c r="AF1126" s="12"/>
      <c r="AG1126" s="12"/>
      <c r="AH1126" s="12"/>
      <c r="AJ1126"/>
      <c r="AK1126"/>
    </row>
    <row r="1127" spans="18:37" ht="14">
      <c r="R1127" s="14">
        <v>10620</v>
      </c>
      <c r="S1127" s="14" t="s">
        <v>275</v>
      </c>
      <c r="T1127" s="12" t="s">
        <v>185</v>
      </c>
      <c r="U1127" s="15" t="str">
        <f t="shared" si="29"/>
        <v>IAG GBS LTD-Cargo-CC-Airoli - TPS</v>
      </c>
      <c r="V1127" s="12" t="s">
        <v>126</v>
      </c>
      <c r="W1127" s="12" t="s">
        <v>163</v>
      </c>
      <c r="X1127" s="12" t="s">
        <v>164</v>
      </c>
      <c r="Y1127" s="12" t="s">
        <v>1038</v>
      </c>
      <c r="AA1127" s="12"/>
      <c r="AB1127" s="33"/>
      <c r="AC1127" s="34"/>
      <c r="AD1127" s="15"/>
      <c r="AE1127" s="14"/>
      <c r="AF1127" s="12"/>
      <c r="AG1127" s="12"/>
      <c r="AH1127" s="12"/>
      <c r="AJ1127"/>
      <c r="AK1127"/>
    </row>
    <row r="1128" spans="18:37" ht="14">
      <c r="R1128" s="14">
        <v>10620</v>
      </c>
      <c r="S1128" s="14" t="s">
        <v>275</v>
      </c>
      <c r="T1128" s="12" t="s">
        <v>546</v>
      </c>
      <c r="U1128" s="15" t="str">
        <f t="shared" si="29"/>
        <v>IAG GBS LTD-Cargo-CC-Airoli - TRN</v>
      </c>
      <c r="V1128" s="12" t="s">
        <v>112</v>
      </c>
      <c r="W1128" s="12" t="s">
        <v>204</v>
      </c>
      <c r="X1128" s="12" t="s">
        <v>205</v>
      </c>
      <c r="Y1128" s="12" t="s">
        <v>1038</v>
      </c>
      <c r="AA1128" s="12"/>
      <c r="AB1128" s="33"/>
      <c r="AC1128" s="34"/>
      <c r="AD1128" s="15"/>
      <c r="AE1128" s="14"/>
      <c r="AF1128" s="12"/>
      <c r="AG1128" s="12"/>
      <c r="AH1128" s="12"/>
      <c r="AJ1128"/>
      <c r="AK1128"/>
    </row>
    <row r="1129" spans="18:37" ht="14">
      <c r="R1129" s="14">
        <v>96726</v>
      </c>
      <c r="S1129" s="14" t="s">
        <v>658</v>
      </c>
      <c r="T1129" s="12" t="s">
        <v>121</v>
      </c>
      <c r="U1129" s="15" t="str">
        <f t="shared" si="29"/>
        <v>IDC Business Finance - F&amp;A</v>
      </c>
      <c r="V1129" s="12" t="s">
        <v>104</v>
      </c>
      <c r="W1129" s="12" t="s">
        <v>122</v>
      </c>
      <c r="X1129" s="12" t="s">
        <v>114</v>
      </c>
      <c r="Y1129" s="12" t="s">
        <v>1038</v>
      </c>
      <c r="AA1129" s="12"/>
      <c r="AB1129" s="33"/>
      <c r="AC1129" s="34"/>
      <c r="AD1129" s="15"/>
      <c r="AE1129" s="14"/>
      <c r="AF1129" s="12"/>
      <c r="AG1129" s="12"/>
      <c r="AH1129" s="12"/>
      <c r="AJ1129"/>
      <c r="AK1129"/>
    </row>
    <row r="1130" spans="18:37" ht="14">
      <c r="R1130" s="14">
        <v>96726</v>
      </c>
      <c r="S1130" s="14" t="s">
        <v>658</v>
      </c>
      <c r="T1130" s="12" t="s">
        <v>129</v>
      </c>
      <c r="U1130" s="15" t="str">
        <f t="shared" si="29"/>
        <v>IDC Business Finance - MGT</v>
      </c>
      <c r="V1130" s="12" t="s">
        <v>104</v>
      </c>
      <c r="W1130" s="12" t="s">
        <v>122</v>
      </c>
      <c r="X1130" s="12" t="s">
        <v>114</v>
      </c>
      <c r="Y1130" s="12" t="s">
        <v>1038</v>
      </c>
      <c r="AA1130" s="12"/>
      <c r="AB1130" s="33"/>
      <c r="AC1130" s="34"/>
      <c r="AD1130" s="15"/>
      <c r="AE1130" s="14"/>
      <c r="AF1130" s="12"/>
      <c r="AG1130" s="12"/>
      <c r="AH1130" s="12"/>
      <c r="AJ1130"/>
      <c r="AK1130"/>
    </row>
    <row r="1131" spans="18:37" ht="14">
      <c r="R1131" s="14">
        <v>96726</v>
      </c>
      <c r="S1131" s="14" t="s">
        <v>658</v>
      </c>
      <c r="T1131" s="12" t="s">
        <v>139</v>
      </c>
      <c r="U1131" s="15" t="str">
        <f t="shared" si="29"/>
        <v>IDC Business Finance - SMGT</v>
      </c>
      <c r="V1131" s="12" t="s">
        <v>104</v>
      </c>
      <c r="W1131" s="12" t="s">
        <v>122</v>
      </c>
      <c r="X1131" s="12" t="s">
        <v>114</v>
      </c>
      <c r="Y1131" s="12" t="s">
        <v>1038</v>
      </c>
      <c r="AA1131" s="12"/>
      <c r="AB1131" s="33"/>
      <c r="AC1131" s="34"/>
      <c r="AD1131" s="15"/>
      <c r="AE1131" s="14"/>
      <c r="AF1131" s="12"/>
      <c r="AG1131" s="12"/>
      <c r="AH1131" s="12"/>
      <c r="AJ1131"/>
      <c r="AK1131"/>
    </row>
    <row r="1132" spans="18:37" ht="14">
      <c r="R1132" s="14">
        <v>96726</v>
      </c>
      <c r="S1132" s="14" t="s">
        <v>658</v>
      </c>
      <c r="T1132" s="12" t="s">
        <v>145</v>
      </c>
      <c r="U1132" s="15" t="str">
        <f t="shared" si="29"/>
        <v>IDC Business Finance - SUP</v>
      </c>
      <c r="V1132" s="12" t="s">
        <v>104</v>
      </c>
      <c r="W1132" s="12" t="s">
        <v>122</v>
      </c>
      <c r="X1132" s="12" t="s">
        <v>114</v>
      </c>
      <c r="Y1132" s="12" t="s">
        <v>1038</v>
      </c>
      <c r="AA1132" s="12"/>
      <c r="AB1132" s="33"/>
      <c r="AC1132" s="34"/>
      <c r="AD1132" s="15"/>
      <c r="AE1132" s="14"/>
      <c r="AF1132" s="12"/>
      <c r="AG1132" s="12"/>
      <c r="AH1132" s="12"/>
      <c r="AJ1132"/>
      <c r="AK1132"/>
    </row>
    <row r="1133" spans="18:37" ht="14">
      <c r="R1133" s="14">
        <v>10487</v>
      </c>
      <c r="S1133" s="14" t="s">
        <v>246</v>
      </c>
      <c r="T1133" s="12" t="s">
        <v>116</v>
      </c>
      <c r="U1133" s="15" t="str">
        <f t="shared" si="29"/>
        <v>IDMS Research - PRD</v>
      </c>
      <c r="V1133" s="12" t="s">
        <v>126</v>
      </c>
      <c r="W1133" s="12" t="s">
        <v>184</v>
      </c>
      <c r="X1133" s="12" t="s">
        <v>184</v>
      </c>
      <c r="Y1133" s="12" t="s">
        <v>1038</v>
      </c>
      <c r="AA1133" s="12"/>
      <c r="AB1133" s="33"/>
      <c r="AC1133" s="34"/>
      <c r="AD1133" s="15"/>
      <c r="AE1133" s="14"/>
      <c r="AF1133" s="12"/>
      <c r="AG1133" s="12"/>
      <c r="AH1133" s="12"/>
      <c r="AJ1133"/>
      <c r="AK1133"/>
    </row>
    <row r="1134" spans="18:37" ht="14">
      <c r="R1134" s="14">
        <v>10487</v>
      </c>
      <c r="S1134" s="14" t="s">
        <v>246</v>
      </c>
      <c r="T1134" s="12" t="s">
        <v>510</v>
      </c>
      <c r="U1134" s="15" t="str">
        <f t="shared" si="29"/>
        <v>IDMS Research - RST</v>
      </c>
      <c r="V1134" s="12" t="s">
        <v>126</v>
      </c>
      <c r="W1134" s="12" t="s">
        <v>184</v>
      </c>
      <c r="X1134" s="12" t="s">
        <v>184</v>
      </c>
      <c r="Y1134" s="12" t="s">
        <v>1038</v>
      </c>
      <c r="AA1134" s="12"/>
      <c r="AB1134" s="33"/>
      <c r="AC1134" s="34"/>
      <c r="AD1134" s="15"/>
      <c r="AE1134" s="14"/>
      <c r="AF1134" s="12"/>
      <c r="AG1134" s="12"/>
      <c r="AH1134" s="12"/>
      <c r="AJ1134"/>
      <c r="AK1134"/>
    </row>
    <row r="1135" spans="18:37" ht="14">
      <c r="R1135" s="14">
        <v>10487</v>
      </c>
      <c r="S1135" s="14" t="s">
        <v>246</v>
      </c>
      <c r="T1135" s="12" t="s">
        <v>145</v>
      </c>
      <c r="U1135" s="15" t="str">
        <f t="shared" si="29"/>
        <v>IDMS Research - SUP</v>
      </c>
      <c r="V1135" s="12" t="s">
        <v>126</v>
      </c>
      <c r="W1135" s="12" t="s">
        <v>184</v>
      </c>
      <c r="X1135" s="12" t="s">
        <v>184</v>
      </c>
      <c r="Y1135" s="12" t="s">
        <v>1038</v>
      </c>
      <c r="AA1135" s="12"/>
      <c r="AB1135" s="33"/>
      <c r="AC1135" s="34"/>
      <c r="AD1135" s="15"/>
      <c r="AE1135" s="14"/>
      <c r="AF1135" s="12"/>
      <c r="AG1135" s="12"/>
      <c r="AH1135" s="12"/>
      <c r="AJ1135"/>
      <c r="AK1135"/>
    </row>
    <row r="1136" spans="18:37" ht="14">
      <c r="R1136" s="14">
        <v>51152</v>
      </c>
      <c r="S1136" s="14" t="s">
        <v>717</v>
      </c>
      <c r="T1136" s="12" t="s">
        <v>116</v>
      </c>
      <c r="U1136" s="15" t="str">
        <f t="shared" si="29"/>
        <v>IEEE-2110-2410-Cloudtestr - PRD</v>
      </c>
      <c r="V1136" s="12" t="s">
        <v>117</v>
      </c>
      <c r="W1136" s="12" t="s">
        <v>117</v>
      </c>
      <c r="X1136" s="12" t="s">
        <v>117</v>
      </c>
      <c r="Y1136" s="12" t="s">
        <v>1038</v>
      </c>
      <c r="AA1136" s="12"/>
      <c r="AB1136" s="33"/>
      <c r="AC1136" s="34"/>
      <c r="AD1136" s="15"/>
      <c r="AE1136" s="14"/>
      <c r="AF1136" s="12"/>
      <c r="AG1136" s="12"/>
      <c r="AH1136" s="12"/>
      <c r="AJ1136"/>
      <c r="AK1136"/>
    </row>
    <row r="1137" spans="18:37" ht="14">
      <c r="R1137" s="14">
        <v>51153</v>
      </c>
      <c r="S1137" s="14" t="s">
        <v>718</v>
      </c>
      <c r="T1137" s="12" t="s">
        <v>116</v>
      </c>
      <c r="U1137" s="15" t="str">
        <f t="shared" si="29"/>
        <v>IFFCO-2208-2507-QE-SAP - PRD</v>
      </c>
      <c r="V1137" s="12" t="s">
        <v>117</v>
      </c>
      <c r="W1137" s="12" t="s">
        <v>117</v>
      </c>
      <c r="X1137" s="12" t="s">
        <v>117</v>
      </c>
      <c r="Y1137" s="12" t="s">
        <v>1038</v>
      </c>
      <c r="AA1137" s="12"/>
      <c r="AB1137" s="33"/>
      <c r="AC1137" s="34"/>
      <c r="AD1137" s="15"/>
      <c r="AE1137" s="14"/>
      <c r="AF1137" s="12"/>
      <c r="AG1137" s="12"/>
      <c r="AH1137" s="12"/>
      <c r="AJ1137"/>
      <c r="AK1137"/>
    </row>
    <row r="1138" spans="18:37" ht="14">
      <c r="R1138" s="14">
        <v>10900</v>
      </c>
      <c r="S1138" s="14" t="s">
        <v>442</v>
      </c>
      <c r="T1138" s="12" t="s">
        <v>138</v>
      </c>
      <c r="U1138" s="15" t="str">
        <f t="shared" si="29"/>
        <v>India DHL UK AR - BOS</v>
      </c>
      <c r="V1138" s="12" t="s">
        <v>126</v>
      </c>
      <c r="W1138" s="12" t="s">
        <v>163</v>
      </c>
      <c r="X1138" s="12" t="s">
        <v>164</v>
      </c>
      <c r="Y1138" s="12" t="s">
        <v>1038</v>
      </c>
      <c r="AA1138" s="12"/>
      <c r="AB1138" s="33"/>
      <c r="AC1138" s="34"/>
      <c r="AD1138" s="15"/>
      <c r="AE1138" s="14"/>
      <c r="AF1138" s="12"/>
      <c r="AG1138" s="12"/>
      <c r="AH1138" s="12"/>
      <c r="AJ1138"/>
      <c r="AK1138"/>
    </row>
    <row r="1139" spans="18:37" ht="14">
      <c r="R1139" s="14">
        <v>10900</v>
      </c>
      <c r="S1139" s="14" t="s">
        <v>442</v>
      </c>
      <c r="T1139" s="12" t="s">
        <v>150</v>
      </c>
      <c r="U1139" s="15" t="str">
        <f t="shared" si="29"/>
        <v>India DHL UK AR - CCS</v>
      </c>
      <c r="V1139" s="12" t="s">
        <v>126</v>
      </c>
      <c r="W1139" s="12" t="s">
        <v>163</v>
      </c>
      <c r="X1139" s="12" t="s">
        <v>164</v>
      </c>
      <c r="Y1139" s="12" t="s">
        <v>1038</v>
      </c>
      <c r="AA1139" s="12"/>
      <c r="AB1139" s="33"/>
      <c r="AC1139" s="34"/>
      <c r="AD1139" s="15"/>
      <c r="AE1139" s="14"/>
      <c r="AF1139" s="12"/>
      <c r="AG1139" s="12"/>
      <c r="AH1139" s="12"/>
      <c r="AJ1139"/>
      <c r="AK1139"/>
    </row>
    <row r="1140" spans="18:37" ht="14">
      <c r="R1140" s="14">
        <v>10900</v>
      </c>
      <c r="S1140" s="14" t="s">
        <v>442</v>
      </c>
      <c r="T1140" s="12" t="s">
        <v>306</v>
      </c>
      <c r="U1140" s="15" t="str">
        <f t="shared" si="29"/>
        <v>India DHL UK AR - FAO</v>
      </c>
      <c r="V1140" s="12" t="s">
        <v>126</v>
      </c>
      <c r="W1140" s="12" t="s">
        <v>163</v>
      </c>
      <c r="X1140" s="12" t="s">
        <v>164</v>
      </c>
      <c r="Y1140" s="12" t="s">
        <v>1038</v>
      </c>
      <c r="AA1140" s="12"/>
      <c r="AB1140" s="33"/>
      <c r="AC1140" s="34"/>
      <c r="AD1140" s="15"/>
      <c r="AE1140" s="14"/>
      <c r="AF1140" s="12"/>
      <c r="AG1140" s="12"/>
      <c r="AH1140" s="12"/>
      <c r="AJ1140"/>
      <c r="AK1140"/>
    </row>
    <row r="1141" spans="18:37" ht="14">
      <c r="R1141" s="14">
        <v>10900</v>
      </c>
      <c r="S1141" s="14" t="s">
        <v>442</v>
      </c>
      <c r="T1141" s="12" t="s">
        <v>129</v>
      </c>
      <c r="U1141" s="15" t="str">
        <f t="shared" si="29"/>
        <v>India DHL UK AR - MGT</v>
      </c>
      <c r="V1141" s="12" t="s">
        <v>126</v>
      </c>
      <c r="W1141" s="12" t="s">
        <v>163</v>
      </c>
      <c r="X1141" s="12" t="s">
        <v>164</v>
      </c>
      <c r="Y1141" s="12" t="s">
        <v>1038</v>
      </c>
      <c r="AA1141" s="12"/>
      <c r="AB1141" s="33"/>
      <c r="AC1141" s="34"/>
      <c r="AD1141" s="15"/>
      <c r="AE1141" s="14"/>
      <c r="AF1141" s="12"/>
      <c r="AG1141" s="12"/>
      <c r="AH1141" s="12"/>
      <c r="AJ1141"/>
      <c r="AK1141"/>
    </row>
    <row r="1142" spans="18:37" ht="14">
      <c r="R1142" s="14">
        <v>10900</v>
      </c>
      <c r="S1142" s="14" t="s">
        <v>442</v>
      </c>
      <c r="T1142" s="12" t="s">
        <v>116</v>
      </c>
      <c r="U1142" s="15" t="str">
        <f t="shared" si="29"/>
        <v>India DHL UK AR - PRD</v>
      </c>
      <c r="V1142" s="12" t="s">
        <v>126</v>
      </c>
      <c r="W1142" s="12" t="s">
        <v>163</v>
      </c>
      <c r="X1142" s="12" t="s">
        <v>164</v>
      </c>
      <c r="Y1142" s="12" t="s">
        <v>1038</v>
      </c>
      <c r="AA1142" s="12"/>
      <c r="AB1142" s="33"/>
      <c r="AC1142" s="34"/>
      <c r="AD1142" s="15"/>
      <c r="AE1142" s="14"/>
      <c r="AF1142" s="12"/>
      <c r="AG1142" s="12"/>
      <c r="AH1142" s="12"/>
      <c r="AJ1142"/>
      <c r="AK1142"/>
    </row>
    <row r="1143" spans="18:37" ht="14">
      <c r="R1143" s="14">
        <v>10900</v>
      </c>
      <c r="S1143" s="14" t="s">
        <v>442</v>
      </c>
      <c r="T1143" s="12" t="s">
        <v>119</v>
      </c>
      <c r="U1143" s="15" t="str">
        <f t="shared" si="29"/>
        <v>India DHL UK AR - SQM</v>
      </c>
      <c r="V1143" s="12" t="s">
        <v>112</v>
      </c>
      <c r="W1143" s="12" t="s">
        <v>113</v>
      </c>
      <c r="X1143" s="12" t="s">
        <v>114</v>
      </c>
      <c r="Y1143" s="12" t="s">
        <v>1038</v>
      </c>
      <c r="AA1143" s="12"/>
      <c r="AB1143" s="33"/>
      <c r="AC1143" s="34"/>
      <c r="AD1143" s="15"/>
      <c r="AE1143" s="14"/>
      <c r="AF1143" s="12"/>
      <c r="AG1143" s="12"/>
      <c r="AH1143" s="12"/>
      <c r="AJ1143"/>
      <c r="AK1143"/>
    </row>
    <row r="1144" spans="18:37" ht="14">
      <c r="R1144" s="14">
        <v>10900</v>
      </c>
      <c r="S1144" s="14" t="s">
        <v>442</v>
      </c>
      <c r="T1144" s="12" t="s">
        <v>145</v>
      </c>
      <c r="U1144" s="15" t="str">
        <f t="shared" si="29"/>
        <v>India DHL UK AR - SUP</v>
      </c>
      <c r="V1144" s="12" t="s">
        <v>126</v>
      </c>
      <c r="W1144" s="12" t="s">
        <v>163</v>
      </c>
      <c r="X1144" s="12" t="s">
        <v>164</v>
      </c>
      <c r="Y1144" s="12" t="s">
        <v>1038</v>
      </c>
      <c r="AA1144" s="12"/>
      <c r="AB1144" s="33"/>
      <c r="AC1144" s="34"/>
      <c r="AD1144" s="15"/>
      <c r="AE1144" s="14"/>
      <c r="AF1144" s="12"/>
      <c r="AG1144" s="12"/>
      <c r="AH1144" s="12"/>
      <c r="AJ1144"/>
      <c r="AK1144"/>
    </row>
    <row r="1145" spans="18:37" ht="14">
      <c r="R1145" s="14">
        <v>10900</v>
      </c>
      <c r="S1145" s="14" t="s">
        <v>442</v>
      </c>
      <c r="T1145" s="12" t="s">
        <v>185</v>
      </c>
      <c r="U1145" s="15" t="str">
        <f t="shared" si="29"/>
        <v>India DHL UK AR - TPS</v>
      </c>
      <c r="V1145" s="12" t="s">
        <v>126</v>
      </c>
      <c r="W1145" s="12" t="s">
        <v>163</v>
      </c>
      <c r="X1145" s="12" t="s">
        <v>164</v>
      </c>
      <c r="Y1145" s="12" t="s">
        <v>1038</v>
      </c>
      <c r="AA1145" s="12"/>
      <c r="AB1145" s="33"/>
      <c r="AC1145" s="34"/>
      <c r="AD1145" s="15"/>
      <c r="AE1145" s="14"/>
      <c r="AF1145" s="12"/>
      <c r="AG1145" s="12"/>
      <c r="AH1145" s="12"/>
      <c r="AJ1145"/>
      <c r="AK1145"/>
    </row>
    <row r="1146" spans="18:37" ht="14">
      <c r="R1146" s="14">
        <v>10900</v>
      </c>
      <c r="S1146" s="14" t="s">
        <v>442</v>
      </c>
      <c r="T1146" s="12" t="s">
        <v>208</v>
      </c>
      <c r="U1146" s="15" t="str">
        <f t="shared" si="29"/>
        <v>India DHL UK AR - TTR</v>
      </c>
      <c r="V1146" s="12" t="s">
        <v>112</v>
      </c>
      <c r="W1146" s="12" t="s">
        <v>204</v>
      </c>
      <c r="X1146" s="12" t="s">
        <v>205</v>
      </c>
      <c r="Y1146" s="12" t="s">
        <v>1038</v>
      </c>
      <c r="AA1146" s="12"/>
      <c r="AB1146" s="33"/>
      <c r="AC1146" s="34"/>
      <c r="AD1146" s="15"/>
      <c r="AE1146" s="14"/>
      <c r="AF1146" s="12"/>
      <c r="AG1146" s="12"/>
      <c r="AH1146" s="12"/>
      <c r="AJ1146"/>
      <c r="AK1146"/>
    </row>
    <row r="1147" spans="18:37" ht="14">
      <c r="R1147" s="14">
        <v>10217</v>
      </c>
      <c r="S1147" s="14" t="s">
        <v>235</v>
      </c>
      <c r="T1147" s="12" t="s">
        <v>138</v>
      </c>
      <c r="U1147" s="15" t="str">
        <f t="shared" si="29"/>
        <v>India Mcafee Verizon - BOS</v>
      </c>
      <c r="V1147" s="12" t="s">
        <v>126</v>
      </c>
      <c r="W1147" s="12" t="s">
        <v>360</v>
      </c>
      <c r="X1147" s="12" t="s">
        <v>361</v>
      </c>
      <c r="Y1147" s="12" t="s">
        <v>1038</v>
      </c>
      <c r="AA1147" s="12"/>
      <c r="AB1147" s="33"/>
      <c r="AC1147" s="34"/>
      <c r="AD1147" s="15"/>
      <c r="AE1147" s="14"/>
      <c r="AF1147" s="12"/>
      <c r="AG1147" s="12"/>
      <c r="AH1147" s="12"/>
      <c r="AJ1147"/>
      <c r="AK1147"/>
    </row>
    <row r="1148" spans="18:37" ht="14">
      <c r="R1148" s="14">
        <v>10217</v>
      </c>
      <c r="S1148" s="14" t="s">
        <v>235</v>
      </c>
      <c r="T1148" s="12" t="s">
        <v>398</v>
      </c>
      <c r="U1148" s="15" t="str">
        <f t="shared" si="29"/>
        <v>India Mcafee Verizon - CBK</v>
      </c>
      <c r="V1148" s="12" t="s">
        <v>126</v>
      </c>
      <c r="W1148" s="12" t="s">
        <v>360</v>
      </c>
      <c r="X1148" s="12" t="s">
        <v>361</v>
      </c>
      <c r="Y1148" s="12" t="s">
        <v>1038</v>
      </c>
      <c r="AA1148" s="12"/>
      <c r="AB1148" s="33"/>
      <c r="AC1148" s="34"/>
      <c r="AD1148" s="15"/>
      <c r="AE1148" s="14"/>
      <c r="AF1148" s="12"/>
      <c r="AG1148" s="12"/>
      <c r="AH1148" s="12"/>
      <c r="AJ1148"/>
      <c r="AK1148"/>
    </row>
    <row r="1149" spans="18:37" ht="14">
      <c r="R1149" s="14">
        <v>10217</v>
      </c>
      <c r="S1149" s="14" t="s">
        <v>235</v>
      </c>
      <c r="T1149" s="12" t="s">
        <v>150</v>
      </c>
      <c r="U1149" s="15" t="str">
        <f t="shared" si="29"/>
        <v>India Mcafee Verizon - CCS</v>
      </c>
      <c r="V1149" s="12" t="s">
        <v>126</v>
      </c>
      <c r="W1149" s="12" t="s">
        <v>360</v>
      </c>
      <c r="X1149" s="12" t="s">
        <v>361</v>
      </c>
      <c r="Y1149" s="12" t="s">
        <v>1038</v>
      </c>
      <c r="AA1149" s="12"/>
      <c r="AB1149" s="33"/>
      <c r="AC1149" s="34"/>
      <c r="AD1149" s="15"/>
      <c r="AE1149" s="14"/>
      <c r="AF1149" s="12"/>
      <c r="AG1149" s="12"/>
      <c r="AH1149" s="12"/>
      <c r="AJ1149"/>
      <c r="AK1149"/>
    </row>
    <row r="1150" spans="18:37" ht="14">
      <c r="R1150" s="14">
        <v>10217</v>
      </c>
      <c r="S1150" s="14" t="s">
        <v>235</v>
      </c>
      <c r="T1150" s="12" t="s">
        <v>171</v>
      </c>
      <c r="U1150" s="15" t="str">
        <f t="shared" si="29"/>
        <v>India Mcafee Verizon - ETE</v>
      </c>
      <c r="V1150" s="12" t="s">
        <v>126</v>
      </c>
      <c r="W1150" s="12" t="s">
        <v>360</v>
      </c>
      <c r="X1150" s="12" t="s">
        <v>361</v>
      </c>
      <c r="Y1150" s="12" t="s">
        <v>1038</v>
      </c>
      <c r="AA1150" s="12"/>
      <c r="AB1150" s="33"/>
      <c r="AC1150" s="34"/>
      <c r="AD1150" s="15"/>
      <c r="AE1150" s="14"/>
      <c r="AF1150" s="12"/>
      <c r="AG1150" s="12"/>
      <c r="AH1150" s="12"/>
      <c r="AJ1150"/>
      <c r="AK1150"/>
    </row>
    <row r="1151" spans="18:37" ht="14">
      <c r="R1151" s="14">
        <v>10217</v>
      </c>
      <c r="S1151" s="14" t="s">
        <v>235</v>
      </c>
      <c r="T1151" s="12" t="s">
        <v>449</v>
      </c>
      <c r="U1151" s="15" t="str">
        <f t="shared" si="29"/>
        <v>India Mcafee Verizon - RPA</v>
      </c>
      <c r="V1151" s="12" t="s">
        <v>126</v>
      </c>
      <c r="W1151" s="12" t="s">
        <v>360</v>
      </c>
      <c r="X1151" s="12" t="s">
        <v>361</v>
      </c>
      <c r="Y1151" s="12" t="s">
        <v>1038</v>
      </c>
      <c r="AA1151" s="12"/>
      <c r="AB1151" s="33"/>
      <c r="AC1151" s="34"/>
      <c r="AD1151" s="15"/>
      <c r="AE1151" s="14"/>
      <c r="AF1151" s="12"/>
      <c r="AG1151" s="12"/>
      <c r="AH1151" s="12"/>
      <c r="AJ1151"/>
      <c r="AK1151"/>
    </row>
    <row r="1152" spans="18:37" ht="14">
      <c r="R1152" s="14">
        <v>10217</v>
      </c>
      <c r="S1152" s="14" t="s">
        <v>235</v>
      </c>
      <c r="T1152" s="12" t="s">
        <v>451</v>
      </c>
      <c r="U1152" s="15" t="str">
        <f t="shared" si="29"/>
        <v>India Mcafee Verizon - SLS</v>
      </c>
      <c r="V1152" s="12" t="s">
        <v>126</v>
      </c>
      <c r="W1152" s="12" t="s">
        <v>360</v>
      </c>
      <c r="X1152" s="12" t="s">
        <v>361</v>
      </c>
      <c r="Y1152" s="12" t="s">
        <v>1038</v>
      </c>
      <c r="AA1152" s="12"/>
      <c r="AB1152" s="33"/>
      <c r="AC1152" s="34"/>
      <c r="AD1152" s="15"/>
      <c r="AE1152" s="14"/>
      <c r="AF1152" s="12"/>
      <c r="AG1152" s="12"/>
      <c r="AH1152" s="12"/>
      <c r="AJ1152"/>
      <c r="AK1152"/>
    </row>
    <row r="1153" spans="18:37" ht="14">
      <c r="R1153" s="14">
        <v>10217</v>
      </c>
      <c r="S1153" s="14" t="s">
        <v>235</v>
      </c>
      <c r="T1153" s="12" t="s">
        <v>172</v>
      </c>
      <c r="U1153" s="15" t="str">
        <f t="shared" si="29"/>
        <v>India Mcafee Verizon - SME</v>
      </c>
      <c r="V1153" s="12" t="s">
        <v>126</v>
      </c>
      <c r="W1153" s="12" t="s">
        <v>360</v>
      </c>
      <c r="X1153" s="12" t="s">
        <v>361</v>
      </c>
      <c r="Y1153" s="12" t="s">
        <v>1038</v>
      </c>
      <c r="AA1153" s="12"/>
      <c r="AB1153" s="33"/>
      <c r="AC1153" s="34"/>
      <c r="AD1153" s="15"/>
      <c r="AE1153" s="14"/>
      <c r="AF1153" s="12"/>
      <c r="AG1153" s="12"/>
      <c r="AH1153" s="12"/>
      <c r="AJ1153"/>
      <c r="AK1153"/>
    </row>
    <row r="1154" spans="18:37" ht="14">
      <c r="R1154" s="14">
        <v>10217</v>
      </c>
      <c r="S1154" s="14" t="s">
        <v>235</v>
      </c>
      <c r="T1154" s="12" t="s">
        <v>119</v>
      </c>
      <c r="U1154" s="15" t="str">
        <f t="shared" si="29"/>
        <v>India Mcafee Verizon - SQM</v>
      </c>
      <c r="V1154" s="12" t="s">
        <v>112</v>
      </c>
      <c r="W1154" s="12" t="s">
        <v>113</v>
      </c>
      <c r="X1154" s="12" t="s">
        <v>114</v>
      </c>
      <c r="Y1154" s="12" t="s">
        <v>1038</v>
      </c>
      <c r="AA1154" s="12"/>
      <c r="AB1154" s="33"/>
      <c r="AC1154" s="34"/>
      <c r="AD1154" s="15"/>
      <c r="AE1154" s="14"/>
      <c r="AF1154" s="12"/>
      <c r="AG1154" s="12"/>
      <c r="AH1154" s="12"/>
      <c r="AJ1154"/>
      <c r="AK1154"/>
    </row>
    <row r="1155" spans="18:37" ht="14">
      <c r="R1155" s="14">
        <v>10217</v>
      </c>
      <c r="S1155" s="14" t="s">
        <v>235</v>
      </c>
      <c r="T1155" s="12" t="s">
        <v>145</v>
      </c>
      <c r="U1155" s="15" t="str">
        <f t="shared" ref="U1155:U1218" si="30">S1155&amp;" - "&amp;T1155</f>
        <v>India Mcafee Verizon - SUP</v>
      </c>
      <c r="V1155" s="12" t="s">
        <v>126</v>
      </c>
      <c r="W1155" s="12" t="s">
        <v>360</v>
      </c>
      <c r="X1155" s="12" t="s">
        <v>361</v>
      </c>
      <c r="Y1155" s="12" t="s">
        <v>1038</v>
      </c>
      <c r="AA1155" s="12"/>
      <c r="AB1155" s="33"/>
      <c r="AC1155" s="34"/>
      <c r="AD1155" s="15"/>
      <c r="AE1155" s="14"/>
      <c r="AF1155" s="12"/>
      <c r="AG1155" s="12"/>
      <c r="AH1155" s="12"/>
      <c r="AJ1155"/>
      <c r="AK1155"/>
    </row>
    <row r="1156" spans="18:37" ht="14">
      <c r="R1156" s="14">
        <v>10217</v>
      </c>
      <c r="S1156" s="14" t="s">
        <v>235</v>
      </c>
      <c r="T1156" s="12" t="s">
        <v>196</v>
      </c>
      <c r="U1156" s="15" t="str">
        <f t="shared" si="30"/>
        <v>India Mcafee Verizon - SUT</v>
      </c>
      <c r="V1156" s="12" t="s">
        <v>126</v>
      </c>
      <c r="W1156" s="12" t="s">
        <v>360</v>
      </c>
      <c r="X1156" s="12" t="s">
        <v>361</v>
      </c>
      <c r="Y1156" s="12" t="s">
        <v>1038</v>
      </c>
      <c r="AA1156" s="12"/>
      <c r="AB1156" s="33"/>
      <c r="AC1156" s="34"/>
      <c r="AD1156" s="15"/>
      <c r="AE1156" s="14"/>
      <c r="AF1156" s="12"/>
      <c r="AG1156" s="12"/>
      <c r="AH1156" s="12"/>
      <c r="AJ1156"/>
      <c r="AK1156"/>
    </row>
    <row r="1157" spans="18:37" ht="14">
      <c r="R1157" s="14">
        <v>10217</v>
      </c>
      <c r="S1157" s="14" t="s">
        <v>235</v>
      </c>
      <c r="T1157" s="12" t="s">
        <v>198</v>
      </c>
      <c r="U1157" s="15" t="str">
        <f t="shared" si="30"/>
        <v>India Mcafee Verizon - TEC</v>
      </c>
      <c r="V1157" s="12" t="s">
        <v>126</v>
      </c>
      <c r="W1157" s="12" t="s">
        <v>360</v>
      </c>
      <c r="X1157" s="12" t="s">
        <v>361</v>
      </c>
      <c r="Y1157" s="12" t="s">
        <v>1038</v>
      </c>
      <c r="AA1157" s="12"/>
      <c r="AB1157" s="33"/>
      <c r="AC1157" s="34"/>
      <c r="AD1157" s="15"/>
      <c r="AE1157" s="14"/>
      <c r="AF1157" s="12"/>
      <c r="AG1157" s="12"/>
      <c r="AH1157" s="12"/>
      <c r="AJ1157"/>
      <c r="AK1157"/>
    </row>
    <row r="1158" spans="18:37" ht="14">
      <c r="R1158" s="14">
        <v>10217</v>
      </c>
      <c r="S1158" s="14" t="s">
        <v>235</v>
      </c>
      <c r="T1158" s="12" t="s">
        <v>180</v>
      </c>
      <c r="U1158" s="15" t="str">
        <f t="shared" si="30"/>
        <v>India Mcafee Verizon - TMG</v>
      </c>
      <c r="V1158" s="12" t="s">
        <v>126</v>
      </c>
      <c r="W1158" s="12" t="s">
        <v>360</v>
      </c>
      <c r="X1158" s="12" t="s">
        <v>361</v>
      </c>
      <c r="Y1158" s="12" t="s">
        <v>1038</v>
      </c>
      <c r="AA1158" s="12"/>
      <c r="AB1158" s="33"/>
      <c r="AC1158" s="34"/>
      <c r="AD1158" s="15"/>
      <c r="AE1158" s="14"/>
      <c r="AF1158" s="12"/>
      <c r="AG1158" s="12"/>
      <c r="AH1158" s="12"/>
      <c r="AJ1158"/>
      <c r="AK1158"/>
    </row>
    <row r="1159" spans="18:37" ht="14">
      <c r="R1159" s="14">
        <v>10217</v>
      </c>
      <c r="S1159" s="14" t="s">
        <v>235</v>
      </c>
      <c r="T1159" s="12" t="s">
        <v>203</v>
      </c>
      <c r="U1159" s="15" t="str">
        <f t="shared" si="30"/>
        <v>India Mcafee Verizon - TRG</v>
      </c>
      <c r="V1159" s="12" t="s">
        <v>112</v>
      </c>
      <c r="W1159" s="12" t="s">
        <v>204</v>
      </c>
      <c r="X1159" s="12" t="s">
        <v>205</v>
      </c>
      <c r="Y1159" s="12" t="s">
        <v>1038</v>
      </c>
      <c r="AA1159" s="12"/>
      <c r="AB1159" s="33"/>
      <c r="AC1159" s="34"/>
      <c r="AD1159" s="15"/>
      <c r="AE1159" s="14"/>
      <c r="AF1159" s="12"/>
      <c r="AG1159" s="12"/>
      <c r="AH1159" s="12"/>
      <c r="AJ1159"/>
      <c r="AK1159"/>
    </row>
    <row r="1160" spans="18:37" ht="14">
      <c r="R1160" s="14">
        <v>10217</v>
      </c>
      <c r="S1160" s="14" t="s">
        <v>235</v>
      </c>
      <c r="T1160" s="12" t="s">
        <v>208</v>
      </c>
      <c r="U1160" s="15" t="str">
        <f t="shared" si="30"/>
        <v>India Mcafee Verizon - TTR</v>
      </c>
      <c r="V1160" s="12" t="s">
        <v>112</v>
      </c>
      <c r="W1160" s="12" t="s">
        <v>204</v>
      </c>
      <c r="X1160" s="12" t="s">
        <v>205</v>
      </c>
      <c r="Y1160" s="12" t="s">
        <v>1038</v>
      </c>
      <c r="AA1160" s="12"/>
      <c r="AB1160" s="33"/>
      <c r="AC1160" s="34"/>
      <c r="AD1160" s="15"/>
      <c r="AE1160" s="14"/>
      <c r="AF1160" s="12"/>
      <c r="AG1160" s="12"/>
      <c r="AH1160" s="12"/>
      <c r="AJ1160"/>
      <c r="AK1160"/>
    </row>
    <row r="1161" spans="18:37" ht="14">
      <c r="R1161" s="14">
        <v>10583</v>
      </c>
      <c r="S1161" s="14" t="s">
        <v>270</v>
      </c>
      <c r="T1161" s="12" t="s">
        <v>150</v>
      </c>
      <c r="U1161" s="15" t="str">
        <f t="shared" si="30"/>
        <v>India Private Label - CCS</v>
      </c>
      <c r="V1161" s="12" t="s">
        <v>126</v>
      </c>
      <c r="W1161" s="12" t="s">
        <v>360</v>
      </c>
      <c r="X1161" s="12" t="s">
        <v>361</v>
      </c>
      <c r="Y1161" s="12" t="s">
        <v>1038</v>
      </c>
      <c r="AA1161" s="12"/>
      <c r="AB1161" s="33"/>
      <c r="AC1161" s="34"/>
      <c r="AD1161" s="15"/>
      <c r="AE1161" s="14"/>
      <c r="AF1161" s="12"/>
      <c r="AG1161" s="12"/>
      <c r="AH1161" s="12"/>
      <c r="AJ1161"/>
      <c r="AK1161"/>
    </row>
    <row r="1162" spans="18:37" ht="14">
      <c r="R1162" s="14">
        <v>10583</v>
      </c>
      <c r="S1162" s="14" t="s">
        <v>270</v>
      </c>
      <c r="T1162" s="12" t="s">
        <v>352</v>
      </c>
      <c r="U1162" s="15" t="str">
        <f t="shared" si="30"/>
        <v>India Private Label - EAT</v>
      </c>
      <c r="V1162" s="12" t="s">
        <v>126</v>
      </c>
      <c r="W1162" s="12" t="s">
        <v>518</v>
      </c>
      <c r="X1162" s="12" t="s">
        <v>350</v>
      </c>
      <c r="Y1162" s="12" t="s">
        <v>1038</v>
      </c>
      <c r="AA1162" s="12"/>
      <c r="AB1162" s="33"/>
      <c r="AC1162" s="34"/>
      <c r="AD1162" s="15"/>
      <c r="AE1162" s="14"/>
      <c r="AF1162" s="12"/>
      <c r="AG1162" s="12"/>
      <c r="AH1162" s="12"/>
      <c r="AJ1162"/>
      <c r="AK1162"/>
    </row>
    <row r="1163" spans="18:37" ht="14">
      <c r="R1163" s="14">
        <v>10583</v>
      </c>
      <c r="S1163" s="14" t="s">
        <v>270</v>
      </c>
      <c r="T1163" s="12" t="s">
        <v>161</v>
      </c>
      <c r="U1163" s="15" t="str">
        <f t="shared" si="30"/>
        <v>India Private Label - ECC</v>
      </c>
      <c r="V1163" s="12" t="s">
        <v>126</v>
      </c>
      <c r="W1163" s="12" t="s">
        <v>360</v>
      </c>
      <c r="X1163" s="12" t="s">
        <v>361</v>
      </c>
      <c r="Y1163" s="12" t="s">
        <v>1038</v>
      </c>
      <c r="AA1163" s="12"/>
      <c r="AB1163" s="33"/>
      <c r="AC1163" s="34"/>
      <c r="AD1163" s="15"/>
      <c r="AE1163" s="14"/>
      <c r="AF1163" s="12"/>
      <c r="AG1163" s="12"/>
      <c r="AH1163" s="12"/>
      <c r="AJ1163"/>
      <c r="AK1163"/>
    </row>
    <row r="1164" spans="18:37" ht="14">
      <c r="R1164" s="14">
        <v>10583</v>
      </c>
      <c r="S1164" s="14" t="s">
        <v>270</v>
      </c>
      <c r="T1164" s="12" t="s">
        <v>168</v>
      </c>
      <c r="U1164" s="15" t="str">
        <f t="shared" si="30"/>
        <v>India Private Label - ESC</v>
      </c>
      <c r="V1164" s="12" t="s">
        <v>126</v>
      </c>
      <c r="W1164" s="12" t="s">
        <v>360</v>
      </c>
      <c r="X1164" s="12" t="s">
        <v>361</v>
      </c>
      <c r="Y1164" s="12" t="s">
        <v>1038</v>
      </c>
      <c r="AA1164" s="12"/>
      <c r="AB1164" s="33"/>
      <c r="AC1164" s="34"/>
      <c r="AD1164" s="15"/>
      <c r="AE1164" s="14"/>
      <c r="AF1164" s="12"/>
      <c r="AG1164" s="12"/>
      <c r="AH1164" s="12"/>
      <c r="AJ1164"/>
      <c r="AK1164"/>
    </row>
    <row r="1165" spans="18:37" ht="14">
      <c r="R1165" s="14">
        <v>10583</v>
      </c>
      <c r="S1165" s="14" t="s">
        <v>270</v>
      </c>
      <c r="T1165" s="12" t="s">
        <v>171</v>
      </c>
      <c r="U1165" s="15" t="str">
        <f t="shared" si="30"/>
        <v>India Private Label - ETE</v>
      </c>
      <c r="V1165" s="12" t="s">
        <v>126</v>
      </c>
      <c r="W1165" s="12" t="s">
        <v>360</v>
      </c>
      <c r="X1165" s="12" t="s">
        <v>361</v>
      </c>
      <c r="Y1165" s="12" t="s">
        <v>1038</v>
      </c>
      <c r="AA1165" s="12"/>
      <c r="AB1165" s="33"/>
      <c r="AC1165" s="34"/>
      <c r="AD1165" s="15"/>
      <c r="AE1165" s="14"/>
      <c r="AF1165" s="12"/>
      <c r="AG1165" s="12"/>
      <c r="AH1165" s="12"/>
      <c r="AJ1165"/>
      <c r="AK1165"/>
    </row>
    <row r="1166" spans="18:37" ht="14">
      <c r="R1166" s="14">
        <v>10583</v>
      </c>
      <c r="S1166" s="14" t="s">
        <v>270</v>
      </c>
      <c r="T1166" s="12" t="s">
        <v>422</v>
      </c>
      <c r="U1166" s="15" t="str">
        <f t="shared" si="30"/>
        <v>India Private Label - FMEA</v>
      </c>
      <c r="V1166" s="12" t="s">
        <v>126</v>
      </c>
      <c r="W1166" s="12" t="s">
        <v>360</v>
      </c>
      <c r="X1166" s="12" t="s">
        <v>361</v>
      </c>
      <c r="Y1166" s="12" t="s">
        <v>1038</v>
      </c>
      <c r="AA1166" s="12"/>
      <c r="AB1166" s="33"/>
      <c r="AC1166" s="34"/>
      <c r="AD1166" s="15"/>
      <c r="AE1166" s="14"/>
      <c r="AF1166" s="12"/>
      <c r="AG1166" s="12"/>
      <c r="AH1166" s="12"/>
      <c r="AJ1166"/>
      <c r="AK1166"/>
    </row>
    <row r="1167" spans="18:37" ht="14">
      <c r="R1167" s="14">
        <v>10583</v>
      </c>
      <c r="S1167" s="14" t="s">
        <v>270</v>
      </c>
      <c r="T1167" s="12" t="s">
        <v>129</v>
      </c>
      <c r="U1167" s="15" t="str">
        <f t="shared" si="30"/>
        <v>India Private Label - MGT</v>
      </c>
      <c r="V1167" s="12" t="s">
        <v>126</v>
      </c>
      <c r="W1167" s="12" t="s">
        <v>360</v>
      </c>
      <c r="X1167" s="12" t="s">
        <v>361</v>
      </c>
      <c r="Y1167" s="12" t="s">
        <v>1038</v>
      </c>
      <c r="AA1167" s="12"/>
      <c r="AB1167" s="33"/>
      <c r="AC1167" s="34"/>
      <c r="AD1167" s="15"/>
      <c r="AE1167" s="14"/>
      <c r="AF1167" s="12"/>
      <c r="AG1167" s="12"/>
      <c r="AH1167" s="12"/>
      <c r="AJ1167"/>
      <c r="AK1167"/>
    </row>
    <row r="1168" spans="18:37" ht="14">
      <c r="R1168" s="14">
        <v>10583</v>
      </c>
      <c r="S1168" s="14" t="s">
        <v>270</v>
      </c>
      <c r="T1168" s="12" t="s">
        <v>177</v>
      </c>
      <c r="U1168" s="15" t="str">
        <f t="shared" si="30"/>
        <v>India Private Label - OPS</v>
      </c>
      <c r="V1168" s="12" t="s">
        <v>126</v>
      </c>
      <c r="W1168" s="12" t="s">
        <v>360</v>
      </c>
      <c r="X1168" s="12" t="s">
        <v>361</v>
      </c>
      <c r="Y1168" s="12" t="s">
        <v>1038</v>
      </c>
      <c r="AA1168" s="12"/>
      <c r="AB1168" s="33"/>
      <c r="AC1168" s="34"/>
      <c r="AD1168" s="15"/>
      <c r="AE1168" s="14"/>
      <c r="AF1168" s="12"/>
      <c r="AG1168" s="12"/>
      <c r="AH1168" s="12"/>
      <c r="AJ1168"/>
      <c r="AK1168"/>
    </row>
    <row r="1169" spans="18:37" ht="14">
      <c r="R1169" s="14">
        <v>10583</v>
      </c>
      <c r="S1169" s="14" t="s">
        <v>270</v>
      </c>
      <c r="T1169" s="12" t="s">
        <v>111</v>
      </c>
      <c r="U1169" s="15" t="str">
        <f t="shared" si="30"/>
        <v>India Private Label - QLY</v>
      </c>
      <c r="V1169" s="12" t="s">
        <v>112</v>
      </c>
      <c r="W1169" s="12" t="s">
        <v>113</v>
      </c>
      <c r="X1169" s="12" t="s">
        <v>114</v>
      </c>
      <c r="Y1169" s="12" t="s">
        <v>1038</v>
      </c>
      <c r="AA1169" s="12"/>
      <c r="AB1169" s="33"/>
      <c r="AC1169" s="34"/>
      <c r="AD1169" s="15"/>
      <c r="AE1169" s="14"/>
      <c r="AF1169" s="12"/>
      <c r="AG1169" s="12"/>
      <c r="AH1169" s="12"/>
      <c r="AJ1169"/>
      <c r="AK1169"/>
    </row>
    <row r="1170" spans="18:37" ht="14">
      <c r="R1170" s="14">
        <v>10583</v>
      </c>
      <c r="S1170" s="14" t="s">
        <v>270</v>
      </c>
      <c r="T1170" s="12" t="s">
        <v>451</v>
      </c>
      <c r="U1170" s="15" t="str">
        <f t="shared" si="30"/>
        <v>India Private Label - SLS</v>
      </c>
      <c r="V1170" s="12" t="s">
        <v>126</v>
      </c>
      <c r="W1170" s="12" t="s">
        <v>360</v>
      </c>
      <c r="X1170" s="12" t="s">
        <v>361</v>
      </c>
      <c r="Y1170" s="12" t="s">
        <v>1038</v>
      </c>
      <c r="AA1170" s="12"/>
      <c r="AB1170" s="33"/>
      <c r="AC1170" s="34"/>
      <c r="AD1170" s="15"/>
      <c r="AE1170" s="14"/>
      <c r="AF1170" s="12"/>
      <c r="AG1170" s="12"/>
      <c r="AH1170" s="12"/>
      <c r="AJ1170"/>
      <c r="AK1170"/>
    </row>
    <row r="1171" spans="18:37" ht="14">
      <c r="R1171" s="14">
        <v>10583</v>
      </c>
      <c r="S1171" s="14" t="s">
        <v>270</v>
      </c>
      <c r="T1171" s="12" t="s">
        <v>119</v>
      </c>
      <c r="U1171" s="15" t="str">
        <f t="shared" si="30"/>
        <v>India Private Label - SQM</v>
      </c>
      <c r="V1171" s="12" t="s">
        <v>112</v>
      </c>
      <c r="W1171" s="12" t="s">
        <v>113</v>
      </c>
      <c r="X1171" s="12" t="s">
        <v>114</v>
      </c>
      <c r="Y1171" s="12" t="s">
        <v>1038</v>
      </c>
      <c r="AA1171" s="12"/>
      <c r="AB1171" s="33"/>
      <c r="AC1171" s="34"/>
      <c r="AD1171" s="15"/>
      <c r="AE1171" s="14"/>
      <c r="AF1171" s="12"/>
      <c r="AG1171" s="12"/>
      <c r="AH1171" s="12"/>
      <c r="AJ1171"/>
      <c r="AK1171"/>
    </row>
    <row r="1172" spans="18:37" ht="14">
      <c r="R1172" s="14">
        <v>10583</v>
      </c>
      <c r="S1172" s="14" t="s">
        <v>270</v>
      </c>
      <c r="T1172" s="12" t="s">
        <v>145</v>
      </c>
      <c r="U1172" s="15" t="str">
        <f t="shared" si="30"/>
        <v>India Private Label - SUP</v>
      </c>
      <c r="V1172" s="12" t="s">
        <v>126</v>
      </c>
      <c r="W1172" s="12" t="s">
        <v>360</v>
      </c>
      <c r="X1172" s="12" t="s">
        <v>361</v>
      </c>
      <c r="Y1172" s="12" t="s">
        <v>1038</v>
      </c>
      <c r="AA1172" s="12"/>
      <c r="AB1172" s="33"/>
      <c r="AC1172" s="34"/>
      <c r="AD1172" s="15"/>
      <c r="AE1172" s="14"/>
      <c r="AF1172" s="12"/>
      <c r="AG1172" s="12"/>
      <c r="AH1172" s="12"/>
      <c r="AJ1172"/>
      <c r="AK1172"/>
    </row>
    <row r="1173" spans="18:37" ht="14">
      <c r="R1173" s="14">
        <v>10583</v>
      </c>
      <c r="S1173" s="14" t="s">
        <v>270</v>
      </c>
      <c r="T1173" s="12" t="s">
        <v>196</v>
      </c>
      <c r="U1173" s="15" t="str">
        <f t="shared" si="30"/>
        <v>India Private Label - SUT</v>
      </c>
      <c r="V1173" s="12" t="s">
        <v>126</v>
      </c>
      <c r="W1173" s="12" t="s">
        <v>360</v>
      </c>
      <c r="X1173" s="12" t="s">
        <v>361</v>
      </c>
      <c r="Y1173" s="12" t="s">
        <v>1038</v>
      </c>
      <c r="AA1173" s="12"/>
      <c r="AB1173" s="33"/>
      <c r="AC1173" s="34"/>
      <c r="AD1173" s="15"/>
      <c r="AE1173" s="14"/>
      <c r="AF1173" s="12"/>
      <c r="AG1173" s="12"/>
      <c r="AH1173" s="12"/>
      <c r="AJ1173"/>
      <c r="AK1173"/>
    </row>
    <row r="1174" spans="18:37" ht="14">
      <c r="R1174" s="14">
        <v>10583</v>
      </c>
      <c r="S1174" s="14" t="s">
        <v>270</v>
      </c>
      <c r="T1174" s="12" t="s">
        <v>198</v>
      </c>
      <c r="U1174" s="15" t="str">
        <f t="shared" si="30"/>
        <v>India Private Label - TEC</v>
      </c>
      <c r="V1174" s="12" t="s">
        <v>126</v>
      </c>
      <c r="W1174" s="12" t="s">
        <v>360</v>
      </c>
      <c r="X1174" s="12" t="s">
        <v>361</v>
      </c>
      <c r="Y1174" s="12" t="s">
        <v>1038</v>
      </c>
      <c r="AA1174" s="12"/>
      <c r="AB1174" s="33"/>
      <c r="AC1174" s="34"/>
      <c r="AD1174" s="15"/>
      <c r="AE1174" s="14"/>
      <c r="AF1174" s="12"/>
      <c r="AG1174" s="12"/>
      <c r="AH1174" s="12"/>
      <c r="AJ1174"/>
      <c r="AK1174"/>
    </row>
    <row r="1175" spans="18:37" ht="14">
      <c r="R1175" s="14">
        <v>10583</v>
      </c>
      <c r="S1175" s="14" t="s">
        <v>270</v>
      </c>
      <c r="T1175" s="12" t="s">
        <v>180</v>
      </c>
      <c r="U1175" s="15" t="str">
        <f t="shared" si="30"/>
        <v>India Private Label - TMG</v>
      </c>
      <c r="V1175" s="12" t="s">
        <v>126</v>
      </c>
      <c r="W1175" s="12" t="s">
        <v>360</v>
      </c>
      <c r="X1175" s="12" t="s">
        <v>361</v>
      </c>
      <c r="Y1175" s="12" t="s">
        <v>1038</v>
      </c>
      <c r="AA1175" s="12"/>
      <c r="AB1175" s="33"/>
      <c r="AC1175" s="34"/>
      <c r="AD1175" s="15"/>
      <c r="AE1175" s="14"/>
      <c r="AF1175" s="12"/>
      <c r="AG1175" s="12"/>
      <c r="AH1175" s="12"/>
      <c r="AJ1175"/>
      <c r="AK1175"/>
    </row>
    <row r="1176" spans="18:37" ht="14">
      <c r="R1176" s="14">
        <v>10583</v>
      </c>
      <c r="S1176" s="14" t="s">
        <v>270</v>
      </c>
      <c r="T1176" s="12" t="s">
        <v>185</v>
      </c>
      <c r="U1176" s="15" t="str">
        <f t="shared" si="30"/>
        <v>India Private Label - TPS</v>
      </c>
      <c r="V1176" s="12" t="s">
        <v>126</v>
      </c>
      <c r="W1176" s="12" t="s">
        <v>360</v>
      </c>
      <c r="X1176" s="12" t="s">
        <v>361</v>
      </c>
      <c r="Y1176" s="12" t="s">
        <v>1038</v>
      </c>
      <c r="AA1176" s="12"/>
      <c r="AB1176" s="33"/>
      <c r="AC1176" s="34"/>
      <c r="AD1176" s="15"/>
      <c r="AE1176" s="14"/>
      <c r="AF1176" s="12"/>
      <c r="AG1176" s="12"/>
      <c r="AH1176" s="12"/>
      <c r="AJ1176"/>
      <c r="AK1176"/>
    </row>
    <row r="1177" spans="18:37" ht="14">
      <c r="R1177" s="14">
        <v>10583</v>
      </c>
      <c r="S1177" s="14" t="s">
        <v>270</v>
      </c>
      <c r="T1177" s="12" t="s">
        <v>203</v>
      </c>
      <c r="U1177" s="15" t="str">
        <f t="shared" si="30"/>
        <v>India Private Label - TRG</v>
      </c>
      <c r="V1177" s="12" t="s">
        <v>112</v>
      </c>
      <c r="W1177" s="12" t="s">
        <v>204</v>
      </c>
      <c r="X1177" s="12" t="s">
        <v>205</v>
      </c>
      <c r="Y1177" s="12" t="s">
        <v>1038</v>
      </c>
      <c r="AA1177" s="12"/>
      <c r="AB1177" s="33"/>
      <c r="AC1177" s="34"/>
      <c r="AD1177" s="15"/>
      <c r="AE1177" s="14"/>
      <c r="AF1177" s="12"/>
      <c r="AG1177" s="12"/>
      <c r="AH1177" s="12"/>
      <c r="AJ1177"/>
      <c r="AK1177"/>
    </row>
    <row r="1178" spans="18:37" ht="14">
      <c r="R1178" s="14">
        <v>10583</v>
      </c>
      <c r="S1178" s="14" t="s">
        <v>270</v>
      </c>
      <c r="T1178" s="12" t="s">
        <v>208</v>
      </c>
      <c r="U1178" s="15" t="str">
        <f t="shared" si="30"/>
        <v>India Private Label - TTR</v>
      </c>
      <c r="V1178" s="12" t="s">
        <v>112</v>
      </c>
      <c r="W1178" s="12" t="s">
        <v>204</v>
      </c>
      <c r="X1178" s="12" t="s">
        <v>205</v>
      </c>
      <c r="Y1178" s="12" t="s">
        <v>1038</v>
      </c>
      <c r="AA1178" s="12"/>
      <c r="AB1178" s="33"/>
      <c r="AC1178" s="34"/>
      <c r="AD1178" s="15"/>
      <c r="AE1178" s="14"/>
      <c r="AF1178" s="12"/>
      <c r="AG1178" s="12"/>
      <c r="AH1178" s="12"/>
      <c r="AJ1178"/>
      <c r="AK1178"/>
    </row>
    <row r="1179" spans="18:37" ht="14">
      <c r="R1179" s="14">
        <v>10786</v>
      </c>
      <c r="S1179" s="14" t="s">
        <v>383</v>
      </c>
      <c r="T1179" s="12" t="s">
        <v>185</v>
      </c>
      <c r="U1179" s="15" t="str">
        <f t="shared" si="30"/>
        <v>IndiGo DOC - TPS</v>
      </c>
      <c r="V1179" s="12" t="s">
        <v>126</v>
      </c>
      <c r="W1179" s="12" t="s">
        <v>163</v>
      </c>
      <c r="X1179" s="12" t="s">
        <v>164</v>
      </c>
      <c r="Y1179" s="12" t="s">
        <v>1038</v>
      </c>
      <c r="AA1179" s="12"/>
      <c r="AB1179" s="33"/>
      <c r="AC1179" s="34"/>
      <c r="AD1179" s="15"/>
      <c r="AE1179" s="14"/>
      <c r="AF1179" s="12"/>
      <c r="AG1179" s="12"/>
      <c r="AH1179" s="12"/>
      <c r="AJ1179"/>
      <c r="AK1179"/>
    </row>
    <row r="1180" spans="18:37" ht="14">
      <c r="R1180" s="14">
        <v>10512</v>
      </c>
      <c r="S1180" s="14" t="s">
        <v>265</v>
      </c>
      <c r="T1180" s="12" t="s">
        <v>185</v>
      </c>
      <c r="U1180" s="15" t="str">
        <f t="shared" si="30"/>
        <v>IndiGo PRA - TPS</v>
      </c>
      <c r="V1180" s="12" t="s">
        <v>126</v>
      </c>
      <c r="W1180" s="12" t="s">
        <v>163</v>
      </c>
      <c r="X1180" s="12" t="s">
        <v>164</v>
      </c>
      <c r="Y1180" s="12" t="s">
        <v>1038</v>
      </c>
      <c r="AA1180" s="12"/>
      <c r="AB1180" s="33"/>
      <c r="AC1180" s="34"/>
      <c r="AD1180" s="15"/>
      <c r="AE1180" s="14"/>
      <c r="AF1180" s="12"/>
      <c r="AG1180" s="12"/>
      <c r="AH1180" s="12"/>
      <c r="AJ1180"/>
      <c r="AK1180"/>
    </row>
    <row r="1181" spans="18:37" ht="14">
      <c r="R1181" s="14">
        <v>93045</v>
      </c>
      <c r="S1181" s="14" t="s">
        <v>662</v>
      </c>
      <c r="T1181" s="12" t="s">
        <v>129</v>
      </c>
      <c r="U1181" s="15" t="str">
        <f t="shared" si="30"/>
        <v>Industry Marketing - MGT</v>
      </c>
      <c r="V1181" s="12" t="s">
        <v>104</v>
      </c>
      <c r="W1181" s="12" t="s">
        <v>257</v>
      </c>
      <c r="X1181" s="12" t="s">
        <v>114</v>
      </c>
      <c r="Y1181" s="12" t="s">
        <v>1038</v>
      </c>
      <c r="AA1181" s="12"/>
      <c r="AB1181" s="33"/>
      <c r="AC1181" s="34"/>
      <c r="AD1181" s="15"/>
      <c r="AE1181" s="14"/>
      <c r="AF1181" s="12"/>
      <c r="AG1181" s="12"/>
      <c r="AH1181" s="12"/>
      <c r="AJ1181"/>
      <c r="AK1181"/>
    </row>
    <row r="1182" spans="18:37" ht="14">
      <c r="R1182" s="14">
        <v>93045</v>
      </c>
      <c r="S1182" s="14" t="s">
        <v>662</v>
      </c>
      <c r="T1182" s="12" t="s">
        <v>139</v>
      </c>
      <c r="U1182" s="15" t="str">
        <f t="shared" si="30"/>
        <v>Industry Marketing - SMGT</v>
      </c>
      <c r="V1182" s="12" t="s">
        <v>104</v>
      </c>
      <c r="W1182" s="12" t="s">
        <v>257</v>
      </c>
      <c r="X1182" s="12" t="s">
        <v>114</v>
      </c>
      <c r="Y1182" s="12" t="s">
        <v>1038</v>
      </c>
      <c r="AA1182" s="12"/>
      <c r="AB1182" s="33"/>
      <c r="AC1182" s="34"/>
      <c r="AD1182" s="15"/>
      <c r="AE1182" s="14"/>
      <c r="AF1182" s="12"/>
      <c r="AG1182" s="12"/>
      <c r="AH1182" s="12"/>
      <c r="AJ1182"/>
      <c r="AK1182"/>
    </row>
    <row r="1183" spans="18:37" ht="14">
      <c r="R1183" s="14">
        <v>93045</v>
      </c>
      <c r="S1183" s="14" t="s">
        <v>662</v>
      </c>
      <c r="T1183" s="12" t="s">
        <v>145</v>
      </c>
      <c r="U1183" s="15" t="str">
        <f t="shared" si="30"/>
        <v>Industry Marketing - SUP</v>
      </c>
      <c r="V1183" s="12" t="s">
        <v>104</v>
      </c>
      <c r="W1183" s="12" t="s">
        <v>257</v>
      </c>
      <c r="X1183" s="12" t="s">
        <v>114</v>
      </c>
      <c r="Y1183" s="12" t="s">
        <v>1038</v>
      </c>
      <c r="AA1183" s="12"/>
      <c r="AB1183" s="33"/>
      <c r="AC1183" s="34"/>
      <c r="AD1183" s="15"/>
      <c r="AE1183" s="14"/>
      <c r="AF1183" s="12"/>
      <c r="AG1183" s="12"/>
      <c r="AH1183" s="12"/>
      <c r="AJ1183"/>
      <c r="AK1183"/>
    </row>
    <row r="1184" spans="18:37" ht="14">
      <c r="R1184" s="14">
        <v>95501</v>
      </c>
      <c r="S1184" s="14" t="s">
        <v>665</v>
      </c>
      <c r="T1184" s="12" t="s">
        <v>415</v>
      </c>
      <c r="U1184" s="15" t="str">
        <f t="shared" si="30"/>
        <v>Infosec - GTI</v>
      </c>
      <c r="V1184" s="12" t="s">
        <v>104</v>
      </c>
      <c r="W1184" s="12" t="s">
        <v>263</v>
      </c>
      <c r="X1184" s="12" t="s">
        <v>264</v>
      </c>
      <c r="Y1184" s="12" t="s">
        <v>1038</v>
      </c>
      <c r="AA1184" s="12"/>
      <c r="AB1184" s="33"/>
      <c r="AC1184" s="34"/>
      <c r="AD1184" s="15"/>
      <c r="AE1184" s="14"/>
      <c r="AF1184" s="12"/>
      <c r="AG1184" s="12"/>
      <c r="AH1184" s="12"/>
      <c r="AJ1184"/>
      <c r="AK1184"/>
    </row>
    <row r="1185" spans="18:37" ht="14">
      <c r="R1185" s="14">
        <v>95501</v>
      </c>
      <c r="S1185" s="14" t="s">
        <v>665</v>
      </c>
      <c r="T1185" s="12" t="s">
        <v>129</v>
      </c>
      <c r="U1185" s="15" t="str">
        <f t="shared" si="30"/>
        <v>Infosec - MGT</v>
      </c>
      <c r="V1185" s="12" t="s">
        <v>104</v>
      </c>
      <c r="W1185" s="12" t="s">
        <v>263</v>
      </c>
      <c r="X1185" s="12" t="s">
        <v>264</v>
      </c>
      <c r="Y1185" s="12" t="s">
        <v>1038</v>
      </c>
      <c r="AA1185" s="12"/>
      <c r="AB1185" s="33"/>
      <c r="AC1185" s="34"/>
      <c r="AD1185" s="15"/>
      <c r="AE1185" s="14"/>
      <c r="AF1185" s="12"/>
      <c r="AG1185" s="12"/>
      <c r="AH1185" s="12"/>
      <c r="AJ1185"/>
      <c r="AK1185"/>
    </row>
    <row r="1186" spans="18:37" ht="14">
      <c r="R1186" s="14">
        <v>95501</v>
      </c>
      <c r="S1186" s="14" t="s">
        <v>665</v>
      </c>
      <c r="T1186" s="12" t="s">
        <v>177</v>
      </c>
      <c r="U1186" s="15" t="str">
        <f t="shared" si="30"/>
        <v>Infosec - OPS</v>
      </c>
      <c r="V1186" s="12" t="s">
        <v>104</v>
      </c>
      <c r="W1186" s="12" t="s">
        <v>263</v>
      </c>
      <c r="X1186" s="12" t="s">
        <v>264</v>
      </c>
      <c r="Y1186" s="12" t="s">
        <v>1038</v>
      </c>
      <c r="AA1186" s="12"/>
      <c r="AB1186" s="33"/>
      <c r="AC1186" s="34"/>
      <c r="AD1186" s="15"/>
      <c r="AE1186" s="14"/>
      <c r="AF1186" s="12"/>
      <c r="AG1186" s="12"/>
      <c r="AH1186" s="12"/>
      <c r="AJ1186"/>
      <c r="AK1186"/>
    </row>
    <row r="1187" spans="18:37" ht="14">
      <c r="R1187" s="14">
        <v>95501</v>
      </c>
      <c r="S1187" s="14" t="s">
        <v>665</v>
      </c>
      <c r="T1187" s="12" t="s">
        <v>134</v>
      </c>
      <c r="U1187" s="15" t="str">
        <f t="shared" si="30"/>
        <v>Infosec - SEC</v>
      </c>
      <c r="V1187" s="12" t="s">
        <v>104</v>
      </c>
      <c r="W1187" s="12" t="s">
        <v>263</v>
      </c>
      <c r="X1187" s="12" t="s">
        <v>264</v>
      </c>
      <c r="Y1187" s="12" t="s">
        <v>1038</v>
      </c>
      <c r="AA1187" s="12"/>
      <c r="AB1187" s="33"/>
      <c r="AC1187" s="34"/>
      <c r="AD1187" s="15"/>
      <c r="AE1187" s="14"/>
      <c r="AF1187" s="12"/>
      <c r="AG1187" s="12"/>
      <c r="AH1187" s="12"/>
      <c r="AJ1187"/>
      <c r="AK1187"/>
    </row>
    <row r="1188" spans="18:37" ht="14">
      <c r="R1188" s="14">
        <v>95501</v>
      </c>
      <c r="S1188" s="14" t="s">
        <v>665</v>
      </c>
      <c r="T1188" s="12" t="s">
        <v>145</v>
      </c>
      <c r="U1188" s="15" t="str">
        <f t="shared" si="30"/>
        <v>Infosec - SUP</v>
      </c>
      <c r="V1188" s="12" t="s">
        <v>104</v>
      </c>
      <c r="W1188" s="12" t="s">
        <v>263</v>
      </c>
      <c r="X1188" s="12" t="s">
        <v>264</v>
      </c>
      <c r="Y1188" s="12" t="s">
        <v>1038</v>
      </c>
      <c r="AA1188" s="12"/>
      <c r="AB1188" s="33"/>
      <c r="AC1188" s="34"/>
      <c r="AD1188" s="15"/>
      <c r="AE1188" s="14"/>
      <c r="AF1188" s="12"/>
      <c r="AG1188" s="12"/>
      <c r="AH1188" s="12"/>
      <c r="AJ1188"/>
      <c r="AK1188"/>
    </row>
    <row r="1189" spans="18:37" ht="14">
      <c r="R1189" s="14">
        <v>89007</v>
      </c>
      <c r="S1189" s="14" t="s">
        <v>671</v>
      </c>
      <c r="T1189" s="12" t="s">
        <v>116</v>
      </c>
      <c r="U1189" s="15" t="str">
        <f t="shared" si="30"/>
        <v>Infra cloud transformation - PRD</v>
      </c>
      <c r="V1189" s="12" t="s">
        <v>117</v>
      </c>
      <c r="W1189" s="12" t="s">
        <v>117</v>
      </c>
      <c r="X1189" s="12" t="s">
        <v>117</v>
      </c>
      <c r="Y1189" s="12" t="s">
        <v>1038</v>
      </c>
      <c r="AA1189" s="12"/>
      <c r="AB1189" s="33"/>
      <c r="AC1189" s="34"/>
      <c r="AD1189" s="15"/>
      <c r="AE1189" s="14"/>
      <c r="AF1189" s="12"/>
      <c r="AG1189" s="12"/>
      <c r="AH1189" s="12"/>
      <c r="AJ1189"/>
      <c r="AK1189"/>
    </row>
    <row r="1190" spans="18:37" ht="14">
      <c r="R1190" s="14">
        <v>10781</v>
      </c>
      <c r="S1190" s="14" t="s">
        <v>380</v>
      </c>
      <c r="T1190" s="12" t="s">
        <v>145</v>
      </c>
      <c r="U1190" s="15" t="str">
        <f t="shared" si="30"/>
        <v>Ingram Offshore QA_Ind - SUP</v>
      </c>
      <c r="V1190" s="12" t="s">
        <v>117</v>
      </c>
      <c r="W1190" s="12" t="s">
        <v>117</v>
      </c>
      <c r="X1190" s="12" t="s">
        <v>117</v>
      </c>
      <c r="Y1190" s="12" t="s">
        <v>1038</v>
      </c>
      <c r="AA1190" s="12"/>
      <c r="AB1190" s="33"/>
      <c r="AC1190" s="34"/>
      <c r="AD1190" s="15"/>
      <c r="AE1190" s="14"/>
      <c r="AF1190" s="12"/>
      <c r="AG1190" s="12"/>
      <c r="AH1190" s="12"/>
      <c r="AJ1190"/>
      <c r="AK1190"/>
    </row>
    <row r="1191" spans="18:37" ht="14">
      <c r="R1191" s="14">
        <v>10036</v>
      </c>
      <c r="S1191" s="14" t="s">
        <v>181</v>
      </c>
      <c r="T1191" s="12" t="s">
        <v>145</v>
      </c>
      <c r="U1191" s="15" t="str">
        <f t="shared" si="30"/>
        <v>Ingram QA Strategic JC - SUP</v>
      </c>
      <c r="V1191" s="12" t="s">
        <v>117</v>
      </c>
      <c r="W1191" s="12" t="s">
        <v>117</v>
      </c>
      <c r="X1191" s="12" t="s">
        <v>117</v>
      </c>
      <c r="Y1191" s="12" t="s">
        <v>1038</v>
      </c>
      <c r="AA1191" s="12"/>
      <c r="AB1191" s="33"/>
      <c r="AC1191" s="34"/>
      <c r="AD1191" s="15"/>
      <c r="AE1191" s="14"/>
      <c r="AF1191" s="12"/>
      <c r="AG1191" s="12"/>
      <c r="AH1191" s="12"/>
      <c r="AJ1191"/>
      <c r="AK1191"/>
    </row>
    <row r="1192" spans="18:37" ht="14">
      <c r="R1192" s="14">
        <v>93230</v>
      </c>
      <c r="S1192" s="14" t="s">
        <v>343</v>
      </c>
      <c r="T1192" s="12" t="s">
        <v>145</v>
      </c>
      <c r="U1192" s="15" t="str">
        <f t="shared" si="30"/>
        <v>Insurance - SUP</v>
      </c>
      <c r="V1192" s="12" t="s">
        <v>104</v>
      </c>
      <c r="W1192" s="12" t="s">
        <v>1024</v>
      </c>
      <c r="X1192" s="12" t="s">
        <v>114</v>
      </c>
      <c r="Y1192" s="12" t="s">
        <v>1038</v>
      </c>
      <c r="AA1192" s="12"/>
      <c r="AB1192" s="33"/>
      <c r="AC1192" s="34"/>
      <c r="AD1192" s="15"/>
      <c r="AE1192" s="14"/>
      <c r="AF1192" s="12"/>
      <c r="AG1192" s="12"/>
      <c r="AH1192" s="12"/>
      <c r="AJ1192"/>
      <c r="AK1192"/>
    </row>
    <row r="1193" spans="18:37" ht="14">
      <c r="R1193" s="14">
        <v>51157</v>
      </c>
      <c r="S1193" s="14" t="s">
        <v>720</v>
      </c>
      <c r="T1193" s="12" t="s">
        <v>116</v>
      </c>
      <c r="U1193" s="15" t="str">
        <f t="shared" si="30"/>
        <v>INT-2211-2212-QEC-QA-Regressio - PRD</v>
      </c>
      <c r="V1193" s="12" t="s">
        <v>117</v>
      </c>
      <c r="W1193" s="12" t="s">
        <v>117</v>
      </c>
      <c r="X1193" s="12" t="s">
        <v>117</v>
      </c>
      <c r="Y1193" s="12" t="s">
        <v>1038</v>
      </c>
      <c r="AA1193" s="12"/>
      <c r="AB1193" s="33"/>
      <c r="AC1193" s="34"/>
      <c r="AD1193" s="15"/>
      <c r="AE1193" s="14"/>
      <c r="AF1193" s="12"/>
      <c r="AG1193" s="12"/>
      <c r="AH1193" s="12"/>
      <c r="AJ1193"/>
      <c r="AK1193"/>
    </row>
    <row r="1194" spans="18:37" ht="14">
      <c r="R1194" s="14">
        <v>51427</v>
      </c>
      <c r="S1194" s="14" t="s">
        <v>784</v>
      </c>
      <c r="T1194" s="12" t="s">
        <v>116</v>
      </c>
      <c r="U1194" s="15" t="str">
        <f t="shared" si="30"/>
        <v>Intelsat-2301-2512-Oracle-Clou - PRD</v>
      </c>
      <c r="V1194" s="12" t="s">
        <v>117</v>
      </c>
      <c r="W1194" s="12" t="s">
        <v>117</v>
      </c>
      <c r="X1194" s="12" t="s">
        <v>117</v>
      </c>
      <c r="Y1194" s="12" t="s">
        <v>1038</v>
      </c>
      <c r="AA1194" s="12"/>
      <c r="AB1194" s="33"/>
      <c r="AC1194" s="34"/>
      <c r="AD1194" s="15"/>
      <c r="AE1194" s="14"/>
      <c r="AF1194" s="12"/>
      <c r="AG1194" s="12"/>
      <c r="AH1194" s="12"/>
      <c r="AJ1194"/>
      <c r="AK1194"/>
    </row>
    <row r="1195" spans="18:37" ht="14">
      <c r="R1195" s="14">
        <v>10899</v>
      </c>
      <c r="S1195" s="14" t="s">
        <v>440</v>
      </c>
      <c r="T1195" s="12" t="s">
        <v>156</v>
      </c>
      <c r="U1195" s="15" t="str">
        <f t="shared" si="30"/>
        <v>Interactions - India - CLR</v>
      </c>
      <c r="V1195" s="12" t="s">
        <v>126</v>
      </c>
      <c r="W1195" s="12" t="s">
        <v>163</v>
      </c>
      <c r="X1195" s="12" t="s">
        <v>164</v>
      </c>
      <c r="Y1195" s="12" t="s">
        <v>1038</v>
      </c>
      <c r="AA1195" s="12"/>
      <c r="AB1195" s="33"/>
      <c r="AC1195" s="34"/>
      <c r="AD1195" s="15"/>
      <c r="AE1195" s="14"/>
      <c r="AF1195" s="12"/>
      <c r="AG1195" s="12"/>
      <c r="AH1195" s="12"/>
      <c r="AJ1195"/>
      <c r="AK1195"/>
    </row>
    <row r="1196" spans="18:37" ht="14">
      <c r="R1196" s="14">
        <v>10899</v>
      </c>
      <c r="S1196" s="14" t="s">
        <v>440</v>
      </c>
      <c r="T1196" s="12" t="s">
        <v>161</v>
      </c>
      <c r="U1196" s="15" t="str">
        <f t="shared" si="30"/>
        <v>Interactions - India - ECC</v>
      </c>
      <c r="V1196" s="12" t="s">
        <v>126</v>
      </c>
      <c r="W1196" s="12" t="s">
        <v>163</v>
      </c>
      <c r="X1196" s="12" t="s">
        <v>164</v>
      </c>
      <c r="Y1196" s="12" t="s">
        <v>1038</v>
      </c>
      <c r="AA1196" s="12"/>
      <c r="AB1196" s="33"/>
      <c r="AC1196" s="34"/>
      <c r="AD1196" s="15"/>
      <c r="AE1196" s="14"/>
      <c r="AF1196" s="12"/>
      <c r="AG1196" s="12"/>
      <c r="AH1196" s="12"/>
      <c r="AJ1196"/>
      <c r="AK1196"/>
    </row>
    <row r="1197" spans="18:37" ht="14">
      <c r="R1197" s="14">
        <v>10899</v>
      </c>
      <c r="S1197" s="14" t="s">
        <v>440</v>
      </c>
      <c r="T1197" s="12" t="s">
        <v>129</v>
      </c>
      <c r="U1197" s="15" t="str">
        <f t="shared" si="30"/>
        <v>Interactions - India - MGT</v>
      </c>
      <c r="V1197" s="12" t="s">
        <v>126</v>
      </c>
      <c r="W1197" s="12" t="s">
        <v>163</v>
      </c>
      <c r="X1197" s="12" t="s">
        <v>164</v>
      </c>
      <c r="Y1197" s="12" t="s">
        <v>1038</v>
      </c>
      <c r="AA1197" s="12"/>
      <c r="AB1197" s="33"/>
      <c r="AC1197" s="34"/>
      <c r="AD1197" s="15"/>
      <c r="AE1197" s="14"/>
      <c r="AF1197" s="12"/>
      <c r="AG1197" s="12"/>
      <c r="AH1197" s="12"/>
      <c r="AJ1197"/>
      <c r="AK1197"/>
    </row>
    <row r="1198" spans="18:37" ht="14">
      <c r="R1198" s="14">
        <v>10899</v>
      </c>
      <c r="S1198" s="14" t="s">
        <v>440</v>
      </c>
      <c r="T1198" s="12" t="s">
        <v>145</v>
      </c>
      <c r="U1198" s="15" t="str">
        <f t="shared" si="30"/>
        <v>Interactions - India - SUP</v>
      </c>
      <c r="V1198" s="12" t="s">
        <v>126</v>
      </c>
      <c r="W1198" s="12" t="s">
        <v>163</v>
      </c>
      <c r="X1198" s="12" t="s">
        <v>164</v>
      </c>
      <c r="Y1198" s="12" t="s">
        <v>1038</v>
      </c>
      <c r="AA1198" s="12"/>
      <c r="AB1198" s="33"/>
      <c r="AC1198" s="34"/>
      <c r="AD1198" s="15"/>
      <c r="AE1198" s="14"/>
      <c r="AF1198" s="12"/>
      <c r="AG1198" s="12"/>
      <c r="AH1198" s="12"/>
      <c r="AJ1198"/>
      <c r="AK1198"/>
    </row>
    <row r="1199" spans="18:37" ht="14">
      <c r="R1199" s="14">
        <v>10899</v>
      </c>
      <c r="S1199" s="14" t="s">
        <v>440</v>
      </c>
      <c r="T1199" s="12" t="s">
        <v>180</v>
      </c>
      <c r="U1199" s="15" t="str">
        <f t="shared" si="30"/>
        <v>Interactions - India - TMG</v>
      </c>
      <c r="V1199" s="12" t="s">
        <v>126</v>
      </c>
      <c r="W1199" s="12" t="s">
        <v>163</v>
      </c>
      <c r="X1199" s="12" t="s">
        <v>164</v>
      </c>
      <c r="Y1199" s="12" t="s">
        <v>1038</v>
      </c>
      <c r="AA1199" s="12"/>
      <c r="AB1199" s="33"/>
      <c r="AC1199" s="34"/>
      <c r="AD1199" s="15"/>
      <c r="AE1199" s="14"/>
      <c r="AF1199" s="12"/>
      <c r="AG1199" s="12"/>
      <c r="AH1199" s="12"/>
      <c r="AJ1199"/>
      <c r="AK1199"/>
    </row>
    <row r="1200" spans="18:37" ht="14">
      <c r="R1200" s="14">
        <v>10899</v>
      </c>
      <c r="S1200" s="14" t="s">
        <v>440</v>
      </c>
      <c r="T1200" s="12" t="s">
        <v>185</v>
      </c>
      <c r="U1200" s="15" t="str">
        <f t="shared" si="30"/>
        <v>Interactions - India - TPS</v>
      </c>
      <c r="V1200" s="12" t="s">
        <v>126</v>
      </c>
      <c r="W1200" s="12" t="s">
        <v>163</v>
      </c>
      <c r="X1200" s="12" t="s">
        <v>164</v>
      </c>
      <c r="Y1200" s="12" t="s">
        <v>1038</v>
      </c>
      <c r="AA1200" s="12"/>
      <c r="AB1200" s="33"/>
      <c r="AC1200" s="34"/>
      <c r="AD1200" s="15"/>
      <c r="AE1200" s="14"/>
      <c r="AF1200" s="12"/>
      <c r="AG1200" s="12"/>
      <c r="AH1200" s="12"/>
      <c r="AJ1200"/>
      <c r="AK1200"/>
    </row>
    <row r="1201" spans="18:37" ht="14">
      <c r="R1201" s="14">
        <v>10899</v>
      </c>
      <c r="S1201" s="14" t="s">
        <v>440</v>
      </c>
      <c r="T1201" s="12" t="s">
        <v>208</v>
      </c>
      <c r="U1201" s="15" t="str">
        <f t="shared" si="30"/>
        <v>Interactions - India - TTR</v>
      </c>
      <c r="V1201" s="12" t="s">
        <v>112</v>
      </c>
      <c r="W1201" s="12" t="s">
        <v>204</v>
      </c>
      <c r="X1201" s="12" t="s">
        <v>205</v>
      </c>
      <c r="Y1201" s="12" t="s">
        <v>1038</v>
      </c>
      <c r="AA1201" s="12"/>
      <c r="AB1201" s="33"/>
      <c r="AC1201" s="34"/>
      <c r="AD1201" s="15"/>
      <c r="AE1201" s="14"/>
      <c r="AF1201" s="12"/>
      <c r="AG1201" s="12"/>
      <c r="AH1201" s="12"/>
      <c r="AJ1201"/>
      <c r="AK1201"/>
    </row>
    <row r="1202" spans="18:37" ht="14">
      <c r="R1202" s="14">
        <v>96101</v>
      </c>
      <c r="S1202" s="14" t="s">
        <v>673</v>
      </c>
      <c r="T1202" s="12" t="s">
        <v>121</v>
      </c>
      <c r="U1202" s="15" t="str">
        <f t="shared" si="30"/>
        <v>Internal Audit - F&amp;A</v>
      </c>
      <c r="V1202" s="12" t="s">
        <v>104</v>
      </c>
      <c r="W1202" s="12" t="s">
        <v>673</v>
      </c>
      <c r="X1202" s="12" t="s">
        <v>114</v>
      </c>
      <c r="Y1202" s="12" t="s">
        <v>1038</v>
      </c>
      <c r="AA1202" s="12"/>
      <c r="AB1202" s="33"/>
      <c r="AC1202" s="34"/>
      <c r="AD1202" s="15"/>
      <c r="AE1202" s="14"/>
      <c r="AF1202" s="12"/>
      <c r="AG1202" s="12"/>
      <c r="AH1202" s="12"/>
      <c r="AJ1202"/>
      <c r="AK1202"/>
    </row>
    <row r="1203" spans="18:37" ht="14">
      <c r="R1203" s="14">
        <v>96101</v>
      </c>
      <c r="S1203" s="14" t="s">
        <v>673</v>
      </c>
      <c r="T1203" s="12" t="s">
        <v>129</v>
      </c>
      <c r="U1203" s="15" t="str">
        <f t="shared" si="30"/>
        <v>Internal Audit - MGT</v>
      </c>
      <c r="V1203" s="12" t="s">
        <v>104</v>
      </c>
      <c r="W1203" s="12" t="s">
        <v>673</v>
      </c>
      <c r="X1203" s="12" t="s">
        <v>114</v>
      </c>
      <c r="Y1203" s="12" t="s">
        <v>1038</v>
      </c>
      <c r="AA1203" s="12"/>
      <c r="AB1203" s="33"/>
      <c r="AC1203" s="34"/>
      <c r="AD1203" s="15"/>
      <c r="AE1203" s="14"/>
      <c r="AF1203" s="12"/>
      <c r="AG1203" s="12"/>
      <c r="AH1203" s="12"/>
      <c r="AJ1203"/>
      <c r="AK1203"/>
    </row>
    <row r="1204" spans="18:37" ht="14">
      <c r="R1204" s="14">
        <v>96101</v>
      </c>
      <c r="S1204" s="14" t="s">
        <v>673</v>
      </c>
      <c r="T1204" s="12" t="s">
        <v>578</v>
      </c>
      <c r="U1204" s="15" t="str">
        <f t="shared" si="30"/>
        <v>Internal Audit - PQM</v>
      </c>
      <c r="V1204" s="12" t="s">
        <v>104</v>
      </c>
      <c r="W1204" s="12" t="s">
        <v>673</v>
      </c>
      <c r="X1204" s="12" t="s">
        <v>114</v>
      </c>
      <c r="Y1204" s="12" t="s">
        <v>1038</v>
      </c>
      <c r="AA1204" s="12"/>
      <c r="AB1204" s="33"/>
      <c r="AC1204" s="34"/>
      <c r="AD1204" s="15"/>
      <c r="AE1204" s="14"/>
      <c r="AF1204" s="12"/>
      <c r="AG1204" s="12"/>
      <c r="AH1204" s="12"/>
      <c r="AJ1204"/>
      <c r="AK1204"/>
    </row>
    <row r="1205" spans="18:37" ht="14">
      <c r="R1205" s="14">
        <v>96101</v>
      </c>
      <c r="S1205" s="14" t="s">
        <v>673</v>
      </c>
      <c r="T1205" s="12" t="s">
        <v>145</v>
      </c>
      <c r="U1205" s="15" t="str">
        <f t="shared" si="30"/>
        <v>Internal Audit - SUP</v>
      </c>
      <c r="V1205" s="12" t="s">
        <v>104</v>
      </c>
      <c r="W1205" s="12" t="s">
        <v>673</v>
      </c>
      <c r="X1205" s="12" t="s">
        <v>114</v>
      </c>
      <c r="Y1205" s="12" t="s">
        <v>1038</v>
      </c>
      <c r="AA1205" s="12"/>
      <c r="AB1205" s="33"/>
      <c r="AC1205" s="34"/>
      <c r="AD1205" s="15"/>
      <c r="AE1205" s="14"/>
      <c r="AF1205" s="12"/>
      <c r="AG1205" s="12"/>
      <c r="AH1205" s="12"/>
      <c r="AJ1205"/>
      <c r="AK1205"/>
    </row>
    <row r="1206" spans="18:37" ht="14">
      <c r="R1206" s="14">
        <v>96101</v>
      </c>
      <c r="S1206" s="14" t="s">
        <v>673</v>
      </c>
      <c r="T1206" s="12" t="s">
        <v>180</v>
      </c>
      <c r="U1206" s="15" t="str">
        <f t="shared" si="30"/>
        <v>Internal Audit - TMG</v>
      </c>
      <c r="V1206" s="12" t="s">
        <v>104</v>
      </c>
      <c r="W1206" s="12" t="s">
        <v>673</v>
      </c>
      <c r="X1206" s="12" t="s">
        <v>114</v>
      </c>
      <c r="Y1206" s="12" t="s">
        <v>1038</v>
      </c>
      <c r="AA1206" s="12"/>
      <c r="AB1206" s="33"/>
      <c r="AC1206" s="34"/>
      <c r="AD1206" s="15"/>
      <c r="AE1206" s="14"/>
      <c r="AF1206" s="12"/>
      <c r="AG1206" s="12"/>
      <c r="AH1206" s="12"/>
      <c r="AJ1206"/>
      <c r="AK1206"/>
    </row>
    <row r="1207" spans="18:37" ht="14">
      <c r="R1207" s="14">
        <v>51159</v>
      </c>
      <c r="S1207" s="14" t="s">
        <v>722</v>
      </c>
      <c r="T1207" s="12" t="s">
        <v>116</v>
      </c>
      <c r="U1207" s="15" t="str">
        <f t="shared" si="30"/>
        <v>Intralox-2301-2306-Testing-Sup - PRD</v>
      </c>
      <c r="V1207" s="12" t="s">
        <v>117</v>
      </c>
      <c r="W1207" s="12" t="s">
        <v>117</v>
      </c>
      <c r="X1207" s="12" t="s">
        <v>117</v>
      </c>
      <c r="Y1207" s="12" t="s">
        <v>1038</v>
      </c>
      <c r="AA1207" s="12"/>
      <c r="AB1207" s="33"/>
      <c r="AC1207" s="34"/>
      <c r="AD1207" s="15"/>
      <c r="AE1207" s="14"/>
      <c r="AF1207" s="12"/>
      <c r="AG1207" s="12"/>
      <c r="AH1207" s="12"/>
      <c r="AJ1207"/>
      <c r="AK1207"/>
    </row>
    <row r="1208" spans="18:37" ht="14">
      <c r="R1208" s="14">
        <v>51160</v>
      </c>
      <c r="S1208" s="14" t="s">
        <v>1074</v>
      </c>
      <c r="T1208" s="12" t="s">
        <v>116</v>
      </c>
      <c r="U1208" s="15" t="str">
        <f t="shared" si="30"/>
        <v>Invesco22102512QECOracleCl - PRD</v>
      </c>
      <c r="V1208" s="12" t="s">
        <v>117</v>
      </c>
      <c r="W1208" s="12" t="s">
        <v>117</v>
      </c>
      <c r="X1208" s="12" t="s">
        <v>117</v>
      </c>
      <c r="Y1208" s="12" t="s">
        <v>1038</v>
      </c>
      <c r="AA1208" s="12"/>
      <c r="AB1208" s="33"/>
      <c r="AC1208" s="34"/>
      <c r="AD1208" s="15"/>
      <c r="AE1208" s="14"/>
      <c r="AF1208" s="12"/>
      <c r="AG1208" s="12"/>
      <c r="AH1208" s="12"/>
      <c r="AJ1208"/>
      <c r="AK1208"/>
    </row>
    <row r="1209" spans="18:37" ht="14">
      <c r="R1209" s="14">
        <v>51161</v>
      </c>
      <c r="S1209" s="14" t="s">
        <v>723</v>
      </c>
      <c r="T1209" s="12" t="s">
        <v>116</v>
      </c>
      <c r="U1209" s="15" t="str">
        <f t="shared" si="30"/>
        <v>Invesco-2212-2512-RPA-Penny-Bo - PRD</v>
      </c>
      <c r="V1209" s="12" t="s">
        <v>117</v>
      </c>
      <c r="W1209" s="12" t="s">
        <v>117</v>
      </c>
      <c r="X1209" s="12" t="s">
        <v>117</v>
      </c>
      <c r="Y1209" s="12" t="s">
        <v>1038</v>
      </c>
      <c r="AA1209" s="12"/>
      <c r="AB1209" s="33"/>
      <c r="AC1209" s="34"/>
      <c r="AD1209" s="15"/>
      <c r="AE1209" s="14"/>
      <c r="AF1209" s="12"/>
      <c r="AG1209" s="12"/>
      <c r="AH1209" s="12"/>
      <c r="AJ1209"/>
      <c r="AK1209"/>
    </row>
    <row r="1210" spans="18:37" ht="14">
      <c r="R1210" s="14">
        <v>10507</v>
      </c>
      <c r="S1210" s="14" t="s">
        <v>258</v>
      </c>
      <c r="T1210" s="12" t="s">
        <v>116</v>
      </c>
      <c r="U1210" s="15" t="str">
        <f t="shared" si="30"/>
        <v>Investment Banking NFB - PRD</v>
      </c>
      <c r="V1210" s="12" t="s">
        <v>126</v>
      </c>
      <c r="W1210" s="12" t="s">
        <v>184</v>
      </c>
      <c r="X1210" s="12" t="s">
        <v>184</v>
      </c>
      <c r="Y1210" s="12" t="s">
        <v>1038</v>
      </c>
      <c r="AA1210" s="12"/>
      <c r="AB1210" s="33"/>
      <c r="AC1210" s="34"/>
      <c r="AD1210" s="15"/>
      <c r="AE1210" s="14"/>
      <c r="AF1210" s="12"/>
      <c r="AG1210" s="12"/>
      <c r="AH1210" s="12"/>
      <c r="AJ1210"/>
      <c r="AK1210"/>
    </row>
    <row r="1211" spans="18:37" ht="14">
      <c r="R1211" s="14">
        <v>40096</v>
      </c>
      <c r="S1211" s="14" t="s">
        <v>669</v>
      </c>
      <c r="T1211" s="12" t="s">
        <v>1020</v>
      </c>
      <c r="U1211" s="15" t="str">
        <f t="shared" si="30"/>
        <v>Investment Banking Research - CNS</v>
      </c>
      <c r="V1211" s="12" t="s">
        <v>126</v>
      </c>
      <c r="W1211" s="12" t="s">
        <v>184</v>
      </c>
      <c r="X1211" s="12" t="s">
        <v>184</v>
      </c>
      <c r="Y1211" s="12" t="s">
        <v>1038</v>
      </c>
      <c r="AA1211" s="12"/>
      <c r="AB1211" s="33"/>
      <c r="AC1211" s="34"/>
      <c r="AD1211" s="15"/>
      <c r="AE1211" s="14"/>
      <c r="AF1211" s="12"/>
      <c r="AG1211" s="12"/>
      <c r="AH1211" s="12"/>
      <c r="AJ1211"/>
      <c r="AK1211"/>
    </row>
    <row r="1212" spans="18:37" ht="14">
      <c r="R1212" s="14">
        <v>40096</v>
      </c>
      <c r="S1212" s="14" t="s">
        <v>669</v>
      </c>
      <c r="T1212" s="12" t="s">
        <v>116</v>
      </c>
      <c r="U1212" s="15" t="str">
        <f t="shared" si="30"/>
        <v>Investment Banking Research - PRD</v>
      </c>
      <c r="V1212" s="12" t="s">
        <v>126</v>
      </c>
      <c r="W1212" s="12" t="s">
        <v>184</v>
      </c>
      <c r="X1212" s="12" t="s">
        <v>184</v>
      </c>
      <c r="Y1212" s="12" t="s">
        <v>1038</v>
      </c>
      <c r="AA1212" s="12"/>
      <c r="AB1212" s="33"/>
      <c r="AC1212" s="34"/>
      <c r="AD1212" s="15"/>
      <c r="AE1212" s="14"/>
      <c r="AF1212" s="12"/>
      <c r="AG1212" s="12"/>
      <c r="AH1212" s="12"/>
      <c r="AJ1212"/>
      <c r="AK1212"/>
    </row>
    <row r="1213" spans="18:37" ht="14">
      <c r="R1213" s="14">
        <v>40096</v>
      </c>
      <c r="S1213" s="14" t="s">
        <v>669</v>
      </c>
      <c r="T1213" s="12" t="s">
        <v>510</v>
      </c>
      <c r="U1213" s="15" t="str">
        <f t="shared" si="30"/>
        <v>Investment Banking Research - RST</v>
      </c>
      <c r="V1213" s="12" t="s">
        <v>126</v>
      </c>
      <c r="W1213" s="12" t="s">
        <v>184</v>
      </c>
      <c r="X1213" s="12" t="s">
        <v>184</v>
      </c>
      <c r="Y1213" s="12" t="s">
        <v>1038</v>
      </c>
      <c r="AA1213" s="12"/>
      <c r="AB1213" s="33"/>
      <c r="AC1213" s="34"/>
      <c r="AD1213" s="15"/>
      <c r="AE1213" s="14"/>
      <c r="AF1213" s="12"/>
      <c r="AG1213" s="12"/>
      <c r="AH1213" s="12"/>
      <c r="AJ1213"/>
      <c r="AK1213"/>
    </row>
    <row r="1214" spans="18:37" ht="14">
      <c r="R1214" s="14">
        <v>40096</v>
      </c>
      <c r="S1214" s="14" t="s">
        <v>669</v>
      </c>
      <c r="T1214" s="12" t="s">
        <v>145</v>
      </c>
      <c r="U1214" s="15" t="str">
        <f t="shared" si="30"/>
        <v>Investment Banking Research - SUP</v>
      </c>
      <c r="V1214" s="12" t="s">
        <v>126</v>
      </c>
      <c r="W1214" s="12" t="s">
        <v>184</v>
      </c>
      <c r="X1214" s="12" t="s">
        <v>184</v>
      </c>
      <c r="Y1214" s="12" t="s">
        <v>1038</v>
      </c>
      <c r="AA1214" s="12"/>
      <c r="AB1214" s="33"/>
      <c r="AC1214" s="34"/>
      <c r="AD1214" s="15"/>
      <c r="AE1214" s="14"/>
      <c r="AF1214" s="12"/>
      <c r="AG1214" s="12"/>
      <c r="AH1214" s="12"/>
      <c r="AJ1214"/>
      <c r="AK1214"/>
    </row>
    <row r="1215" spans="18:37" ht="14">
      <c r="R1215" s="14">
        <v>40096</v>
      </c>
      <c r="S1215" s="14" t="s">
        <v>669</v>
      </c>
      <c r="T1215" s="12" t="s">
        <v>180</v>
      </c>
      <c r="U1215" s="15" t="str">
        <f t="shared" si="30"/>
        <v>Investment Banking Research - TMG</v>
      </c>
      <c r="V1215" s="12" t="s">
        <v>126</v>
      </c>
      <c r="W1215" s="12" t="s">
        <v>184</v>
      </c>
      <c r="X1215" s="12" t="s">
        <v>184</v>
      </c>
      <c r="Y1215" s="12" t="s">
        <v>1038</v>
      </c>
      <c r="AA1215" s="12"/>
      <c r="AB1215" s="33"/>
      <c r="AC1215" s="34"/>
      <c r="AD1215" s="15"/>
      <c r="AE1215" s="14"/>
      <c r="AF1215" s="12"/>
      <c r="AG1215" s="12"/>
      <c r="AH1215" s="12"/>
      <c r="AJ1215"/>
      <c r="AK1215"/>
    </row>
    <row r="1216" spans="18:37" ht="14">
      <c r="R1216" s="14">
        <v>10104</v>
      </c>
      <c r="S1216" s="14" t="s">
        <v>215</v>
      </c>
      <c r="T1216" s="12" t="s">
        <v>185</v>
      </c>
      <c r="U1216" s="15" t="str">
        <f t="shared" si="30"/>
        <v>IOA - Incumbent Backoffice - TPS</v>
      </c>
      <c r="V1216" s="12" t="s">
        <v>126</v>
      </c>
      <c r="W1216" s="12" t="s">
        <v>163</v>
      </c>
      <c r="X1216" s="12" t="s">
        <v>164</v>
      </c>
      <c r="Y1216" s="12" t="s">
        <v>1038</v>
      </c>
      <c r="AA1216" s="12"/>
      <c r="AB1216" s="33"/>
      <c r="AC1216" s="34"/>
      <c r="AD1216" s="15"/>
      <c r="AE1216" s="14"/>
      <c r="AF1216" s="12"/>
      <c r="AG1216" s="12"/>
      <c r="AH1216" s="12"/>
      <c r="AJ1216"/>
      <c r="AK1216"/>
    </row>
    <row r="1217" spans="18:37" ht="14">
      <c r="R1217" s="14">
        <v>10845</v>
      </c>
      <c r="S1217" s="14" t="s">
        <v>427</v>
      </c>
      <c r="T1217" s="12" t="s">
        <v>133</v>
      </c>
      <c r="U1217" s="15" t="str">
        <f t="shared" si="30"/>
        <v>IOA SBU Support US and India - AMG</v>
      </c>
      <c r="V1217" s="12" t="s">
        <v>126</v>
      </c>
      <c r="W1217" s="12" t="s">
        <v>163</v>
      </c>
      <c r="X1217" s="12" t="s">
        <v>164</v>
      </c>
      <c r="Y1217" s="12" t="s">
        <v>1038</v>
      </c>
      <c r="AA1217" s="12"/>
      <c r="AB1217" s="33"/>
      <c r="AC1217" s="34"/>
      <c r="AD1217" s="15"/>
      <c r="AE1217" s="14"/>
      <c r="AF1217" s="12"/>
      <c r="AG1217" s="12"/>
      <c r="AH1217" s="12"/>
      <c r="AJ1217"/>
      <c r="AK1217"/>
    </row>
    <row r="1218" spans="18:37" ht="14">
      <c r="R1218" s="14">
        <v>10845</v>
      </c>
      <c r="S1218" s="14" t="s">
        <v>427</v>
      </c>
      <c r="T1218" s="12" t="s">
        <v>433</v>
      </c>
      <c r="U1218" s="15" t="str">
        <f t="shared" si="30"/>
        <v>IOA SBU Support US and India - ANA</v>
      </c>
      <c r="V1218" s="12" t="s">
        <v>126</v>
      </c>
      <c r="W1218" s="12" t="s">
        <v>163</v>
      </c>
      <c r="X1218" s="12" t="s">
        <v>164</v>
      </c>
      <c r="Y1218" s="12" t="s">
        <v>1038</v>
      </c>
      <c r="AA1218" s="12"/>
      <c r="AB1218" s="33"/>
      <c r="AC1218" s="34"/>
      <c r="AD1218" s="15"/>
      <c r="AE1218" s="14"/>
      <c r="AF1218" s="12"/>
      <c r="AG1218" s="12"/>
      <c r="AH1218" s="12"/>
      <c r="AJ1218"/>
      <c r="AK1218"/>
    </row>
    <row r="1219" spans="18:37" ht="14">
      <c r="R1219" s="14">
        <v>10845</v>
      </c>
      <c r="S1219" s="14" t="s">
        <v>427</v>
      </c>
      <c r="T1219" s="12" t="s">
        <v>111</v>
      </c>
      <c r="U1219" s="15" t="str">
        <f t="shared" ref="U1219:U1282" si="31">S1219&amp;" - "&amp;T1219</f>
        <v>IOA SBU Support US and India - QLY</v>
      </c>
      <c r="V1219" s="12" t="s">
        <v>112</v>
      </c>
      <c r="W1219" s="12" t="s">
        <v>113</v>
      </c>
      <c r="X1219" s="12" t="s">
        <v>114</v>
      </c>
      <c r="Y1219" s="12" t="s">
        <v>1038</v>
      </c>
      <c r="AA1219" s="12"/>
      <c r="AB1219" s="33"/>
      <c r="AC1219" s="34"/>
      <c r="AD1219" s="15"/>
      <c r="AE1219" s="14"/>
      <c r="AF1219" s="12"/>
      <c r="AG1219" s="12"/>
      <c r="AH1219" s="12"/>
      <c r="AJ1219"/>
      <c r="AK1219"/>
    </row>
    <row r="1220" spans="18:37" ht="14">
      <c r="R1220" s="14">
        <v>10845</v>
      </c>
      <c r="S1220" s="14" t="s">
        <v>427</v>
      </c>
      <c r="T1220" s="12" t="s">
        <v>119</v>
      </c>
      <c r="U1220" s="15" t="str">
        <f t="shared" si="31"/>
        <v>IOA SBU Support US and India - SQM</v>
      </c>
      <c r="V1220" s="12" t="s">
        <v>112</v>
      </c>
      <c r="W1220" s="12" t="s">
        <v>113</v>
      </c>
      <c r="X1220" s="12" t="s">
        <v>114</v>
      </c>
      <c r="Y1220" s="12" t="s">
        <v>1038</v>
      </c>
      <c r="AA1220" s="12"/>
      <c r="AB1220" s="33"/>
      <c r="AC1220" s="34"/>
      <c r="AD1220" s="15"/>
      <c r="AE1220" s="14"/>
      <c r="AF1220" s="12"/>
      <c r="AG1220" s="12"/>
      <c r="AH1220" s="12"/>
      <c r="AJ1220"/>
      <c r="AK1220"/>
    </row>
    <row r="1221" spans="18:37" ht="14">
      <c r="R1221" s="14">
        <v>10845</v>
      </c>
      <c r="S1221" s="14" t="s">
        <v>427</v>
      </c>
      <c r="T1221" s="12" t="s">
        <v>145</v>
      </c>
      <c r="U1221" s="15" t="str">
        <f t="shared" si="31"/>
        <v>IOA SBU Support US and India - SUP</v>
      </c>
      <c r="V1221" s="12" t="s">
        <v>126</v>
      </c>
      <c r="W1221" s="12" t="s">
        <v>163</v>
      </c>
      <c r="X1221" s="12" t="s">
        <v>164</v>
      </c>
      <c r="Y1221" s="12" t="s">
        <v>1038</v>
      </c>
      <c r="AA1221" s="12"/>
      <c r="AB1221" s="33"/>
      <c r="AC1221" s="34"/>
      <c r="AD1221" s="15"/>
      <c r="AE1221" s="14"/>
      <c r="AF1221" s="12"/>
      <c r="AG1221" s="12"/>
      <c r="AH1221" s="12"/>
      <c r="AJ1221"/>
      <c r="AK1221"/>
    </row>
    <row r="1222" spans="18:37" ht="14">
      <c r="R1222" s="14">
        <v>10845</v>
      </c>
      <c r="S1222" s="14" t="s">
        <v>427</v>
      </c>
      <c r="T1222" s="12" t="s">
        <v>196</v>
      </c>
      <c r="U1222" s="15" t="str">
        <f t="shared" si="31"/>
        <v>IOA SBU Support US and India - SUT</v>
      </c>
      <c r="V1222" s="12" t="s">
        <v>126</v>
      </c>
      <c r="W1222" s="12" t="s">
        <v>163</v>
      </c>
      <c r="X1222" s="12" t="s">
        <v>164</v>
      </c>
      <c r="Y1222" s="12" t="s">
        <v>1038</v>
      </c>
      <c r="AA1222" s="12"/>
      <c r="AB1222" s="33"/>
      <c r="AC1222" s="34"/>
      <c r="AD1222" s="15"/>
      <c r="AE1222" s="14"/>
      <c r="AF1222" s="12"/>
      <c r="AG1222" s="12"/>
      <c r="AH1222" s="12"/>
      <c r="AJ1222"/>
      <c r="AK1222"/>
    </row>
    <row r="1223" spans="18:37" ht="14">
      <c r="R1223" s="14">
        <v>10845</v>
      </c>
      <c r="S1223" s="14" t="s">
        <v>427</v>
      </c>
      <c r="T1223" s="12" t="s">
        <v>180</v>
      </c>
      <c r="U1223" s="15" t="str">
        <f t="shared" si="31"/>
        <v>IOA SBU Support US and India - TMG</v>
      </c>
      <c r="V1223" s="12" t="s">
        <v>126</v>
      </c>
      <c r="W1223" s="12" t="s">
        <v>163</v>
      </c>
      <c r="X1223" s="12" t="s">
        <v>164</v>
      </c>
      <c r="Y1223" s="12" t="s">
        <v>1038</v>
      </c>
      <c r="AA1223" s="12"/>
      <c r="AB1223" s="33"/>
      <c r="AC1223" s="34"/>
      <c r="AD1223" s="15"/>
      <c r="AE1223" s="14"/>
      <c r="AF1223" s="12"/>
      <c r="AG1223" s="12"/>
      <c r="AH1223" s="12"/>
      <c r="AJ1223"/>
      <c r="AK1223"/>
    </row>
    <row r="1224" spans="18:37" ht="14">
      <c r="R1224" s="14">
        <v>10845</v>
      </c>
      <c r="S1224" s="14" t="s">
        <v>427</v>
      </c>
      <c r="T1224" s="12" t="s">
        <v>185</v>
      </c>
      <c r="U1224" s="15" t="str">
        <f t="shared" si="31"/>
        <v>IOA SBU Support US and India - TPS</v>
      </c>
      <c r="V1224" s="12" t="s">
        <v>126</v>
      </c>
      <c r="W1224" s="12" t="s">
        <v>163</v>
      </c>
      <c r="X1224" s="12" t="s">
        <v>164</v>
      </c>
      <c r="Y1224" s="12" t="s">
        <v>1038</v>
      </c>
      <c r="AA1224" s="12"/>
      <c r="AB1224" s="33"/>
      <c r="AC1224" s="34"/>
      <c r="AD1224" s="15"/>
      <c r="AE1224" s="14"/>
      <c r="AF1224" s="12"/>
      <c r="AG1224" s="12"/>
      <c r="AH1224" s="12"/>
      <c r="AJ1224"/>
      <c r="AK1224"/>
    </row>
    <row r="1225" spans="18:37" ht="14">
      <c r="R1225" s="14">
        <v>10845</v>
      </c>
      <c r="S1225" s="14" t="s">
        <v>427</v>
      </c>
      <c r="T1225" s="12" t="s">
        <v>208</v>
      </c>
      <c r="U1225" s="15" t="str">
        <f t="shared" si="31"/>
        <v>IOA SBU Support US and India - TTR</v>
      </c>
      <c r="V1225" s="12" t="s">
        <v>112</v>
      </c>
      <c r="W1225" s="12" t="s">
        <v>204</v>
      </c>
      <c r="X1225" s="12" t="s">
        <v>205</v>
      </c>
      <c r="Y1225" s="12" t="s">
        <v>1038</v>
      </c>
      <c r="AA1225" s="12"/>
      <c r="AB1225" s="33"/>
      <c r="AC1225" s="34"/>
      <c r="AD1225" s="15"/>
      <c r="AE1225" s="14"/>
      <c r="AF1225" s="12"/>
      <c r="AG1225" s="12"/>
      <c r="AH1225" s="12"/>
      <c r="AJ1225"/>
      <c r="AK1225"/>
    </row>
    <row r="1226" spans="18:37" ht="14">
      <c r="R1226" s="14">
        <v>93589</v>
      </c>
      <c r="S1226" s="14" t="s">
        <v>962</v>
      </c>
      <c r="T1226" s="12" t="s">
        <v>129</v>
      </c>
      <c r="U1226" s="15" t="str">
        <f t="shared" si="31"/>
        <v>IPA_Solution_Investment - MGT</v>
      </c>
      <c r="V1226" s="12" t="s">
        <v>117</v>
      </c>
      <c r="W1226" s="12" t="s">
        <v>117</v>
      </c>
      <c r="X1226" s="12" t="s">
        <v>117</v>
      </c>
      <c r="Y1226" s="12" t="s">
        <v>1038</v>
      </c>
      <c r="AA1226" s="12"/>
      <c r="AB1226" s="33"/>
      <c r="AC1226" s="34"/>
      <c r="AD1226" s="15"/>
      <c r="AE1226" s="14"/>
      <c r="AF1226" s="12"/>
      <c r="AG1226" s="12"/>
      <c r="AH1226" s="12"/>
      <c r="AJ1226"/>
      <c r="AK1226"/>
    </row>
    <row r="1227" spans="18:37" ht="14">
      <c r="R1227" s="14">
        <v>10734</v>
      </c>
      <c r="S1227" s="14" t="s">
        <v>345</v>
      </c>
      <c r="T1227" s="12" t="s">
        <v>150</v>
      </c>
      <c r="U1227" s="15" t="str">
        <f t="shared" si="31"/>
        <v>IRM Global A2C - India - CCS</v>
      </c>
      <c r="V1227" s="12" t="s">
        <v>126</v>
      </c>
      <c r="W1227" s="12" t="s">
        <v>163</v>
      </c>
      <c r="X1227" s="12" t="s">
        <v>164</v>
      </c>
      <c r="Y1227" s="12" t="s">
        <v>1038</v>
      </c>
      <c r="AA1227" s="12"/>
      <c r="AB1227" s="33"/>
      <c r="AC1227" s="34"/>
      <c r="AD1227" s="15"/>
      <c r="AE1227" s="14"/>
      <c r="AF1227" s="12"/>
      <c r="AG1227" s="12"/>
      <c r="AH1227" s="12"/>
      <c r="AJ1227"/>
      <c r="AK1227"/>
    </row>
    <row r="1228" spans="18:37" ht="14">
      <c r="R1228" s="14">
        <v>10734</v>
      </c>
      <c r="S1228" s="14" t="s">
        <v>345</v>
      </c>
      <c r="T1228" s="12" t="s">
        <v>306</v>
      </c>
      <c r="U1228" s="15" t="str">
        <f t="shared" si="31"/>
        <v>IRM Global A2C - India - FAO</v>
      </c>
      <c r="V1228" s="12" t="s">
        <v>126</v>
      </c>
      <c r="W1228" s="12" t="s">
        <v>163</v>
      </c>
      <c r="X1228" s="12" t="s">
        <v>164</v>
      </c>
      <c r="Y1228" s="12" t="s">
        <v>1038</v>
      </c>
      <c r="AA1228" s="12"/>
      <c r="AB1228" s="33"/>
      <c r="AC1228" s="34"/>
      <c r="AD1228" s="15"/>
      <c r="AE1228" s="14"/>
      <c r="AF1228" s="12"/>
      <c r="AG1228" s="12"/>
      <c r="AH1228" s="12"/>
      <c r="AJ1228"/>
      <c r="AK1228"/>
    </row>
    <row r="1229" spans="18:37" ht="14">
      <c r="R1229" s="14">
        <v>10734</v>
      </c>
      <c r="S1229" s="14" t="s">
        <v>345</v>
      </c>
      <c r="T1229" s="12" t="s">
        <v>116</v>
      </c>
      <c r="U1229" s="15" t="str">
        <f t="shared" si="31"/>
        <v>IRM Global A2C - India - PRD</v>
      </c>
      <c r="V1229" s="12" t="s">
        <v>126</v>
      </c>
      <c r="W1229" s="12" t="s">
        <v>163</v>
      </c>
      <c r="X1229" s="12" t="s">
        <v>164</v>
      </c>
      <c r="Y1229" s="12" t="s">
        <v>1038</v>
      </c>
      <c r="AA1229" s="12"/>
      <c r="AB1229" s="33"/>
      <c r="AC1229" s="34"/>
      <c r="AD1229" s="15"/>
      <c r="AE1229" s="14"/>
      <c r="AF1229" s="12"/>
      <c r="AG1229" s="12"/>
      <c r="AH1229" s="12"/>
      <c r="AJ1229"/>
      <c r="AK1229"/>
    </row>
    <row r="1230" spans="18:37" ht="14">
      <c r="R1230" s="14">
        <v>10734</v>
      </c>
      <c r="S1230" s="14" t="s">
        <v>345</v>
      </c>
      <c r="T1230" s="12" t="s">
        <v>185</v>
      </c>
      <c r="U1230" s="15" t="str">
        <f t="shared" si="31"/>
        <v>IRM Global A2C - India - TPS</v>
      </c>
      <c r="V1230" s="12" t="s">
        <v>126</v>
      </c>
      <c r="W1230" s="12" t="s">
        <v>163</v>
      </c>
      <c r="X1230" s="12" t="s">
        <v>164</v>
      </c>
      <c r="Y1230" s="12" t="s">
        <v>1038</v>
      </c>
      <c r="AA1230" s="12"/>
      <c r="AB1230" s="33"/>
      <c r="AC1230" s="34"/>
      <c r="AD1230" s="15"/>
      <c r="AE1230" s="14"/>
      <c r="AF1230" s="12"/>
      <c r="AG1230" s="12"/>
      <c r="AH1230" s="12"/>
      <c r="AJ1230"/>
      <c r="AK1230"/>
    </row>
    <row r="1231" spans="18:37" ht="14">
      <c r="R1231" s="14">
        <v>95105</v>
      </c>
      <c r="S1231" s="14" t="s">
        <v>678</v>
      </c>
      <c r="T1231" s="12" t="s">
        <v>415</v>
      </c>
      <c r="U1231" s="15" t="str">
        <f t="shared" si="31"/>
        <v>IT Build-out - GTI</v>
      </c>
      <c r="V1231" s="12" t="s">
        <v>104</v>
      </c>
      <c r="W1231" s="12" t="s">
        <v>263</v>
      </c>
      <c r="X1231" s="12" t="s">
        <v>264</v>
      </c>
      <c r="Y1231" s="12" t="s">
        <v>1038</v>
      </c>
      <c r="AA1231" s="12"/>
      <c r="AB1231" s="33"/>
      <c r="AC1231" s="34"/>
      <c r="AD1231" s="15"/>
      <c r="AE1231" s="14"/>
      <c r="AF1231" s="12"/>
      <c r="AG1231" s="12"/>
      <c r="AH1231" s="12"/>
      <c r="AJ1231"/>
      <c r="AK1231"/>
    </row>
    <row r="1232" spans="18:37" ht="14">
      <c r="R1232" s="14">
        <v>95105</v>
      </c>
      <c r="S1232" s="14" t="s">
        <v>678</v>
      </c>
      <c r="T1232" s="12" t="s">
        <v>145</v>
      </c>
      <c r="U1232" s="15" t="str">
        <f t="shared" si="31"/>
        <v>IT Build-out - SUP</v>
      </c>
      <c r="V1232" s="12" t="s">
        <v>104</v>
      </c>
      <c r="W1232" s="12" t="s">
        <v>263</v>
      </c>
      <c r="X1232" s="12" t="s">
        <v>264</v>
      </c>
      <c r="Y1232" s="12" t="s">
        <v>1038</v>
      </c>
      <c r="AA1232" s="12"/>
      <c r="AB1232" s="33"/>
      <c r="AC1232" s="34"/>
      <c r="AD1232" s="15"/>
      <c r="AE1232" s="14"/>
      <c r="AF1232" s="12"/>
      <c r="AG1232" s="12"/>
      <c r="AH1232" s="12"/>
      <c r="AJ1232"/>
      <c r="AK1232"/>
    </row>
    <row r="1233" spans="18:37" ht="14">
      <c r="R1233" s="14">
        <v>95107</v>
      </c>
      <c r="S1233" s="14" t="s">
        <v>681</v>
      </c>
      <c r="T1233" s="12" t="s">
        <v>415</v>
      </c>
      <c r="U1233" s="15" t="str">
        <f t="shared" si="31"/>
        <v>IT Service Excellence - GTI</v>
      </c>
      <c r="V1233" s="12" t="s">
        <v>104</v>
      </c>
      <c r="W1233" s="12" t="s">
        <v>263</v>
      </c>
      <c r="X1233" s="12" t="s">
        <v>264</v>
      </c>
      <c r="Y1233" s="12" t="s">
        <v>1038</v>
      </c>
      <c r="AA1233" s="12"/>
      <c r="AB1233" s="33"/>
      <c r="AC1233" s="34"/>
      <c r="AD1233" s="15"/>
      <c r="AE1233" s="14"/>
      <c r="AF1233" s="12"/>
      <c r="AG1233" s="12"/>
      <c r="AH1233" s="12"/>
      <c r="AJ1233"/>
      <c r="AK1233"/>
    </row>
    <row r="1234" spans="18:37" ht="14">
      <c r="R1234" s="14">
        <v>95107</v>
      </c>
      <c r="S1234" s="14" t="s">
        <v>681</v>
      </c>
      <c r="T1234" s="12" t="s">
        <v>129</v>
      </c>
      <c r="U1234" s="15" t="str">
        <f t="shared" si="31"/>
        <v>IT Service Excellence - MGT</v>
      </c>
      <c r="V1234" s="12" t="s">
        <v>104</v>
      </c>
      <c r="W1234" s="12" t="s">
        <v>263</v>
      </c>
      <c r="X1234" s="12" t="s">
        <v>264</v>
      </c>
      <c r="Y1234" s="12" t="s">
        <v>1038</v>
      </c>
      <c r="AA1234" s="12"/>
      <c r="AB1234" s="33"/>
      <c r="AC1234" s="34"/>
      <c r="AD1234" s="15"/>
      <c r="AE1234" s="14"/>
      <c r="AF1234" s="12"/>
      <c r="AG1234" s="12"/>
      <c r="AH1234" s="12"/>
      <c r="AJ1234"/>
      <c r="AK1234"/>
    </row>
    <row r="1235" spans="18:37" ht="14">
      <c r="R1235" s="14">
        <v>95107</v>
      </c>
      <c r="S1235" s="14" t="s">
        <v>681</v>
      </c>
      <c r="T1235" s="12" t="s">
        <v>177</v>
      </c>
      <c r="U1235" s="15" t="str">
        <f t="shared" si="31"/>
        <v>IT Service Excellence - OPS</v>
      </c>
      <c r="V1235" s="12" t="s">
        <v>104</v>
      </c>
      <c r="W1235" s="12" t="s">
        <v>263</v>
      </c>
      <c r="X1235" s="12" t="s">
        <v>264</v>
      </c>
      <c r="Y1235" s="12" t="s">
        <v>1038</v>
      </c>
      <c r="AA1235" s="12"/>
      <c r="AB1235" s="33"/>
      <c r="AC1235" s="34"/>
      <c r="AD1235" s="15"/>
      <c r="AE1235" s="14"/>
      <c r="AF1235" s="12"/>
      <c r="AG1235" s="12"/>
      <c r="AH1235" s="12"/>
      <c r="AJ1235"/>
      <c r="AK1235"/>
    </row>
    <row r="1236" spans="18:37" ht="14">
      <c r="R1236" s="14">
        <v>95107</v>
      </c>
      <c r="S1236" s="14" t="s">
        <v>681</v>
      </c>
      <c r="T1236" s="12" t="s">
        <v>134</v>
      </c>
      <c r="U1236" s="15" t="str">
        <f t="shared" si="31"/>
        <v>IT Service Excellence - SEC</v>
      </c>
      <c r="V1236" s="12" t="s">
        <v>104</v>
      </c>
      <c r="W1236" s="12" t="s">
        <v>263</v>
      </c>
      <c r="X1236" s="12" t="s">
        <v>264</v>
      </c>
      <c r="Y1236" s="12" t="s">
        <v>1038</v>
      </c>
      <c r="AA1236" s="12"/>
      <c r="AB1236" s="33"/>
      <c r="AC1236" s="34"/>
      <c r="AD1236" s="15"/>
      <c r="AE1236" s="14"/>
      <c r="AF1236" s="12"/>
      <c r="AG1236" s="12"/>
      <c r="AH1236" s="12"/>
      <c r="AJ1236"/>
      <c r="AK1236"/>
    </row>
    <row r="1237" spans="18:37" ht="14">
      <c r="R1237" s="14">
        <v>95107</v>
      </c>
      <c r="S1237" s="14" t="s">
        <v>681</v>
      </c>
      <c r="T1237" s="12" t="s">
        <v>139</v>
      </c>
      <c r="U1237" s="15" t="str">
        <f t="shared" si="31"/>
        <v>IT Service Excellence - SMGT</v>
      </c>
      <c r="V1237" s="12" t="s">
        <v>104</v>
      </c>
      <c r="W1237" s="12" t="s">
        <v>263</v>
      </c>
      <c r="X1237" s="12" t="s">
        <v>264</v>
      </c>
      <c r="Y1237" s="12" t="s">
        <v>1038</v>
      </c>
      <c r="AA1237" s="12"/>
      <c r="AB1237" s="33"/>
      <c r="AC1237" s="34"/>
      <c r="AD1237" s="15"/>
      <c r="AE1237" s="14"/>
      <c r="AF1237" s="12"/>
      <c r="AG1237" s="12"/>
      <c r="AH1237" s="12"/>
      <c r="AJ1237"/>
      <c r="AK1237"/>
    </row>
    <row r="1238" spans="18:37" ht="14">
      <c r="R1238" s="14">
        <v>95107</v>
      </c>
      <c r="S1238" s="14" t="s">
        <v>681</v>
      </c>
      <c r="T1238" s="12" t="s">
        <v>145</v>
      </c>
      <c r="U1238" s="15" t="str">
        <f t="shared" si="31"/>
        <v>IT Service Excellence - SUP</v>
      </c>
      <c r="V1238" s="12" t="s">
        <v>104</v>
      </c>
      <c r="W1238" s="12" t="s">
        <v>263</v>
      </c>
      <c r="X1238" s="12" t="s">
        <v>264</v>
      </c>
      <c r="Y1238" s="12" t="s">
        <v>1038</v>
      </c>
      <c r="AA1238" s="12"/>
      <c r="AB1238" s="33"/>
      <c r="AC1238" s="34"/>
      <c r="AD1238" s="15"/>
      <c r="AE1238" s="14"/>
      <c r="AF1238" s="12"/>
      <c r="AG1238" s="12"/>
      <c r="AH1238" s="12"/>
      <c r="AJ1238"/>
      <c r="AK1238"/>
    </row>
    <row r="1239" spans="18:37" ht="14">
      <c r="R1239" s="14">
        <v>95107</v>
      </c>
      <c r="S1239" s="14" t="s">
        <v>681</v>
      </c>
      <c r="T1239" s="12" t="s">
        <v>180</v>
      </c>
      <c r="U1239" s="15" t="str">
        <f t="shared" si="31"/>
        <v>IT Service Excellence - TMG</v>
      </c>
      <c r="V1239" s="12" t="s">
        <v>104</v>
      </c>
      <c r="W1239" s="12" t="s">
        <v>263</v>
      </c>
      <c r="X1239" s="12" t="s">
        <v>264</v>
      </c>
      <c r="Y1239" s="12" t="s">
        <v>1038</v>
      </c>
      <c r="AA1239" s="12"/>
      <c r="AB1239" s="33"/>
      <c r="AC1239" s="34"/>
      <c r="AD1239" s="15"/>
      <c r="AE1239" s="14"/>
      <c r="AF1239" s="12"/>
      <c r="AG1239" s="12"/>
      <c r="AH1239" s="12"/>
      <c r="AJ1239"/>
      <c r="AK1239"/>
    </row>
    <row r="1240" spans="18:37" ht="14">
      <c r="R1240" s="14">
        <v>91402</v>
      </c>
      <c r="S1240" s="14" t="s">
        <v>687</v>
      </c>
      <c r="T1240" s="12" t="s">
        <v>688</v>
      </c>
      <c r="U1240" s="15" t="str">
        <f t="shared" si="31"/>
        <v>IT Services Cloud - Investment - GSi</v>
      </c>
      <c r="V1240" s="12" t="s">
        <v>117</v>
      </c>
      <c r="W1240" s="12" t="s">
        <v>117</v>
      </c>
      <c r="X1240" s="12" t="s">
        <v>117</v>
      </c>
      <c r="Y1240" s="12" t="s">
        <v>1038</v>
      </c>
      <c r="AA1240" s="12"/>
      <c r="AB1240" s="33"/>
      <c r="AC1240" s="34"/>
      <c r="AD1240" s="15"/>
      <c r="AE1240" s="14"/>
      <c r="AF1240" s="12"/>
      <c r="AG1240" s="12"/>
      <c r="AH1240" s="12"/>
      <c r="AJ1240"/>
      <c r="AK1240"/>
    </row>
    <row r="1241" spans="18:37" ht="14">
      <c r="R1241" s="14">
        <v>91402</v>
      </c>
      <c r="S1241" s="14" t="s">
        <v>687</v>
      </c>
      <c r="T1241" s="12" t="s">
        <v>129</v>
      </c>
      <c r="U1241" s="15" t="str">
        <f t="shared" si="31"/>
        <v>IT Services Cloud - Investment - MGT</v>
      </c>
      <c r="V1241" s="12" t="s">
        <v>117</v>
      </c>
      <c r="W1241" s="12" t="s">
        <v>117</v>
      </c>
      <c r="X1241" s="12" t="s">
        <v>117</v>
      </c>
      <c r="Y1241" s="12" t="s">
        <v>1038</v>
      </c>
      <c r="AA1241" s="12"/>
      <c r="AB1241" s="33"/>
      <c r="AC1241" s="34"/>
      <c r="AD1241" s="15"/>
      <c r="AE1241" s="14"/>
      <c r="AF1241" s="12"/>
      <c r="AG1241" s="12"/>
      <c r="AH1241" s="12"/>
      <c r="AJ1241"/>
      <c r="AK1241"/>
    </row>
    <row r="1242" spans="18:37" ht="14">
      <c r="R1242" s="14">
        <v>93582</v>
      </c>
      <c r="S1242" s="14" t="s">
        <v>687</v>
      </c>
      <c r="T1242" s="12" t="s">
        <v>129</v>
      </c>
      <c r="U1242" s="15" t="str">
        <f t="shared" si="31"/>
        <v>IT Services Cloud - Investment - MGT</v>
      </c>
      <c r="V1242" s="12" t="s">
        <v>117</v>
      </c>
      <c r="W1242" s="12" t="s">
        <v>117</v>
      </c>
      <c r="X1242" s="12" t="s">
        <v>117</v>
      </c>
      <c r="Y1242" s="12" t="s">
        <v>1038</v>
      </c>
      <c r="AA1242" s="12"/>
      <c r="AB1242" s="33"/>
      <c r="AC1242" s="34"/>
      <c r="AD1242" s="15"/>
      <c r="AE1242" s="14"/>
      <c r="AF1242" s="12"/>
      <c r="AG1242" s="12"/>
      <c r="AH1242" s="12"/>
      <c r="AJ1242"/>
      <c r="AK1242"/>
    </row>
    <row r="1243" spans="18:37" ht="14">
      <c r="R1243" s="14">
        <v>91402</v>
      </c>
      <c r="S1243" s="14" t="s">
        <v>687</v>
      </c>
      <c r="T1243" s="12" t="s">
        <v>145</v>
      </c>
      <c r="U1243" s="15" t="str">
        <f t="shared" si="31"/>
        <v>IT Services Cloud - Investment - SUP</v>
      </c>
      <c r="V1243" s="12" t="s">
        <v>117</v>
      </c>
      <c r="W1243" s="12" t="s">
        <v>117</v>
      </c>
      <c r="X1243" s="12" t="s">
        <v>117</v>
      </c>
      <c r="Y1243" s="12" t="s">
        <v>1038</v>
      </c>
      <c r="AA1243" s="12"/>
      <c r="AB1243" s="33"/>
      <c r="AC1243" s="34"/>
      <c r="AD1243" s="15"/>
      <c r="AE1243" s="14"/>
      <c r="AF1243" s="12"/>
      <c r="AG1243" s="12"/>
      <c r="AH1243" s="12"/>
      <c r="AJ1243"/>
      <c r="AK1243"/>
    </row>
    <row r="1244" spans="18:37" ht="14">
      <c r="R1244" s="14">
        <v>95109</v>
      </c>
      <c r="S1244" s="14" t="s">
        <v>692</v>
      </c>
      <c r="T1244" s="12" t="s">
        <v>415</v>
      </c>
      <c r="U1244" s="15" t="str">
        <f t="shared" si="31"/>
        <v>IT-BRM - GTI</v>
      </c>
      <c r="V1244" s="12" t="s">
        <v>104</v>
      </c>
      <c r="W1244" s="12" t="s">
        <v>263</v>
      </c>
      <c r="X1244" s="12" t="s">
        <v>264</v>
      </c>
      <c r="Y1244" s="12" t="s">
        <v>1038</v>
      </c>
      <c r="AA1244" s="12"/>
      <c r="AB1244" s="33"/>
      <c r="AC1244" s="34"/>
      <c r="AD1244" s="15"/>
      <c r="AE1244" s="14"/>
      <c r="AF1244" s="12"/>
      <c r="AG1244" s="12"/>
      <c r="AH1244" s="12"/>
      <c r="AJ1244"/>
      <c r="AK1244"/>
    </row>
    <row r="1245" spans="18:37" ht="14">
      <c r="R1245" s="14">
        <v>95109</v>
      </c>
      <c r="S1245" s="14" t="s">
        <v>692</v>
      </c>
      <c r="T1245" s="12" t="s">
        <v>129</v>
      </c>
      <c r="U1245" s="15" t="str">
        <f t="shared" si="31"/>
        <v>IT-BRM - MGT</v>
      </c>
      <c r="V1245" s="12" t="s">
        <v>104</v>
      </c>
      <c r="W1245" s="12" t="s">
        <v>263</v>
      </c>
      <c r="X1245" s="12" t="s">
        <v>264</v>
      </c>
      <c r="Y1245" s="12" t="s">
        <v>1038</v>
      </c>
      <c r="AA1245" s="12"/>
      <c r="AB1245" s="33"/>
      <c r="AC1245" s="34"/>
      <c r="AD1245" s="15"/>
      <c r="AE1245" s="14"/>
      <c r="AF1245" s="12"/>
      <c r="AG1245" s="12"/>
      <c r="AH1245" s="12"/>
      <c r="AJ1245"/>
      <c r="AK1245"/>
    </row>
    <row r="1246" spans="18:37" ht="14">
      <c r="R1246" s="14">
        <v>95109</v>
      </c>
      <c r="S1246" s="14" t="s">
        <v>692</v>
      </c>
      <c r="T1246" s="12" t="s">
        <v>111</v>
      </c>
      <c r="U1246" s="15" t="str">
        <f t="shared" si="31"/>
        <v>IT-BRM - QLY</v>
      </c>
      <c r="V1246" s="12" t="s">
        <v>104</v>
      </c>
      <c r="W1246" s="12" t="s">
        <v>263</v>
      </c>
      <c r="X1246" s="12" t="s">
        <v>264</v>
      </c>
      <c r="Y1246" s="12" t="s">
        <v>1038</v>
      </c>
      <c r="AA1246" s="12"/>
      <c r="AB1246" s="33"/>
      <c r="AC1246" s="34"/>
      <c r="AD1246" s="15"/>
      <c r="AE1246" s="14"/>
      <c r="AF1246" s="12"/>
      <c r="AG1246" s="12"/>
      <c r="AH1246" s="12"/>
      <c r="AJ1246"/>
      <c r="AK1246"/>
    </row>
    <row r="1247" spans="18:37" ht="14">
      <c r="R1247" s="14">
        <v>95109</v>
      </c>
      <c r="S1247" s="14" t="s">
        <v>692</v>
      </c>
      <c r="T1247" s="12" t="s">
        <v>145</v>
      </c>
      <c r="U1247" s="15" t="str">
        <f t="shared" si="31"/>
        <v>IT-BRM - SUP</v>
      </c>
      <c r="V1247" s="12" t="s">
        <v>104</v>
      </c>
      <c r="W1247" s="12" t="s">
        <v>263</v>
      </c>
      <c r="X1247" s="12" t="s">
        <v>264</v>
      </c>
      <c r="Y1247" s="12" t="s">
        <v>1038</v>
      </c>
      <c r="AA1247" s="12"/>
      <c r="AB1247" s="33"/>
      <c r="AC1247" s="34"/>
      <c r="AD1247" s="15"/>
      <c r="AE1247" s="14"/>
      <c r="AF1247" s="12"/>
      <c r="AG1247" s="12"/>
      <c r="AH1247" s="12"/>
      <c r="AJ1247"/>
      <c r="AK1247"/>
    </row>
    <row r="1248" spans="18:37" ht="14">
      <c r="R1248" s="14">
        <v>91030</v>
      </c>
      <c r="S1248" s="14" t="s">
        <v>696</v>
      </c>
      <c r="T1248" s="12" t="s">
        <v>116</v>
      </c>
      <c r="U1248" s="15" t="str">
        <f t="shared" si="31"/>
        <v>IT-BU Overhead - PRD</v>
      </c>
      <c r="V1248" s="12" t="s">
        <v>117</v>
      </c>
      <c r="W1248" s="12" t="s">
        <v>117</v>
      </c>
      <c r="X1248" s="12" t="s">
        <v>117</v>
      </c>
      <c r="Y1248" s="12" t="s">
        <v>1038</v>
      </c>
      <c r="AA1248" s="12"/>
      <c r="AB1248" s="33"/>
      <c r="AC1248" s="34"/>
      <c r="AD1248" s="15"/>
      <c r="AE1248" s="14"/>
      <c r="AF1248" s="12"/>
      <c r="AG1248" s="12"/>
      <c r="AH1248" s="12"/>
      <c r="AJ1248"/>
      <c r="AK1248"/>
    </row>
    <row r="1249" spans="18:37" ht="14">
      <c r="R1249" s="14">
        <v>91030</v>
      </c>
      <c r="S1249" s="14" t="s">
        <v>696</v>
      </c>
      <c r="T1249" s="12" t="s">
        <v>145</v>
      </c>
      <c r="U1249" s="15" t="str">
        <f t="shared" si="31"/>
        <v>IT-BU Overhead - SUP</v>
      </c>
      <c r="V1249" s="12" t="s">
        <v>117</v>
      </c>
      <c r="W1249" s="12" t="s">
        <v>117</v>
      </c>
      <c r="X1249" s="12" t="s">
        <v>117</v>
      </c>
      <c r="Y1249" s="12" t="s">
        <v>1038</v>
      </c>
      <c r="AA1249" s="12"/>
      <c r="AB1249" s="33"/>
      <c r="AC1249" s="34"/>
      <c r="AD1249" s="15"/>
      <c r="AE1249" s="14"/>
      <c r="AF1249" s="12"/>
      <c r="AG1249" s="12"/>
      <c r="AH1249" s="12"/>
      <c r="AJ1249"/>
      <c r="AK1249"/>
    </row>
    <row r="1250" spans="18:37" ht="14">
      <c r="R1250" s="14">
        <v>51162</v>
      </c>
      <c r="S1250" s="14" t="s">
        <v>1075</v>
      </c>
      <c r="T1250" s="12" t="s">
        <v>116</v>
      </c>
      <c r="U1250" s="15" t="str">
        <f t="shared" si="31"/>
        <v>ITRONPDHSCMPDCloud - PRD</v>
      </c>
      <c r="V1250" s="12" t="s">
        <v>117</v>
      </c>
      <c r="W1250" s="12" t="s">
        <v>117</v>
      </c>
      <c r="X1250" s="12" t="s">
        <v>117</v>
      </c>
      <c r="Y1250" s="12" t="s">
        <v>1038</v>
      </c>
      <c r="AA1250" s="12"/>
      <c r="AB1250" s="33"/>
      <c r="AC1250" s="34"/>
      <c r="AD1250" s="15"/>
      <c r="AE1250" s="14"/>
      <c r="AF1250" s="12"/>
      <c r="AG1250" s="12"/>
      <c r="AH1250" s="12"/>
      <c r="AJ1250"/>
      <c r="AK1250"/>
    </row>
    <row r="1251" spans="18:37" ht="14">
      <c r="R1251" s="14">
        <v>91453</v>
      </c>
      <c r="S1251" s="14" t="s">
        <v>945</v>
      </c>
      <c r="T1251" s="12" t="s">
        <v>129</v>
      </c>
      <c r="U1251" s="15" t="str">
        <f t="shared" si="31"/>
        <v>ITS-SG&amp;A - MGT</v>
      </c>
      <c r="V1251" s="12" t="s">
        <v>117</v>
      </c>
      <c r="W1251" s="12" t="s">
        <v>117</v>
      </c>
      <c r="X1251" s="12" t="s">
        <v>117</v>
      </c>
      <c r="Y1251" s="12" t="s">
        <v>1038</v>
      </c>
      <c r="AA1251" s="12"/>
      <c r="AB1251" s="33"/>
      <c r="AC1251" s="34"/>
      <c r="AD1251" s="15"/>
      <c r="AE1251" s="14"/>
      <c r="AF1251" s="12"/>
      <c r="AG1251" s="12"/>
      <c r="AH1251" s="12"/>
      <c r="AJ1251"/>
      <c r="AK1251"/>
    </row>
    <row r="1252" spans="18:37" ht="14">
      <c r="R1252" s="14">
        <v>12359</v>
      </c>
      <c r="S1252" s="14" t="s">
        <v>535</v>
      </c>
      <c r="T1252" s="12" t="s">
        <v>185</v>
      </c>
      <c r="U1252" s="15" t="str">
        <f t="shared" si="31"/>
        <v>Jefferson University-ED Coding - TPS</v>
      </c>
      <c r="V1252" s="12" t="s">
        <v>126</v>
      </c>
      <c r="W1252" s="12" t="s">
        <v>237</v>
      </c>
      <c r="X1252" s="12" t="s">
        <v>238</v>
      </c>
      <c r="Y1252" s="12" t="s">
        <v>1038</v>
      </c>
      <c r="AA1252" s="12"/>
      <c r="AB1252" s="33"/>
      <c r="AC1252" s="34"/>
      <c r="AD1252" s="15"/>
      <c r="AE1252" s="14"/>
      <c r="AF1252" s="12"/>
      <c r="AG1252" s="12"/>
      <c r="AH1252" s="12"/>
      <c r="AJ1252"/>
      <c r="AK1252"/>
    </row>
    <row r="1253" spans="18:37" ht="14">
      <c r="R1253" s="14">
        <v>51163</v>
      </c>
      <c r="S1253" s="14" t="s">
        <v>724</v>
      </c>
      <c r="T1253" s="12" t="s">
        <v>116</v>
      </c>
      <c r="U1253" s="15" t="str">
        <f t="shared" si="31"/>
        <v>K12-2101-2112-Ankit-Dev - PRD</v>
      </c>
      <c r="V1253" s="12" t="s">
        <v>117</v>
      </c>
      <c r="W1253" s="12" t="s">
        <v>117</v>
      </c>
      <c r="X1253" s="12" t="s">
        <v>117</v>
      </c>
      <c r="Y1253" s="12" t="s">
        <v>1038</v>
      </c>
      <c r="AA1253" s="12"/>
      <c r="AB1253" s="33"/>
      <c r="AC1253" s="34"/>
      <c r="AD1253" s="15"/>
      <c r="AE1253" s="14"/>
      <c r="AF1253" s="12"/>
      <c r="AG1253" s="12"/>
      <c r="AH1253" s="12"/>
      <c r="AJ1253"/>
      <c r="AK1253"/>
    </row>
    <row r="1254" spans="18:37" ht="14">
      <c r="R1254" s="14">
        <v>51165</v>
      </c>
      <c r="S1254" s="14" t="s">
        <v>725</v>
      </c>
      <c r="T1254" s="12" t="s">
        <v>116</v>
      </c>
      <c r="U1254" s="15" t="str">
        <f t="shared" si="31"/>
        <v>K12-2207-2306-SOW164 - PRD</v>
      </c>
      <c r="V1254" s="12" t="s">
        <v>117</v>
      </c>
      <c r="W1254" s="12" t="s">
        <v>117</v>
      </c>
      <c r="X1254" s="12" t="s">
        <v>117</v>
      </c>
      <c r="Y1254" s="12" t="s">
        <v>1038</v>
      </c>
      <c r="AA1254" s="12"/>
      <c r="AB1254" s="33"/>
      <c r="AC1254" s="34"/>
      <c r="AD1254" s="15"/>
      <c r="AE1254" s="14"/>
      <c r="AF1254" s="12"/>
      <c r="AG1254" s="12"/>
      <c r="AH1254" s="12"/>
      <c r="AJ1254"/>
      <c r="AK1254"/>
    </row>
    <row r="1255" spans="18:37" ht="14">
      <c r="R1255" s="14">
        <v>51473</v>
      </c>
      <c r="S1255" s="14" t="s">
        <v>812</v>
      </c>
      <c r="T1255" s="12" t="s">
        <v>116</v>
      </c>
      <c r="U1255" s="15" t="str">
        <f t="shared" si="31"/>
        <v>K12-2309-2408-DataEngineer-Jas - PRD</v>
      </c>
      <c r="V1255" s="12" t="s">
        <v>117</v>
      </c>
      <c r="W1255" s="12" t="s">
        <v>117</v>
      </c>
      <c r="X1255" s="12" t="s">
        <v>117</v>
      </c>
      <c r="Y1255" s="12" t="s">
        <v>1038</v>
      </c>
      <c r="AA1255" s="12"/>
      <c r="AB1255" s="33"/>
      <c r="AC1255" s="34"/>
      <c r="AD1255" s="15"/>
      <c r="AE1255" s="14"/>
      <c r="AF1255" s="12"/>
      <c r="AG1255" s="12"/>
      <c r="AH1255" s="12"/>
      <c r="AJ1255"/>
      <c r="AK1255"/>
    </row>
    <row r="1256" spans="18:37" ht="14">
      <c r="R1256" s="14">
        <v>51166</v>
      </c>
      <c r="S1256" s="14" t="s">
        <v>726</v>
      </c>
      <c r="T1256" s="12" t="s">
        <v>116</v>
      </c>
      <c r="U1256" s="15" t="str">
        <f t="shared" si="31"/>
        <v>K12-BIA-RameshBandaru - PRD</v>
      </c>
      <c r="V1256" s="12" t="s">
        <v>117</v>
      </c>
      <c r="W1256" s="12" t="s">
        <v>117</v>
      </c>
      <c r="X1256" s="12" t="s">
        <v>117</v>
      </c>
      <c r="Y1256" s="12" t="s">
        <v>1038</v>
      </c>
      <c r="AA1256" s="12"/>
      <c r="AB1256" s="33"/>
      <c r="AC1256" s="34"/>
      <c r="AD1256" s="15"/>
      <c r="AE1256" s="14"/>
      <c r="AF1256" s="12"/>
      <c r="AG1256" s="12"/>
      <c r="AH1256" s="12"/>
      <c r="AJ1256"/>
      <c r="AK1256"/>
    </row>
    <row r="1257" spans="18:37" ht="14">
      <c r="R1257" s="14">
        <v>51167</v>
      </c>
      <c r="S1257" s="14" t="s">
        <v>727</v>
      </c>
      <c r="T1257" s="12" t="s">
        <v>116</v>
      </c>
      <c r="U1257" s="15" t="str">
        <f t="shared" si="31"/>
        <v>K12-BIA-RamMohanRaoKucharkul - PRD</v>
      </c>
      <c r="V1257" s="12" t="s">
        <v>117</v>
      </c>
      <c r="W1257" s="12" t="s">
        <v>117</v>
      </c>
      <c r="X1257" s="12" t="s">
        <v>117</v>
      </c>
      <c r="Y1257" s="12" t="s">
        <v>1038</v>
      </c>
      <c r="AA1257" s="12"/>
      <c r="AB1257" s="33"/>
      <c r="AC1257" s="34"/>
      <c r="AD1257" s="15"/>
      <c r="AE1257" s="14"/>
      <c r="AF1257" s="12"/>
      <c r="AG1257" s="12"/>
      <c r="AH1257" s="12"/>
      <c r="AJ1257"/>
      <c r="AK1257"/>
    </row>
    <row r="1258" spans="18:37" ht="14">
      <c r="R1258" s="14">
        <v>51169</v>
      </c>
      <c r="S1258" s="14" t="s">
        <v>728</v>
      </c>
      <c r="T1258" s="12" t="s">
        <v>116</v>
      </c>
      <c r="U1258" s="15" t="str">
        <f t="shared" si="31"/>
        <v>K12-BIA-RaviSadanand - PRD</v>
      </c>
      <c r="V1258" s="12" t="s">
        <v>117</v>
      </c>
      <c r="W1258" s="12" t="s">
        <v>117</v>
      </c>
      <c r="X1258" s="12" t="s">
        <v>117</v>
      </c>
      <c r="Y1258" s="12" t="s">
        <v>1038</v>
      </c>
      <c r="AA1258" s="12"/>
      <c r="AB1258" s="33"/>
      <c r="AC1258" s="34"/>
      <c r="AD1258" s="15"/>
      <c r="AE1258" s="14"/>
      <c r="AF1258" s="12"/>
      <c r="AG1258" s="12"/>
      <c r="AH1258" s="12"/>
      <c r="AJ1258"/>
      <c r="AK1258"/>
    </row>
    <row r="1259" spans="18:37" ht="14">
      <c r="R1259" s="14">
        <v>51170</v>
      </c>
      <c r="S1259" s="14" t="s">
        <v>729</v>
      </c>
      <c r="T1259" s="12" t="s">
        <v>116</v>
      </c>
      <c r="U1259" s="15" t="str">
        <f t="shared" si="31"/>
        <v>K12-BIA-VijayPaspuleti - PRD</v>
      </c>
      <c r="V1259" s="12" t="s">
        <v>117</v>
      </c>
      <c r="W1259" s="12" t="s">
        <v>117</v>
      </c>
      <c r="X1259" s="12" t="s">
        <v>117</v>
      </c>
      <c r="Y1259" s="12" t="s">
        <v>1038</v>
      </c>
      <c r="AA1259" s="12"/>
      <c r="AB1259" s="33"/>
      <c r="AC1259" s="34"/>
      <c r="AD1259" s="15"/>
      <c r="AE1259" s="14"/>
      <c r="AF1259" s="12"/>
      <c r="AG1259" s="12"/>
      <c r="AH1259" s="12"/>
      <c r="AJ1259"/>
      <c r="AK1259"/>
    </row>
    <row r="1260" spans="18:37" ht="14">
      <c r="R1260" s="14">
        <v>51171</v>
      </c>
      <c r="S1260" s="14" t="s">
        <v>730</v>
      </c>
      <c r="T1260" s="12" t="s">
        <v>116</v>
      </c>
      <c r="U1260" s="15" t="str">
        <f t="shared" si="31"/>
        <v>K12-BIA-ViswanathApparao - PRD</v>
      </c>
      <c r="V1260" s="12" t="s">
        <v>117</v>
      </c>
      <c r="W1260" s="12" t="s">
        <v>117</v>
      </c>
      <c r="X1260" s="12" t="s">
        <v>117</v>
      </c>
      <c r="Y1260" s="12" t="s">
        <v>1038</v>
      </c>
      <c r="AA1260" s="12"/>
      <c r="AB1260" s="33"/>
      <c r="AC1260" s="34"/>
      <c r="AD1260" s="15"/>
      <c r="AE1260" s="14"/>
      <c r="AF1260" s="12"/>
      <c r="AG1260" s="12"/>
      <c r="AH1260" s="12"/>
      <c r="AJ1260"/>
      <c r="AK1260"/>
    </row>
    <row r="1261" spans="18:37" ht="14">
      <c r="R1261" s="14">
        <v>93030</v>
      </c>
      <c r="S1261" s="14" t="s">
        <v>956</v>
      </c>
      <c r="T1261" s="12" t="s">
        <v>145</v>
      </c>
      <c r="U1261" s="15" t="str">
        <f t="shared" si="31"/>
        <v>Lead Generation Team - SUP</v>
      </c>
      <c r="V1261" s="12" t="s">
        <v>104</v>
      </c>
      <c r="W1261" s="12" t="s">
        <v>263</v>
      </c>
      <c r="X1261" s="12" t="s">
        <v>264</v>
      </c>
      <c r="Y1261" s="12" t="s">
        <v>1038</v>
      </c>
      <c r="AA1261" s="12"/>
      <c r="AB1261" s="33"/>
      <c r="AC1261" s="34"/>
      <c r="AD1261" s="15"/>
      <c r="AE1261" s="14"/>
      <c r="AF1261" s="12"/>
      <c r="AG1261" s="12"/>
      <c r="AH1261" s="12"/>
      <c r="AJ1261"/>
      <c r="AK1261"/>
    </row>
    <row r="1262" spans="18:37" ht="14">
      <c r="R1262" s="14">
        <v>96200</v>
      </c>
      <c r="S1262" s="14" t="s">
        <v>707</v>
      </c>
      <c r="T1262" s="12" t="s">
        <v>133</v>
      </c>
      <c r="U1262" s="15" t="str">
        <f t="shared" si="31"/>
        <v>Legal/ secretarial - AMG</v>
      </c>
      <c r="V1262" s="12" t="s">
        <v>104</v>
      </c>
      <c r="W1262" s="12" t="s">
        <v>708</v>
      </c>
      <c r="X1262" s="12" t="s">
        <v>114</v>
      </c>
      <c r="Y1262" s="12" t="s">
        <v>1038</v>
      </c>
      <c r="AA1262" s="12"/>
      <c r="AB1262" s="33"/>
      <c r="AC1262" s="34"/>
      <c r="AD1262" s="15"/>
      <c r="AE1262" s="14"/>
      <c r="AF1262" s="12"/>
      <c r="AG1262" s="12"/>
      <c r="AH1262" s="12"/>
      <c r="AJ1262"/>
      <c r="AK1262"/>
    </row>
    <row r="1263" spans="18:37" ht="14">
      <c r="R1263" s="14">
        <v>96200</v>
      </c>
      <c r="S1263" s="14" t="s">
        <v>707</v>
      </c>
      <c r="T1263" s="12" t="s">
        <v>121</v>
      </c>
      <c r="U1263" s="15" t="str">
        <f t="shared" si="31"/>
        <v>Legal/ secretarial - F&amp;A</v>
      </c>
      <c r="V1263" s="12" t="s">
        <v>104</v>
      </c>
      <c r="W1263" s="12" t="s">
        <v>708</v>
      </c>
      <c r="X1263" s="12" t="s">
        <v>114</v>
      </c>
      <c r="Y1263" s="12" t="s">
        <v>1038</v>
      </c>
      <c r="AA1263" s="12"/>
      <c r="AB1263" s="33"/>
      <c r="AC1263" s="34"/>
      <c r="AD1263" s="15"/>
      <c r="AE1263" s="14"/>
      <c r="AF1263" s="12"/>
      <c r="AG1263" s="12"/>
      <c r="AH1263" s="12"/>
      <c r="AJ1263"/>
      <c r="AK1263"/>
    </row>
    <row r="1264" spans="18:37" ht="14">
      <c r="R1264" s="14">
        <v>96200</v>
      </c>
      <c r="S1264" s="14" t="s">
        <v>707</v>
      </c>
      <c r="T1264" s="12" t="s">
        <v>129</v>
      </c>
      <c r="U1264" s="15" t="str">
        <f t="shared" si="31"/>
        <v>Legal/ secretarial - MGT</v>
      </c>
      <c r="V1264" s="12" t="s">
        <v>104</v>
      </c>
      <c r="W1264" s="12" t="s">
        <v>708</v>
      </c>
      <c r="X1264" s="12" t="s">
        <v>114</v>
      </c>
      <c r="Y1264" s="12" t="s">
        <v>1038</v>
      </c>
      <c r="AA1264" s="12"/>
      <c r="AB1264" s="33"/>
      <c r="AC1264" s="34"/>
      <c r="AD1264" s="15"/>
      <c r="AE1264" s="14"/>
      <c r="AF1264" s="12"/>
      <c r="AG1264" s="12"/>
      <c r="AH1264" s="12"/>
      <c r="AJ1264"/>
      <c r="AK1264"/>
    </row>
    <row r="1265" spans="18:37" ht="14">
      <c r="R1265" s="14">
        <v>96200</v>
      </c>
      <c r="S1265" s="14" t="s">
        <v>707</v>
      </c>
      <c r="T1265" s="12" t="s">
        <v>145</v>
      </c>
      <c r="U1265" s="15" t="str">
        <f t="shared" si="31"/>
        <v>Legal/ secretarial - SUP</v>
      </c>
      <c r="V1265" s="12" t="s">
        <v>104</v>
      </c>
      <c r="W1265" s="12" t="s">
        <v>708</v>
      </c>
      <c r="X1265" s="12" t="s">
        <v>114</v>
      </c>
      <c r="Y1265" s="12" t="s">
        <v>1038</v>
      </c>
      <c r="AA1265" s="12"/>
      <c r="AB1265" s="33"/>
      <c r="AC1265" s="34"/>
      <c r="AD1265" s="15"/>
      <c r="AE1265" s="14"/>
      <c r="AF1265" s="12"/>
      <c r="AG1265" s="12"/>
      <c r="AH1265" s="12"/>
      <c r="AJ1265"/>
      <c r="AK1265"/>
    </row>
    <row r="1266" spans="18:37" ht="14">
      <c r="R1266" s="14">
        <v>96200</v>
      </c>
      <c r="S1266" s="14" t="s">
        <v>707</v>
      </c>
      <c r="T1266" s="12" t="s">
        <v>180</v>
      </c>
      <c r="U1266" s="15" t="str">
        <f t="shared" si="31"/>
        <v>Legal/ secretarial - TMG</v>
      </c>
      <c r="V1266" s="12" t="s">
        <v>104</v>
      </c>
      <c r="W1266" s="12" t="s">
        <v>708</v>
      </c>
      <c r="X1266" s="12" t="s">
        <v>114</v>
      </c>
      <c r="Y1266" s="12" t="s">
        <v>1038</v>
      </c>
      <c r="AA1266" s="12"/>
      <c r="AB1266" s="33"/>
      <c r="AC1266" s="34"/>
      <c r="AD1266" s="15"/>
      <c r="AE1266" s="14"/>
      <c r="AF1266" s="12"/>
      <c r="AG1266" s="12"/>
      <c r="AH1266" s="12"/>
      <c r="AJ1266"/>
      <c r="AK1266"/>
    </row>
    <row r="1267" spans="18:37" ht="14">
      <c r="R1267" s="14">
        <v>10726</v>
      </c>
      <c r="S1267" s="14" t="s">
        <v>338</v>
      </c>
      <c r="T1267" s="12" t="s">
        <v>145</v>
      </c>
      <c r="U1267" s="15" t="str">
        <f t="shared" si="31"/>
        <v>Lenovo Comml Smartcare LAS - SUP</v>
      </c>
      <c r="V1267" s="12" t="s">
        <v>104</v>
      </c>
      <c r="W1267" s="12" t="s">
        <v>117</v>
      </c>
      <c r="X1267" s="12" t="s">
        <v>117</v>
      </c>
      <c r="Y1267" s="12" t="s">
        <v>1038</v>
      </c>
      <c r="AA1267" s="12"/>
      <c r="AB1267" s="33"/>
      <c r="AC1267" s="34"/>
      <c r="AD1267" s="15"/>
      <c r="AE1267" s="14"/>
      <c r="AF1267" s="12"/>
      <c r="AG1267" s="12"/>
      <c r="AH1267" s="12"/>
      <c r="AJ1267"/>
      <c r="AK1267"/>
    </row>
    <row r="1268" spans="18:37" ht="14">
      <c r="R1268" s="14">
        <v>10772</v>
      </c>
      <c r="S1268" s="14" t="s">
        <v>372</v>
      </c>
      <c r="T1268" s="12" t="s">
        <v>116</v>
      </c>
      <c r="U1268" s="15" t="str">
        <f t="shared" si="31"/>
        <v>Lenovo NA Premium and Gaming - PRD</v>
      </c>
      <c r="V1268" s="12" t="s">
        <v>126</v>
      </c>
      <c r="W1268" s="12" t="s">
        <v>360</v>
      </c>
      <c r="X1268" s="12" t="s">
        <v>361</v>
      </c>
      <c r="Y1268" s="12" t="s">
        <v>1038</v>
      </c>
      <c r="AA1268" s="12"/>
      <c r="AB1268" s="33"/>
      <c r="AC1268" s="34"/>
      <c r="AD1268" s="15"/>
      <c r="AE1268" s="14"/>
      <c r="AF1268" s="12"/>
      <c r="AG1268" s="12"/>
      <c r="AH1268" s="12"/>
      <c r="AJ1268"/>
      <c r="AK1268"/>
    </row>
    <row r="1269" spans="18:37" ht="14">
      <c r="R1269" s="14">
        <v>10772</v>
      </c>
      <c r="S1269" s="14" t="s">
        <v>372</v>
      </c>
      <c r="T1269" s="12" t="s">
        <v>172</v>
      </c>
      <c r="U1269" s="15" t="str">
        <f t="shared" si="31"/>
        <v>Lenovo NA Premium and Gaming - SME</v>
      </c>
      <c r="V1269" s="12" t="s">
        <v>126</v>
      </c>
      <c r="W1269" s="12" t="s">
        <v>360</v>
      </c>
      <c r="X1269" s="12" t="s">
        <v>361</v>
      </c>
      <c r="Y1269" s="12" t="s">
        <v>1038</v>
      </c>
      <c r="AA1269" s="12"/>
      <c r="AB1269" s="33"/>
      <c r="AC1269" s="34"/>
      <c r="AD1269" s="15"/>
      <c r="AE1269" s="14"/>
      <c r="AF1269" s="12"/>
      <c r="AG1269" s="12"/>
      <c r="AH1269" s="12"/>
      <c r="AJ1269"/>
      <c r="AK1269"/>
    </row>
    <row r="1270" spans="18:37" ht="14">
      <c r="R1270" s="14">
        <v>10772</v>
      </c>
      <c r="S1270" s="14" t="s">
        <v>372</v>
      </c>
      <c r="T1270" s="12" t="s">
        <v>145</v>
      </c>
      <c r="U1270" s="15" t="str">
        <f t="shared" si="31"/>
        <v>Lenovo NA Premium and Gaming - SUP</v>
      </c>
      <c r="V1270" s="12" t="s">
        <v>126</v>
      </c>
      <c r="W1270" s="12" t="s">
        <v>360</v>
      </c>
      <c r="X1270" s="12" t="s">
        <v>361</v>
      </c>
      <c r="Y1270" s="12" t="s">
        <v>1038</v>
      </c>
      <c r="AA1270" s="12"/>
      <c r="AB1270" s="33"/>
      <c r="AC1270" s="34"/>
      <c r="AD1270" s="15"/>
      <c r="AE1270" s="14"/>
      <c r="AF1270" s="12"/>
      <c r="AG1270" s="12"/>
      <c r="AH1270" s="12"/>
      <c r="AJ1270"/>
      <c r="AK1270"/>
    </row>
    <row r="1271" spans="18:37" ht="14">
      <c r="R1271" s="14">
        <v>10772</v>
      </c>
      <c r="S1271" s="14" t="s">
        <v>372</v>
      </c>
      <c r="T1271" s="12" t="s">
        <v>198</v>
      </c>
      <c r="U1271" s="15" t="str">
        <f t="shared" si="31"/>
        <v>Lenovo NA Premium and Gaming - TEC</v>
      </c>
      <c r="V1271" s="12" t="s">
        <v>126</v>
      </c>
      <c r="W1271" s="12" t="s">
        <v>360</v>
      </c>
      <c r="X1271" s="12" t="s">
        <v>361</v>
      </c>
      <c r="Y1271" s="12" t="s">
        <v>1038</v>
      </c>
      <c r="AA1271" s="12"/>
      <c r="AB1271" s="33"/>
      <c r="AC1271" s="34"/>
      <c r="AD1271" s="15"/>
      <c r="AE1271" s="14"/>
      <c r="AF1271" s="12"/>
      <c r="AG1271" s="12"/>
      <c r="AH1271" s="12"/>
      <c r="AJ1271"/>
      <c r="AK1271"/>
    </row>
    <row r="1272" spans="18:37" ht="14">
      <c r="R1272" s="14">
        <v>10772</v>
      </c>
      <c r="S1272" s="14" t="s">
        <v>372</v>
      </c>
      <c r="T1272" s="12" t="s">
        <v>180</v>
      </c>
      <c r="U1272" s="15" t="str">
        <f t="shared" si="31"/>
        <v>Lenovo NA Premium and Gaming - TMG</v>
      </c>
      <c r="V1272" s="12" t="s">
        <v>126</v>
      </c>
      <c r="W1272" s="12" t="s">
        <v>360</v>
      </c>
      <c r="X1272" s="12" t="s">
        <v>361</v>
      </c>
      <c r="Y1272" s="12" t="s">
        <v>1038</v>
      </c>
      <c r="AA1272" s="12"/>
      <c r="AB1272" s="33"/>
      <c r="AC1272" s="34"/>
      <c r="AD1272" s="15"/>
      <c r="AE1272" s="14"/>
      <c r="AF1272" s="12"/>
      <c r="AG1272" s="12"/>
      <c r="AH1272" s="12"/>
      <c r="AJ1272"/>
      <c r="AK1272"/>
    </row>
    <row r="1273" spans="18:37" ht="14">
      <c r="R1273" s="14">
        <v>10677</v>
      </c>
      <c r="S1273" s="14" t="s">
        <v>301</v>
      </c>
      <c r="T1273" s="12" t="s">
        <v>171</v>
      </c>
      <c r="U1273" s="15" t="str">
        <f t="shared" si="31"/>
        <v>Lenovo SmartLeap Smart Assist - ETE</v>
      </c>
      <c r="V1273" s="12" t="s">
        <v>104</v>
      </c>
      <c r="W1273" s="12" t="s">
        <v>117</v>
      </c>
      <c r="X1273" s="12" t="s">
        <v>117</v>
      </c>
      <c r="Y1273" s="12" t="s">
        <v>1038</v>
      </c>
      <c r="AA1273" s="12"/>
      <c r="AB1273" s="33"/>
      <c r="AC1273" s="34"/>
      <c r="AD1273" s="15"/>
      <c r="AE1273" s="14"/>
      <c r="AF1273" s="12"/>
      <c r="AG1273" s="12"/>
      <c r="AH1273" s="12"/>
      <c r="AJ1273"/>
      <c r="AK1273"/>
    </row>
    <row r="1274" spans="18:37" ht="14">
      <c r="R1274" s="14">
        <v>10677</v>
      </c>
      <c r="S1274" s="14" t="s">
        <v>301</v>
      </c>
      <c r="T1274" s="12" t="s">
        <v>116</v>
      </c>
      <c r="U1274" s="15" t="str">
        <f t="shared" si="31"/>
        <v>Lenovo SmartLeap Smart Assist - PRD</v>
      </c>
      <c r="V1274" s="12" t="s">
        <v>104</v>
      </c>
      <c r="W1274" s="12" t="s">
        <v>117</v>
      </c>
      <c r="X1274" s="12" t="s">
        <v>117</v>
      </c>
      <c r="Y1274" s="12" t="s">
        <v>1038</v>
      </c>
      <c r="AA1274" s="12"/>
      <c r="AB1274" s="33"/>
      <c r="AC1274" s="34"/>
      <c r="AD1274" s="15"/>
      <c r="AE1274" s="14"/>
      <c r="AF1274" s="12"/>
      <c r="AG1274" s="12"/>
      <c r="AH1274" s="12"/>
      <c r="AJ1274"/>
      <c r="AK1274"/>
    </row>
    <row r="1275" spans="18:37" ht="14">
      <c r="R1275" s="14">
        <v>10677</v>
      </c>
      <c r="S1275" s="14" t="s">
        <v>301</v>
      </c>
      <c r="T1275" s="12" t="s">
        <v>145</v>
      </c>
      <c r="U1275" s="15" t="str">
        <f t="shared" si="31"/>
        <v>Lenovo SmartLeap Smart Assist - SUP</v>
      </c>
      <c r="V1275" s="12" t="s">
        <v>104</v>
      </c>
      <c r="W1275" s="12" t="s">
        <v>117</v>
      </c>
      <c r="X1275" s="12" t="s">
        <v>117</v>
      </c>
      <c r="Y1275" s="12" t="s">
        <v>1038</v>
      </c>
      <c r="AA1275" s="12"/>
      <c r="AB1275" s="33"/>
      <c r="AC1275" s="34"/>
      <c r="AD1275" s="15"/>
      <c r="AE1275" s="14"/>
      <c r="AF1275" s="12"/>
      <c r="AG1275" s="12"/>
      <c r="AH1275" s="12"/>
      <c r="AJ1275"/>
      <c r="AK1275"/>
    </row>
    <row r="1276" spans="18:37" ht="14">
      <c r="R1276" s="14">
        <v>10677</v>
      </c>
      <c r="S1276" s="14" t="s">
        <v>301</v>
      </c>
      <c r="T1276" s="12" t="s">
        <v>198</v>
      </c>
      <c r="U1276" s="15" t="str">
        <f t="shared" si="31"/>
        <v>Lenovo SmartLeap Smart Assist - TEC</v>
      </c>
      <c r="V1276" s="12" t="s">
        <v>104</v>
      </c>
      <c r="W1276" s="12" t="s">
        <v>117</v>
      </c>
      <c r="X1276" s="12" t="s">
        <v>117</v>
      </c>
      <c r="Y1276" s="12" t="s">
        <v>1038</v>
      </c>
      <c r="AA1276" s="12"/>
      <c r="AB1276" s="33"/>
      <c r="AC1276" s="34"/>
      <c r="AD1276" s="15"/>
      <c r="AE1276" s="14"/>
      <c r="AF1276" s="12"/>
      <c r="AG1276" s="12"/>
      <c r="AH1276" s="12"/>
      <c r="AJ1276"/>
      <c r="AK1276"/>
    </row>
    <row r="1277" spans="18:37" ht="14">
      <c r="R1277" s="14">
        <v>82003</v>
      </c>
      <c r="S1277" s="14" t="s">
        <v>859</v>
      </c>
      <c r="T1277" s="12" t="s">
        <v>145</v>
      </c>
      <c r="U1277" s="15" t="str">
        <f t="shared" si="31"/>
        <v>LEVELUP - SUP</v>
      </c>
      <c r="V1277" s="12" t="s">
        <v>104</v>
      </c>
      <c r="W1277" s="12" t="s">
        <v>263</v>
      </c>
      <c r="X1277" s="12" t="s">
        <v>264</v>
      </c>
      <c r="Y1277" s="12" t="s">
        <v>1038</v>
      </c>
      <c r="AA1277" s="12"/>
      <c r="AB1277" s="33"/>
      <c r="AC1277" s="34"/>
      <c r="AD1277" s="15"/>
      <c r="AE1277" s="14"/>
      <c r="AF1277" s="12"/>
      <c r="AG1277" s="12"/>
      <c r="AH1277" s="12"/>
      <c r="AJ1277"/>
      <c r="AK1277"/>
    </row>
    <row r="1278" spans="18:37" ht="14">
      <c r="R1278" s="14">
        <v>10915</v>
      </c>
      <c r="S1278" s="14" t="s">
        <v>459</v>
      </c>
      <c r="T1278" s="12" t="s">
        <v>185</v>
      </c>
      <c r="U1278" s="15" t="str">
        <f t="shared" si="31"/>
        <v>LIDP Insurance India JC - TPS</v>
      </c>
      <c r="V1278" s="12" t="s">
        <v>117</v>
      </c>
      <c r="W1278" s="12" t="s">
        <v>117</v>
      </c>
      <c r="X1278" s="12" t="s">
        <v>117</v>
      </c>
      <c r="Y1278" s="12" t="s">
        <v>1038</v>
      </c>
      <c r="AA1278" s="12"/>
      <c r="AB1278" s="33"/>
      <c r="AC1278" s="34"/>
      <c r="AD1278" s="15"/>
      <c r="AE1278" s="14"/>
      <c r="AF1278" s="12"/>
      <c r="AG1278" s="12"/>
      <c r="AH1278" s="12"/>
      <c r="AJ1278"/>
      <c r="AK1278"/>
    </row>
    <row r="1279" spans="18:37" ht="14">
      <c r="R1279" s="14">
        <v>27150</v>
      </c>
      <c r="S1279" s="14" t="s">
        <v>654</v>
      </c>
      <c r="T1279" s="12" t="s">
        <v>145</v>
      </c>
      <c r="U1279" s="15" t="str">
        <f t="shared" si="31"/>
        <v>Lincoln Absence Mgt Servicing - SUP</v>
      </c>
      <c r="V1279" s="12" t="s">
        <v>126</v>
      </c>
      <c r="W1279" s="12" t="s">
        <v>163</v>
      </c>
      <c r="X1279" s="12" t="s">
        <v>164</v>
      </c>
      <c r="Y1279" s="12" t="s">
        <v>1038</v>
      </c>
      <c r="AA1279" s="12"/>
      <c r="AB1279" s="33"/>
      <c r="AC1279" s="34"/>
      <c r="AD1279" s="15"/>
      <c r="AE1279" s="14"/>
      <c r="AF1279" s="12"/>
      <c r="AG1279" s="12"/>
      <c r="AH1279" s="12"/>
      <c r="AJ1279"/>
      <c r="AK1279"/>
    </row>
    <row r="1280" spans="18:37" ht="14">
      <c r="R1280" s="14">
        <v>10123</v>
      </c>
      <c r="S1280" s="14" t="s">
        <v>232</v>
      </c>
      <c r="T1280" s="12" t="s">
        <v>150</v>
      </c>
      <c r="U1280" s="15" t="str">
        <f t="shared" si="31"/>
        <v>Lincoln Member Suppt BO IND - CCS</v>
      </c>
      <c r="V1280" s="12" t="s">
        <v>126</v>
      </c>
      <c r="W1280" s="12" t="s">
        <v>163</v>
      </c>
      <c r="X1280" s="12" t="s">
        <v>164</v>
      </c>
      <c r="Y1280" s="12" t="s">
        <v>1038</v>
      </c>
      <c r="AA1280" s="12"/>
      <c r="AB1280" s="33"/>
      <c r="AC1280" s="34"/>
      <c r="AD1280" s="15"/>
      <c r="AE1280" s="14"/>
      <c r="AF1280" s="12"/>
      <c r="AG1280" s="12"/>
      <c r="AH1280" s="12"/>
      <c r="AJ1280"/>
      <c r="AK1280"/>
    </row>
    <row r="1281" spans="18:37" ht="14">
      <c r="R1281" s="14">
        <v>92103</v>
      </c>
      <c r="S1281" s="14" t="s">
        <v>713</v>
      </c>
      <c r="T1281" s="12" t="s">
        <v>145</v>
      </c>
      <c r="U1281" s="15" t="str">
        <f t="shared" si="31"/>
        <v>Logistics &amp;Transportation - GM - SUP</v>
      </c>
      <c r="V1281" s="12" t="s">
        <v>104</v>
      </c>
      <c r="W1281" s="12" t="s">
        <v>518</v>
      </c>
      <c r="X1281" s="12" t="s">
        <v>350</v>
      </c>
      <c r="Y1281" s="12" t="s">
        <v>1038</v>
      </c>
      <c r="AA1281" s="12"/>
      <c r="AB1281" s="33"/>
      <c r="AC1281" s="34"/>
      <c r="AD1281" s="15"/>
      <c r="AE1281" s="14"/>
      <c r="AF1281" s="12"/>
      <c r="AG1281" s="12"/>
      <c r="AH1281" s="12"/>
      <c r="AJ1281"/>
      <c r="AK1281"/>
    </row>
    <row r="1282" spans="18:37" ht="14">
      <c r="R1282" s="14">
        <v>92203</v>
      </c>
      <c r="S1282" s="14" t="s">
        <v>715</v>
      </c>
      <c r="T1282" s="12" t="s">
        <v>129</v>
      </c>
      <c r="U1282" s="15" t="str">
        <f t="shared" si="31"/>
        <v>LOGISTICS &amp;TRANSPORTATION -SGA - MGT</v>
      </c>
      <c r="V1282" s="12" t="s">
        <v>104</v>
      </c>
      <c r="W1282" s="12" t="s">
        <v>518</v>
      </c>
      <c r="X1282" s="12" t="s">
        <v>350</v>
      </c>
      <c r="Y1282" s="12" t="s">
        <v>1038</v>
      </c>
      <c r="AA1282" s="12"/>
      <c r="AB1282" s="33"/>
      <c r="AC1282" s="34"/>
      <c r="AD1282" s="15"/>
      <c r="AE1282" s="14"/>
      <c r="AF1282" s="12"/>
      <c r="AG1282" s="12"/>
      <c r="AH1282" s="12"/>
      <c r="AJ1282"/>
      <c r="AK1282"/>
    </row>
    <row r="1283" spans="18:37" ht="14">
      <c r="R1283" s="14">
        <v>92203</v>
      </c>
      <c r="S1283" s="14" t="s">
        <v>715</v>
      </c>
      <c r="T1283" s="12" t="s">
        <v>145</v>
      </c>
      <c r="U1283" s="15" t="str">
        <f t="shared" ref="U1283:U1346" si="32">S1283&amp;" - "&amp;T1283</f>
        <v>LOGISTICS &amp;TRANSPORTATION -SGA - SUP</v>
      </c>
      <c r="V1283" s="12" t="s">
        <v>104</v>
      </c>
      <c r="W1283" s="12" t="s">
        <v>518</v>
      </c>
      <c r="X1283" s="12" t="s">
        <v>350</v>
      </c>
      <c r="Y1283" s="12" t="s">
        <v>1038</v>
      </c>
      <c r="AA1283" s="12"/>
      <c r="AB1283" s="33"/>
      <c r="AC1283" s="34"/>
      <c r="AD1283" s="15"/>
      <c r="AE1283" s="14"/>
      <c r="AF1283" s="12"/>
      <c r="AG1283" s="12"/>
      <c r="AH1283" s="12"/>
      <c r="AJ1283"/>
      <c r="AK1283"/>
    </row>
    <row r="1284" spans="18:37" ht="14">
      <c r="R1284" s="14">
        <v>51174</v>
      </c>
      <c r="S1284" s="14" t="s">
        <v>731</v>
      </c>
      <c r="T1284" s="12" t="s">
        <v>116</v>
      </c>
      <c r="U1284" s="15" t="str">
        <f t="shared" si="32"/>
        <v>Loudoun-Cloudtestr - PRD</v>
      </c>
      <c r="V1284" s="12" t="s">
        <v>117</v>
      </c>
      <c r="W1284" s="12" t="s">
        <v>117</v>
      </c>
      <c r="X1284" s="12" t="s">
        <v>117</v>
      </c>
      <c r="Y1284" s="12" t="s">
        <v>1038</v>
      </c>
      <c r="AA1284" s="12"/>
      <c r="AB1284" s="33"/>
      <c r="AC1284" s="34"/>
      <c r="AD1284" s="15"/>
      <c r="AE1284" s="14"/>
      <c r="AF1284" s="12"/>
      <c r="AG1284" s="12"/>
      <c r="AH1284" s="12"/>
      <c r="AJ1284"/>
      <c r="AK1284"/>
    </row>
    <row r="1285" spans="18:37" ht="14">
      <c r="R1285" s="14">
        <v>10085</v>
      </c>
      <c r="S1285" s="14" t="s">
        <v>200</v>
      </c>
      <c r="T1285" s="12" t="s">
        <v>185</v>
      </c>
      <c r="U1285" s="15" t="str">
        <f t="shared" si="32"/>
        <v>LSC Comm - Growth FY25 - TPS</v>
      </c>
      <c r="V1285" s="12" t="s">
        <v>104</v>
      </c>
      <c r="W1285" s="12" t="s">
        <v>117</v>
      </c>
      <c r="X1285" s="12" t="s">
        <v>117</v>
      </c>
      <c r="Y1285" s="12" t="s">
        <v>1038</v>
      </c>
      <c r="AA1285" s="12"/>
      <c r="AB1285" s="33"/>
      <c r="AC1285" s="34"/>
      <c r="AD1285" s="15"/>
      <c r="AE1285" s="14"/>
      <c r="AF1285" s="12"/>
      <c r="AG1285" s="12"/>
      <c r="AH1285" s="12"/>
      <c r="AJ1285"/>
      <c r="AK1285"/>
    </row>
    <row r="1286" spans="18:37" ht="14">
      <c r="R1286" s="14">
        <v>10097</v>
      </c>
      <c r="S1286" s="14" t="s">
        <v>212</v>
      </c>
      <c r="T1286" s="12" t="s">
        <v>150</v>
      </c>
      <c r="U1286" s="15" t="str">
        <f t="shared" si="32"/>
        <v>LSC Comm - NFB FY25 - CCS</v>
      </c>
      <c r="V1286" s="12" t="s">
        <v>117</v>
      </c>
      <c r="W1286" s="12" t="s">
        <v>117</v>
      </c>
      <c r="X1286" s="12" t="s">
        <v>117</v>
      </c>
      <c r="Y1286" s="12" t="s">
        <v>1038</v>
      </c>
      <c r="AA1286" s="12"/>
      <c r="AB1286" s="33"/>
      <c r="AC1286" s="34"/>
      <c r="AD1286" s="15"/>
      <c r="AE1286" s="14"/>
      <c r="AF1286" s="12"/>
      <c r="AG1286" s="12"/>
      <c r="AH1286" s="12"/>
      <c r="AJ1286"/>
      <c r="AK1286"/>
    </row>
    <row r="1287" spans="18:37" ht="14">
      <c r="R1287" s="14">
        <v>10794</v>
      </c>
      <c r="S1287" s="14" t="s">
        <v>388</v>
      </c>
      <c r="T1287" s="12" t="s">
        <v>133</v>
      </c>
      <c r="U1287" s="15" t="str">
        <f t="shared" si="32"/>
        <v>LSC F and A - AMG</v>
      </c>
      <c r="V1287" s="12" t="s">
        <v>126</v>
      </c>
      <c r="W1287" s="12" t="s">
        <v>163</v>
      </c>
      <c r="X1287" s="12" t="s">
        <v>164</v>
      </c>
      <c r="Y1287" s="12" t="s">
        <v>1038</v>
      </c>
      <c r="AA1287" s="12"/>
      <c r="AB1287" s="33"/>
      <c r="AC1287" s="34"/>
      <c r="AD1287" s="15"/>
      <c r="AE1287" s="14"/>
      <c r="AF1287" s="12"/>
      <c r="AG1287" s="12"/>
      <c r="AH1287" s="12"/>
      <c r="AJ1287"/>
      <c r="AK1287"/>
    </row>
    <row r="1288" spans="18:37" ht="14">
      <c r="R1288" s="14">
        <v>10794</v>
      </c>
      <c r="S1288" s="14" t="s">
        <v>388</v>
      </c>
      <c r="T1288" s="12" t="s">
        <v>306</v>
      </c>
      <c r="U1288" s="15" t="str">
        <f t="shared" si="32"/>
        <v>LSC F and A - FAO</v>
      </c>
      <c r="V1288" s="12" t="s">
        <v>126</v>
      </c>
      <c r="W1288" s="12" t="s">
        <v>163</v>
      </c>
      <c r="X1288" s="12" t="s">
        <v>164</v>
      </c>
      <c r="Y1288" s="12" t="s">
        <v>1038</v>
      </c>
      <c r="AA1288" s="12"/>
      <c r="AB1288" s="33"/>
      <c r="AC1288" s="34"/>
      <c r="AD1288" s="15"/>
      <c r="AE1288" s="14"/>
      <c r="AF1288" s="12"/>
      <c r="AG1288" s="12"/>
      <c r="AH1288" s="12"/>
      <c r="AJ1288"/>
      <c r="AK1288"/>
    </row>
    <row r="1289" spans="18:37" ht="14">
      <c r="R1289" s="14">
        <v>10794</v>
      </c>
      <c r="S1289" s="14" t="s">
        <v>388</v>
      </c>
      <c r="T1289" s="12" t="s">
        <v>116</v>
      </c>
      <c r="U1289" s="15" t="str">
        <f t="shared" si="32"/>
        <v>LSC F and A - PRD</v>
      </c>
      <c r="V1289" s="12" t="s">
        <v>126</v>
      </c>
      <c r="W1289" s="12" t="s">
        <v>163</v>
      </c>
      <c r="X1289" s="12" t="s">
        <v>164</v>
      </c>
      <c r="Y1289" s="12" t="s">
        <v>1038</v>
      </c>
      <c r="AA1289" s="12"/>
      <c r="AB1289" s="33"/>
      <c r="AC1289" s="34"/>
      <c r="AD1289" s="15"/>
      <c r="AE1289" s="14"/>
      <c r="AF1289" s="12"/>
      <c r="AG1289" s="12"/>
      <c r="AH1289" s="12"/>
      <c r="AJ1289"/>
      <c r="AK1289"/>
    </row>
    <row r="1290" spans="18:37" ht="14">
      <c r="R1290" s="14">
        <v>10794</v>
      </c>
      <c r="S1290" s="14" t="s">
        <v>388</v>
      </c>
      <c r="T1290" s="12" t="s">
        <v>185</v>
      </c>
      <c r="U1290" s="15" t="str">
        <f t="shared" si="32"/>
        <v>LSC F and A - TPS</v>
      </c>
      <c r="V1290" s="12" t="s">
        <v>126</v>
      </c>
      <c r="W1290" s="12" t="s">
        <v>163</v>
      </c>
      <c r="X1290" s="12" t="s">
        <v>164</v>
      </c>
      <c r="Y1290" s="12" t="s">
        <v>1038</v>
      </c>
      <c r="AA1290" s="12"/>
      <c r="AB1290" s="33"/>
      <c r="AC1290" s="34"/>
      <c r="AD1290" s="15"/>
      <c r="AE1290" s="14"/>
      <c r="AF1290" s="12"/>
      <c r="AG1290" s="12"/>
      <c r="AH1290" s="12"/>
      <c r="AJ1290"/>
      <c r="AK1290"/>
    </row>
    <row r="1291" spans="18:37" ht="14">
      <c r="R1291" s="14">
        <v>10120</v>
      </c>
      <c r="S1291" s="14" t="s">
        <v>1048</v>
      </c>
      <c r="T1291" s="12" t="s">
        <v>145</v>
      </c>
      <c r="U1291" s="15" t="str">
        <f t="shared" si="32"/>
        <v>LSC GBS  Robility - SUP</v>
      </c>
      <c r="V1291" s="12" t="s">
        <v>104</v>
      </c>
      <c r="W1291" s="12" t="s">
        <v>117</v>
      </c>
      <c r="X1291" s="12" t="s">
        <v>117</v>
      </c>
      <c r="Y1291" s="12" t="s">
        <v>1038</v>
      </c>
      <c r="AA1291" s="12"/>
      <c r="AB1291" s="33"/>
      <c r="AC1291" s="34"/>
      <c r="AD1291" s="15"/>
      <c r="AE1291" s="14"/>
      <c r="AF1291" s="12"/>
      <c r="AG1291" s="12"/>
      <c r="AH1291" s="12"/>
      <c r="AJ1291"/>
      <c r="AK1291"/>
    </row>
    <row r="1292" spans="18:37" ht="14">
      <c r="R1292" s="14">
        <v>10913</v>
      </c>
      <c r="S1292" s="14" t="s">
        <v>456</v>
      </c>
      <c r="T1292" s="12" t="s">
        <v>177</v>
      </c>
      <c r="U1292" s="15" t="str">
        <f t="shared" si="32"/>
        <v>LSC Growth FnA JC - OPS</v>
      </c>
      <c r="V1292" s="12" t="s">
        <v>126</v>
      </c>
      <c r="W1292" s="12" t="s">
        <v>163</v>
      </c>
      <c r="X1292" s="12" t="s">
        <v>164</v>
      </c>
      <c r="Y1292" s="12" t="s">
        <v>1038</v>
      </c>
      <c r="AA1292" s="12"/>
      <c r="AB1292" s="33"/>
      <c r="AC1292" s="34"/>
      <c r="AD1292" s="15"/>
      <c r="AE1292" s="14"/>
      <c r="AF1292" s="12"/>
      <c r="AG1292" s="12"/>
      <c r="AH1292" s="12"/>
      <c r="AJ1292"/>
      <c r="AK1292"/>
    </row>
    <row r="1293" spans="18:37" ht="14">
      <c r="R1293" s="14">
        <v>10912</v>
      </c>
      <c r="S1293" s="14" t="s">
        <v>455</v>
      </c>
      <c r="T1293" s="12" t="s">
        <v>185</v>
      </c>
      <c r="U1293" s="15" t="str">
        <f t="shared" si="32"/>
        <v>LSC NFB JC - TPS</v>
      </c>
      <c r="V1293" s="12" t="s">
        <v>126</v>
      </c>
      <c r="W1293" s="12" t="s">
        <v>163</v>
      </c>
      <c r="X1293" s="12" t="s">
        <v>164</v>
      </c>
      <c r="Y1293" s="12" t="s">
        <v>1038</v>
      </c>
      <c r="AA1293" s="12"/>
      <c r="AB1293" s="33"/>
      <c r="AC1293" s="34"/>
      <c r="AD1293" s="15"/>
      <c r="AE1293" s="14"/>
      <c r="AF1293" s="12"/>
      <c r="AG1293" s="12"/>
      <c r="AH1293" s="12"/>
      <c r="AJ1293"/>
      <c r="AK1293"/>
    </row>
    <row r="1294" spans="18:37" ht="14">
      <c r="R1294" s="14">
        <v>10658</v>
      </c>
      <c r="S1294" s="14" t="s">
        <v>293</v>
      </c>
      <c r="T1294" s="12" t="s">
        <v>150</v>
      </c>
      <c r="U1294" s="15" t="str">
        <f t="shared" si="32"/>
        <v>LYFT _RIDER SUPPORT - CCS</v>
      </c>
      <c r="V1294" s="12" t="s">
        <v>126</v>
      </c>
      <c r="W1294" s="12" t="s">
        <v>178</v>
      </c>
      <c r="X1294" s="12" t="s">
        <v>128</v>
      </c>
      <c r="Y1294" s="12" t="s">
        <v>1038</v>
      </c>
      <c r="AA1294" s="12"/>
      <c r="AB1294" s="33"/>
      <c r="AC1294" s="34"/>
      <c r="AD1294" s="15"/>
      <c r="AE1294" s="14"/>
      <c r="AF1294" s="12"/>
      <c r="AG1294" s="12"/>
      <c r="AH1294" s="12"/>
      <c r="AJ1294"/>
      <c r="AK1294"/>
    </row>
    <row r="1295" spans="18:37" ht="14">
      <c r="R1295" s="14">
        <v>10658</v>
      </c>
      <c r="S1295" s="14" t="s">
        <v>293</v>
      </c>
      <c r="T1295" s="12" t="s">
        <v>161</v>
      </c>
      <c r="U1295" s="15" t="str">
        <f t="shared" si="32"/>
        <v>LYFT _RIDER SUPPORT - ECC</v>
      </c>
      <c r="V1295" s="12" t="s">
        <v>126</v>
      </c>
      <c r="W1295" s="12" t="s">
        <v>178</v>
      </c>
      <c r="X1295" s="12" t="s">
        <v>128</v>
      </c>
      <c r="Y1295" s="12" t="s">
        <v>1038</v>
      </c>
      <c r="AA1295" s="12"/>
      <c r="AB1295" s="33"/>
      <c r="AC1295" s="34"/>
      <c r="AD1295" s="15"/>
      <c r="AE1295" s="14"/>
      <c r="AF1295" s="12"/>
      <c r="AG1295" s="12"/>
      <c r="AH1295" s="12"/>
      <c r="AJ1295"/>
      <c r="AK1295"/>
    </row>
    <row r="1296" spans="18:37" ht="14">
      <c r="R1296" s="14">
        <v>10658</v>
      </c>
      <c r="S1296" s="14" t="s">
        <v>293</v>
      </c>
      <c r="T1296" s="12" t="s">
        <v>129</v>
      </c>
      <c r="U1296" s="15" t="str">
        <f t="shared" si="32"/>
        <v>LYFT _RIDER SUPPORT - MGT</v>
      </c>
      <c r="V1296" s="12" t="s">
        <v>126</v>
      </c>
      <c r="W1296" s="12" t="s">
        <v>178</v>
      </c>
      <c r="X1296" s="12" t="s">
        <v>128</v>
      </c>
      <c r="Y1296" s="12" t="s">
        <v>1038</v>
      </c>
      <c r="AA1296" s="12"/>
      <c r="AB1296" s="33"/>
      <c r="AC1296" s="34"/>
      <c r="AD1296" s="15"/>
      <c r="AE1296" s="14"/>
      <c r="AF1296" s="12"/>
      <c r="AG1296" s="12"/>
      <c r="AH1296" s="12"/>
      <c r="AJ1296"/>
      <c r="AK1296"/>
    </row>
    <row r="1297" spans="18:37" ht="14">
      <c r="R1297" s="14">
        <v>10658</v>
      </c>
      <c r="S1297" s="14" t="s">
        <v>293</v>
      </c>
      <c r="T1297" s="12" t="s">
        <v>418</v>
      </c>
      <c r="U1297" s="15" t="str">
        <f t="shared" si="32"/>
        <v>LYFT _RIDER SUPPORT - QLC</v>
      </c>
      <c r="V1297" s="12" t="s">
        <v>112</v>
      </c>
      <c r="W1297" s="12" t="s">
        <v>113</v>
      </c>
      <c r="X1297" s="12" t="s">
        <v>114</v>
      </c>
      <c r="Y1297" s="12" t="s">
        <v>1038</v>
      </c>
      <c r="AA1297" s="12"/>
      <c r="AB1297" s="33"/>
      <c r="AC1297" s="34"/>
      <c r="AD1297" s="15"/>
      <c r="AE1297" s="14"/>
      <c r="AF1297" s="12"/>
      <c r="AG1297" s="12"/>
      <c r="AH1297" s="12"/>
      <c r="AJ1297"/>
      <c r="AK1297"/>
    </row>
    <row r="1298" spans="18:37" ht="14">
      <c r="R1298" s="14">
        <v>10658</v>
      </c>
      <c r="S1298" s="14" t="s">
        <v>293</v>
      </c>
      <c r="T1298" s="12" t="s">
        <v>111</v>
      </c>
      <c r="U1298" s="15" t="str">
        <f t="shared" si="32"/>
        <v>LYFT _RIDER SUPPORT - QLY</v>
      </c>
      <c r="V1298" s="12" t="s">
        <v>112</v>
      </c>
      <c r="W1298" s="12" t="s">
        <v>113</v>
      </c>
      <c r="X1298" s="12" t="s">
        <v>114</v>
      </c>
      <c r="Y1298" s="12" t="s">
        <v>1038</v>
      </c>
      <c r="AA1298" s="12"/>
      <c r="AB1298" s="33"/>
      <c r="AC1298" s="34"/>
      <c r="AD1298" s="15"/>
      <c r="AE1298" s="14"/>
      <c r="AF1298" s="12"/>
      <c r="AG1298" s="12"/>
      <c r="AH1298" s="12"/>
      <c r="AJ1298"/>
      <c r="AK1298"/>
    </row>
    <row r="1299" spans="18:37" ht="14">
      <c r="R1299" s="14">
        <v>10658</v>
      </c>
      <c r="S1299" s="14" t="s">
        <v>293</v>
      </c>
      <c r="T1299" s="12" t="s">
        <v>172</v>
      </c>
      <c r="U1299" s="15" t="str">
        <f t="shared" si="32"/>
        <v>LYFT _RIDER SUPPORT - SME</v>
      </c>
      <c r="V1299" s="12" t="s">
        <v>126</v>
      </c>
      <c r="W1299" s="12" t="s">
        <v>178</v>
      </c>
      <c r="X1299" s="12" t="s">
        <v>128</v>
      </c>
      <c r="Y1299" s="12" t="s">
        <v>1038</v>
      </c>
      <c r="AA1299" s="12"/>
      <c r="AB1299" s="33"/>
      <c r="AC1299" s="34"/>
      <c r="AD1299" s="15"/>
      <c r="AE1299" s="14"/>
      <c r="AF1299" s="12"/>
      <c r="AG1299" s="12"/>
      <c r="AH1299" s="12"/>
      <c r="AJ1299"/>
      <c r="AK1299"/>
    </row>
    <row r="1300" spans="18:37" ht="14">
      <c r="R1300" s="14">
        <v>10658</v>
      </c>
      <c r="S1300" s="14" t="s">
        <v>293</v>
      </c>
      <c r="T1300" s="12" t="s">
        <v>145</v>
      </c>
      <c r="U1300" s="15" t="str">
        <f t="shared" si="32"/>
        <v>LYFT _RIDER SUPPORT - SUP</v>
      </c>
      <c r="V1300" s="12" t="s">
        <v>126</v>
      </c>
      <c r="W1300" s="12" t="s">
        <v>178</v>
      </c>
      <c r="X1300" s="12" t="s">
        <v>128</v>
      </c>
      <c r="Y1300" s="12" t="s">
        <v>1038</v>
      </c>
      <c r="AA1300" s="12"/>
      <c r="AB1300" s="33"/>
      <c r="AC1300" s="34"/>
      <c r="AD1300" s="15"/>
      <c r="AE1300" s="14"/>
      <c r="AF1300" s="12"/>
      <c r="AG1300" s="12"/>
      <c r="AH1300" s="12"/>
      <c r="AJ1300"/>
      <c r="AK1300"/>
    </row>
    <row r="1301" spans="18:37" ht="14">
      <c r="R1301" s="14">
        <v>10658</v>
      </c>
      <c r="S1301" s="14" t="s">
        <v>293</v>
      </c>
      <c r="T1301" s="12" t="s">
        <v>180</v>
      </c>
      <c r="U1301" s="15" t="str">
        <f t="shared" si="32"/>
        <v>LYFT _RIDER SUPPORT - TMG</v>
      </c>
      <c r="V1301" s="12" t="s">
        <v>126</v>
      </c>
      <c r="W1301" s="12" t="s">
        <v>178</v>
      </c>
      <c r="X1301" s="12" t="s">
        <v>128</v>
      </c>
      <c r="Y1301" s="12" t="s">
        <v>1038</v>
      </c>
      <c r="AA1301" s="12"/>
      <c r="AB1301" s="33"/>
      <c r="AC1301" s="34"/>
      <c r="AD1301" s="15"/>
      <c r="AE1301" s="14"/>
      <c r="AF1301" s="12"/>
      <c r="AG1301" s="12"/>
      <c r="AH1301" s="12"/>
      <c r="AJ1301"/>
      <c r="AK1301"/>
    </row>
    <row r="1302" spans="18:37" ht="14">
      <c r="R1302" s="14">
        <v>10658</v>
      </c>
      <c r="S1302" s="14" t="s">
        <v>293</v>
      </c>
      <c r="T1302" s="12" t="s">
        <v>185</v>
      </c>
      <c r="U1302" s="15" t="str">
        <f t="shared" si="32"/>
        <v>LYFT _RIDER SUPPORT - TPS</v>
      </c>
      <c r="V1302" s="12" t="s">
        <v>126</v>
      </c>
      <c r="W1302" s="12" t="s">
        <v>178</v>
      </c>
      <c r="X1302" s="12" t="s">
        <v>128</v>
      </c>
      <c r="Y1302" s="12" t="s">
        <v>1038</v>
      </c>
      <c r="AA1302" s="12"/>
      <c r="AB1302" s="33"/>
      <c r="AC1302" s="34"/>
      <c r="AD1302" s="15"/>
      <c r="AE1302" s="14"/>
      <c r="AF1302" s="12"/>
      <c r="AG1302" s="12"/>
      <c r="AH1302" s="12"/>
      <c r="AJ1302"/>
      <c r="AK1302"/>
    </row>
    <row r="1303" spans="18:37" ht="14">
      <c r="R1303" s="14">
        <v>10658</v>
      </c>
      <c r="S1303" s="14" t="s">
        <v>293</v>
      </c>
      <c r="T1303" s="12" t="s">
        <v>203</v>
      </c>
      <c r="U1303" s="15" t="str">
        <f t="shared" si="32"/>
        <v>LYFT _RIDER SUPPORT - TRG</v>
      </c>
      <c r="V1303" s="12" t="s">
        <v>112</v>
      </c>
      <c r="W1303" s="12" t="s">
        <v>204</v>
      </c>
      <c r="X1303" s="12" t="s">
        <v>205</v>
      </c>
      <c r="Y1303" s="12" t="s">
        <v>1038</v>
      </c>
      <c r="AA1303" s="12"/>
      <c r="AB1303" s="33"/>
      <c r="AC1303" s="34"/>
      <c r="AD1303" s="15"/>
      <c r="AE1303" s="14"/>
      <c r="AF1303" s="12"/>
      <c r="AG1303" s="12"/>
      <c r="AH1303" s="12"/>
      <c r="AJ1303"/>
      <c r="AK1303"/>
    </row>
    <row r="1304" spans="18:37" ht="14">
      <c r="R1304" s="14">
        <v>10814</v>
      </c>
      <c r="S1304" s="14" t="s">
        <v>396</v>
      </c>
      <c r="T1304" s="12" t="s">
        <v>161</v>
      </c>
      <c r="U1304" s="15" t="str">
        <f t="shared" si="32"/>
        <v>Lyft Bug Validation_Ind - ECC</v>
      </c>
      <c r="V1304" s="12" t="s">
        <v>126</v>
      </c>
      <c r="W1304" s="12" t="s">
        <v>178</v>
      </c>
      <c r="X1304" s="12" t="s">
        <v>128</v>
      </c>
      <c r="Y1304" s="12" t="s">
        <v>1038</v>
      </c>
      <c r="AA1304" s="12"/>
      <c r="AB1304" s="33"/>
      <c r="AC1304" s="34"/>
      <c r="AD1304" s="15"/>
      <c r="AE1304" s="14"/>
      <c r="AF1304" s="12"/>
      <c r="AG1304" s="12"/>
      <c r="AH1304" s="12"/>
      <c r="AJ1304"/>
      <c r="AK1304"/>
    </row>
    <row r="1305" spans="18:37" ht="14">
      <c r="R1305" s="14">
        <v>10814</v>
      </c>
      <c r="S1305" s="14" t="s">
        <v>396</v>
      </c>
      <c r="T1305" s="12" t="s">
        <v>145</v>
      </c>
      <c r="U1305" s="15" t="str">
        <f t="shared" si="32"/>
        <v>Lyft Bug Validation_Ind - SUP</v>
      </c>
      <c r="V1305" s="12" t="s">
        <v>126</v>
      </c>
      <c r="W1305" s="12" t="s">
        <v>178</v>
      </c>
      <c r="X1305" s="12" t="s">
        <v>128</v>
      </c>
      <c r="Y1305" s="12" t="s">
        <v>1038</v>
      </c>
      <c r="AA1305" s="12"/>
      <c r="AB1305" s="33"/>
      <c r="AC1305" s="34"/>
      <c r="AD1305" s="15"/>
      <c r="AE1305" s="14"/>
      <c r="AF1305" s="12"/>
      <c r="AG1305" s="12"/>
      <c r="AH1305" s="12"/>
      <c r="AJ1305"/>
      <c r="AK1305"/>
    </row>
    <row r="1306" spans="18:37" ht="14">
      <c r="R1306" s="14">
        <v>10727</v>
      </c>
      <c r="S1306" s="14" t="s">
        <v>340</v>
      </c>
      <c r="T1306" s="12" t="s">
        <v>138</v>
      </c>
      <c r="U1306" s="15" t="str">
        <f t="shared" si="32"/>
        <v>LYFT Procurement Services - BOS</v>
      </c>
      <c r="V1306" s="12" t="s">
        <v>126</v>
      </c>
      <c r="W1306" s="12" t="s">
        <v>178</v>
      </c>
      <c r="X1306" s="12" t="s">
        <v>128</v>
      </c>
      <c r="Y1306" s="12" t="s">
        <v>1038</v>
      </c>
      <c r="AA1306" s="12"/>
      <c r="AB1306" s="33"/>
      <c r="AC1306" s="34"/>
      <c r="AD1306" s="15"/>
      <c r="AE1306" s="14"/>
      <c r="AF1306" s="12"/>
      <c r="AG1306" s="12"/>
      <c r="AH1306" s="12"/>
      <c r="AJ1306"/>
      <c r="AK1306"/>
    </row>
    <row r="1307" spans="18:37" ht="14">
      <c r="R1307" s="14">
        <v>10727</v>
      </c>
      <c r="S1307" s="14" t="s">
        <v>340</v>
      </c>
      <c r="T1307" s="12" t="s">
        <v>145</v>
      </c>
      <c r="U1307" s="15" t="str">
        <f t="shared" si="32"/>
        <v>LYFT Procurement Services - SUP</v>
      </c>
      <c r="V1307" s="12" t="s">
        <v>126</v>
      </c>
      <c r="W1307" s="12" t="s">
        <v>178</v>
      </c>
      <c r="X1307" s="12" t="s">
        <v>128</v>
      </c>
      <c r="Y1307" s="12" t="s">
        <v>1038</v>
      </c>
      <c r="AA1307" s="12"/>
      <c r="AB1307" s="33"/>
      <c r="AC1307" s="34"/>
      <c r="AD1307" s="15"/>
      <c r="AE1307" s="14"/>
      <c r="AF1307" s="12"/>
      <c r="AG1307" s="12"/>
      <c r="AH1307" s="12"/>
      <c r="AJ1307"/>
      <c r="AK1307"/>
    </row>
    <row r="1308" spans="18:37" ht="14">
      <c r="R1308" s="14">
        <v>51026</v>
      </c>
      <c r="S1308" s="14" t="s">
        <v>1065</v>
      </c>
      <c r="T1308" s="12" t="s">
        <v>145</v>
      </c>
      <c r="U1308" s="15" t="str">
        <f t="shared" si="32"/>
        <v>Manual-VikrantPratap-448130 - SUP</v>
      </c>
      <c r="V1308" s="12" t="s">
        <v>117</v>
      </c>
      <c r="W1308" s="12" t="s">
        <v>117</v>
      </c>
      <c r="X1308" s="12" t="s">
        <v>117</v>
      </c>
      <c r="Y1308" s="12" t="s">
        <v>1038</v>
      </c>
      <c r="AA1308" s="12"/>
      <c r="AB1308" s="33"/>
      <c r="AC1308" s="34"/>
      <c r="AD1308" s="15"/>
      <c r="AE1308" s="14"/>
      <c r="AF1308" s="12"/>
      <c r="AG1308" s="12"/>
      <c r="AH1308" s="12"/>
      <c r="AJ1308"/>
      <c r="AK1308"/>
    </row>
    <row r="1309" spans="18:37" ht="14">
      <c r="R1309" s="14">
        <v>51176</v>
      </c>
      <c r="S1309" s="14" t="s">
        <v>732</v>
      </c>
      <c r="T1309" s="12" t="s">
        <v>116</v>
      </c>
      <c r="U1309" s="15" t="str">
        <f t="shared" si="32"/>
        <v>Matco-2304-2603-DevopsImplemen - PRD</v>
      </c>
      <c r="V1309" s="12" t="s">
        <v>117</v>
      </c>
      <c r="W1309" s="12" t="s">
        <v>117</v>
      </c>
      <c r="X1309" s="12" t="s">
        <v>117</v>
      </c>
      <c r="Y1309" s="12" t="s">
        <v>1038</v>
      </c>
      <c r="AA1309" s="12"/>
      <c r="AB1309" s="33"/>
      <c r="AC1309" s="34"/>
      <c r="AD1309" s="15"/>
      <c r="AE1309" s="14"/>
      <c r="AF1309" s="12"/>
      <c r="AG1309" s="12"/>
      <c r="AH1309" s="12"/>
      <c r="AJ1309"/>
      <c r="AK1309"/>
    </row>
    <row r="1310" spans="18:37" ht="14">
      <c r="R1310" s="14">
        <v>80005</v>
      </c>
      <c r="S1310" s="14" t="s">
        <v>853</v>
      </c>
      <c r="T1310" s="12" t="s">
        <v>352</v>
      </c>
      <c r="U1310" s="15" t="str">
        <f t="shared" si="32"/>
        <v>McAfee Common - EAT</v>
      </c>
      <c r="V1310" s="12" t="s">
        <v>126</v>
      </c>
      <c r="W1310" s="12" t="s">
        <v>127</v>
      </c>
      <c r="X1310" s="12" t="s">
        <v>128</v>
      </c>
      <c r="Y1310" s="12" t="s">
        <v>1038</v>
      </c>
      <c r="AA1310" s="12"/>
      <c r="AB1310" s="33"/>
      <c r="AC1310" s="34"/>
      <c r="AD1310" s="15"/>
      <c r="AE1310" s="14"/>
      <c r="AF1310" s="12"/>
      <c r="AG1310" s="12"/>
      <c r="AH1310" s="12"/>
      <c r="AJ1310"/>
      <c r="AK1310"/>
    </row>
    <row r="1311" spans="18:37" ht="14">
      <c r="R1311" s="14">
        <v>80005</v>
      </c>
      <c r="S1311" s="14" t="s">
        <v>853</v>
      </c>
      <c r="T1311" s="12" t="s">
        <v>129</v>
      </c>
      <c r="U1311" s="15" t="str">
        <f t="shared" si="32"/>
        <v>McAfee Common - MGT</v>
      </c>
      <c r="V1311" s="12" t="s">
        <v>126</v>
      </c>
      <c r="W1311" s="12" t="s">
        <v>178</v>
      </c>
      <c r="X1311" s="12" t="s">
        <v>128</v>
      </c>
      <c r="Y1311" s="12" t="s">
        <v>1038</v>
      </c>
      <c r="AA1311" s="12"/>
      <c r="AB1311" s="33"/>
      <c r="AC1311" s="34"/>
      <c r="AD1311" s="15"/>
      <c r="AE1311" s="14"/>
      <c r="AF1311" s="12"/>
      <c r="AG1311" s="12"/>
      <c r="AH1311" s="12"/>
      <c r="AJ1311"/>
      <c r="AK1311"/>
    </row>
    <row r="1312" spans="18:37" ht="14">
      <c r="R1312" s="14">
        <v>80005</v>
      </c>
      <c r="S1312" s="14" t="s">
        <v>853</v>
      </c>
      <c r="T1312" s="12" t="s">
        <v>177</v>
      </c>
      <c r="U1312" s="15" t="str">
        <f t="shared" si="32"/>
        <v>McAfee Common - OPS</v>
      </c>
      <c r="V1312" s="12" t="s">
        <v>126</v>
      </c>
      <c r="W1312" s="12" t="s">
        <v>127</v>
      </c>
      <c r="X1312" s="12" t="s">
        <v>128</v>
      </c>
      <c r="Y1312" s="12" t="s">
        <v>1038</v>
      </c>
      <c r="AA1312" s="12"/>
      <c r="AB1312" s="33"/>
      <c r="AC1312" s="34"/>
      <c r="AD1312" s="15"/>
      <c r="AE1312" s="14"/>
      <c r="AF1312" s="12"/>
      <c r="AG1312" s="12"/>
      <c r="AH1312" s="12"/>
      <c r="AJ1312"/>
      <c r="AK1312"/>
    </row>
    <row r="1313" spans="18:37" ht="14">
      <c r="R1313" s="14">
        <v>80005</v>
      </c>
      <c r="S1313" s="14" t="s">
        <v>853</v>
      </c>
      <c r="T1313" s="12" t="s">
        <v>449</v>
      </c>
      <c r="U1313" s="15" t="str">
        <f t="shared" si="32"/>
        <v>McAfee Common - RPA</v>
      </c>
      <c r="V1313" s="12" t="s">
        <v>126</v>
      </c>
      <c r="W1313" s="12" t="s">
        <v>127</v>
      </c>
      <c r="X1313" s="12" t="s">
        <v>128</v>
      </c>
      <c r="Y1313" s="12" t="s">
        <v>1038</v>
      </c>
      <c r="AA1313" s="12"/>
      <c r="AB1313" s="33"/>
      <c r="AC1313" s="34"/>
      <c r="AD1313" s="15"/>
      <c r="AE1313" s="14"/>
      <c r="AF1313" s="12"/>
      <c r="AG1313" s="12"/>
      <c r="AH1313" s="12"/>
      <c r="AJ1313"/>
      <c r="AK1313"/>
    </row>
    <row r="1314" spans="18:37" ht="14">
      <c r="R1314" s="14">
        <v>80005</v>
      </c>
      <c r="S1314" s="14" t="s">
        <v>853</v>
      </c>
      <c r="T1314" s="12" t="s">
        <v>139</v>
      </c>
      <c r="U1314" s="15" t="str">
        <f t="shared" si="32"/>
        <v>McAfee Common - SMGT</v>
      </c>
      <c r="V1314" s="12" t="s">
        <v>126</v>
      </c>
      <c r="W1314" s="12" t="s">
        <v>127</v>
      </c>
      <c r="X1314" s="12" t="s">
        <v>128</v>
      </c>
      <c r="Y1314" s="12" t="s">
        <v>1038</v>
      </c>
      <c r="AA1314" s="12"/>
      <c r="AB1314" s="33"/>
      <c r="AC1314" s="34"/>
      <c r="AD1314" s="15"/>
      <c r="AE1314" s="14"/>
      <c r="AF1314" s="12"/>
      <c r="AG1314" s="12"/>
      <c r="AH1314" s="12"/>
      <c r="AJ1314"/>
      <c r="AK1314"/>
    </row>
    <row r="1315" spans="18:37" ht="14">
      <c r="R1315" s="14">
        <v>80005</v>
      </c>
      <c r="S1315" s="14" t="s">
        <v>853</v>
      </c>
      <c r="T1315" s="12" t="s">
        <v>145</v>
      </c>
      <c r="U1315" s="15" t="str">
        <f t="shared" si="32"/>
        <v>McAfee Common - SUP</v>
      </c>
      <c r="V1315" s="12" t="s">
        <v>126</v>
      </c>
      <c r="W1315" s="12" t="s">
        <v>127</v>
      </c>
      <c r="X1315" s="12" t="s">
        <v>128</v>
      </c>
      <c r="Y1315" s="12" t="s">
        <v>1038</v>
      </c>
      <c r="AA1315" s="12"/>
      <c r="AB1315" s="33"/>
      <c r="AC1315" s="34"/>
      <c r="AD1315" s="15"/>
      <c r="AE1315" s="14"/>
      <c r="AF1315" s="12"/>
      <c r="AG1315" s="12"/>
      <c r="AH1315" s="12"/>
      <c r="AJ1315"/>
      <c r="AK1315"/>
    </row>
    <row r="1316" spans="18:37" ht="14">
      <c r="R1316" s="14">
        <v>80005</v>
      </c>
      <c r="S1316" s="14" t="s">
        <v>853</v>
      </c>
      <c r="T1316" s="12" t="s">
        <v>196</v>
      </c>
      <c r="U1316" s="15" t="str">
        <f t="shared" si="32"/>
        <v>McAfee Common - SUT</v>
      </c>
      <c r="V1316" s="12" t="s">
        <v>126</v>
      </c>
      <c r="W1316" s="12" t="s">
        <v>127</v>
      </c>
      <c r="X1316" s="12" t="s">
        <v>128</v>
      </c>
      <c r="Y1316" s="12" t="s">
        <v>1038</v>
      </c>
      <c r="AA1316" s="12"/>
      <c r="AB1316" s="33"/>
      <c r="AC1316" s="34"/>
      <c r="AD1316" s="15"/>
      <c r="AE1316" s="14"/>
      <c r="AF1316" s="12"/>
      <c r="AG1316" s="12"/>
      <c r="AH1316" s="12"/>
      <c r="AJ1316"/>
      <c r="AK1316"/>
    </row>
    <row r="1317" spans="18:37" ht="14">
      <c r="R1317" s="14">
        <v>80005</v>
      </c>
      <c r="S1317" s="14" t="s">
        <v>853</v>
      </c>
      <c r="T1317" s="12" t="s">
        <v>198</v>
      </c>
      <c r="U1317" s="15" t="str">
        <f t="shared" si="32"/>
        <v>McAfee Common - TEC</v>
      </c>
      <c r="V1317" s="12" t="s">
        <v>126</v>
      </c>
      <c r="W1317" s="12" t="s">
        <v>127</v>
      </c>
      <c r="X1317" s="12" t="s">
        <v>128</v>
      </c>
      <c r="Y1317" s="12" t="s">
        <v>1038</v>
      </c>
      <c r="AA1317" s="12"/>
      <c r="AB1317" s="33"/>
      <c r="AC1317" s="34"/>
      <c r="AD1317" s="15"/>
      <c r="AE1317" s="14"/>
      <c r="AF1317" s="12"/>
      <c r="AG1317" s="12"/>
      <c r="AH1317" s="12"/>
      <c r="AJ1317"/>
      <c r="AK1317"/>
    </row>
    <row r="1318" spans="18:37" ht="14">
      <c r="R1318" s="14">
        <v>80005</v>
      </c>
      <c r="S1318" s="14" t="s">
        <v>853</v>
      </c>
      <c r="T1318" s="12" t="s">
        <v>180</v>
      </c>
      <c r="U1318" s="15" t="str">
        <f t="shared" si="32"/>
        <v>McAfee Common - TMG</v>
      </c>
      <c r="V1318" s="12" t="s">
        <v>126</v>
      </c>
      <c r="W1318" s="12" t="s">
        <v>127</v>
      </c>
      <c r="X1318" s="12" t="s">
        <v>128</v>
      </c>
      <c r="Y1318" s="12" t="s">
        <v>1038</v>
      </c>
      <c r="AA1318" s="12"/>
      <c r="AB1318" s="33"/>
      <c r="AC1318" s="34"/>
      <c r="AD1318" s="15"/>
      <c r="AE1318" s="14"/>
      <c r="AF1318" s="12"/>
      <c r="AG1318" s="12"/>
      <c r="AH1318" s="12"/>
      <c r="AJ1318"/>
      <c r="AK1318"/>
    </row>
    <row r="1319" spans="18:37" ht="14">
      <c r="R1319" s="14">
        <v>10502</v>
      </c>
      <c r="S1319" s="14" t="s">
        <v>253</v>
      </c>
      <c r="T1319" s="12" t="s">
        <v>398</v>
      </c>
      <c r="U1319" s="15" t="str">
        <f t="shared" si="32"/>
        <v>Mcafee Sales &amp; Retention - Chn - CBK</v>
      </c>
      <c r="V1319" s="12" t="s">
        <v>126</v>
      </c>
      <c r="W1319" s="12" t="s">
        <v>360</v>
      </c>
      <c r="X1319" s="12" t="s">
        <v>361</v>
      </c>
      <c r="Y1319" s="12" t="s">
        <v>1038</v>
      </c>
      <c r="AA1319" s="12"/>
      <c r="AB1319" s="33"/>
      <c r="AC1319" s="34"/>
      <c r="AD1319" s="15"/>
      <c r="AE1319" s="14"/>
      <c r="AF1319" s="12"/>
      <c r="AG1319" s="12"/>
      <c r="AH1319" s="12"/>
      <c r="AJ1319"/>
      <c r="AK1319"/>
    </row>
    <row r="1320" spans="18:37" ht="14">
      <c r="R1320" s="14">
        <v>10502</v>
      </c>
      <c r="S1320" s="14" t="s">
        <v>253</v>
      </c>
      <c r="T1320" s="12" t="s">
        <v>150</v>
      </c>
      <c r="U1320" s="15" t="str">
        <f t="shared" si="32"/>
        <v>Mcafee Sales &amp; Retention - Chn - CCS</v>
      </c>
      <c r="V1320" s="12" t="s">
        <v>126</v>
      </c>
      <c r="W1320" s="12" t="s">
        <v>360</v>
      </c>
      <c r="X1320" s="12" t="s">
        <v>361</v>
      </c>
      <c r="Y1320" s="12" t="s">
        <v>1038</v>
      </c>
      <c r="AA1320" s="12"/>
      <c r="AB1320" s="33"/>
      <c r="AC1320" s="34"/>
      <c r="AD1320" s="15"/>
      <c r="AE1320" s="14"/>
      <c r="AF1320" s="12"/>
      <c r="AG1320" s="12"/>
      <c r="AH1320" s="12"/>
      <c r="AJ1320"/>
      <c r="AK1320"/>
    </row>
    <row r="1321" spans="18:37" ht="14">
      <c r="R1321" s="14">
        <v>10502</v>
      </c>
      <c r="S1321" s="14" t="s">
        <v>253</v>
      </c>
      <c r="T1321" s="12" t="s">
        <v>161</v>
      </c>
      <c r="U1321" s="15" t="str">
        <f t="shared" si="32"/>
        <v>Mcafee Sales &amp; Retention - Chn - ECC</v>
      </c>
      <c r="V1321" s="12" t="s">
        <v>126</v>
      </c>
      <c r="W1321" s="12" t="s">
        <v>360</v>
      </c>
      <c r="X1321" s="12" t="s">
        <v>361</v>
      </c>
      <c r="Y1321" s="12" t="s">
        <v>1038</v>
      </c>
      <c r="AA1321" s="12"/>
      <c r="AB1321" s="33"/>
      <c r="AC1321" s="34"/>
      <c r="AD1321" s="15"/>
      <c r="AE1321" s="14"/>
      <c r="AF1321" s="12"/>
      <c r="AG1321" s="12"/>
      <c r="AH1321" s="12"/>
      <c r="AJ1321"/>
      <c r="AK1321"/>
    </row>
    <row r="1322" spans="18:37" ht="14">
      <c r="R1322" s="14">
        <v>10502</v>
      </c>
      <c r="S1322" s="14" t="s">
        <v>253</v>
      </c>
      <c r="T1322" s="12" t="s">
        <v>129</v>
      </c>
      <c r="U1322" s="15" t="str">
        <f t="shared" si="32"/>
        <v>Mcafee Sales &amp; Retention - Chn - MGT</v>
      </c>
      <c r="V1322" s="12" t="s">
        <v>126</v>
      </c>
      <c r="W1322" s="12" t="s">
        <v>360</v>
      </c>
      <c r="X1322" s="12" t="s">
        <v>361</v>
      </c>
      <c r="Y1322" s="12" t="s">
        <v>1038</v>
      </c>
      <c r="AA1322" s="12"/>
      <c r="AB1322" s="33"/>
      <c r="AC1322" s="34"/>
      <c r="AD1322" s="15"/>
      <c r="AE1322" s="14"/>
      <c r="AF1322" s="12"/>
      <c r="AG1322" s="12"/>
      <c r="AH1322" s="12"/>
      <c r="AJ1322"/>
      <c r="AK1322"/>
    </row>
    <row r="1323" spans="18:37" ht="14">
      <c r="R1323" s="14">
        <v>10502</v>
      </c>
      <c r="S1323" s="14" t="s">
        <v>253</v>
      </c>
      <c r="T1323" s="12" t="s">
        <v>111</v>
      </c>
      <c r="U1323" s="15" t="str">
        <f t="shared" si="32"/>
        <v>Mcafee Sales &amp; Retention - Chn - QLY</v>
      </c>
      <c r="V1323" s="12" t="s">
        <v>112</v>
      </c>
      <c r="W1323" s="12" t="s">
        <v>113</v>
      </c>
      <c r="X1323" s="12" t="s">
        <v>114</v>
      </c>
      <c r="Y1323" s="12" t="s">
        <v>1038</v>
      </c>
      <c r="AA1323" s="12"/>
      <c r="AB1323" s="33"/>
      <c r="AC1323" s="34"/>
      <c r="AD1323" s="15"/>
      <c r="AE1323" s="14"/>
      <c r="AF1323" s="12"/>
      <c r="AG1323" s="12"/>
      <c r="AH1323" s="12"/>
      <c r="AJ1323"/>
      <c r="AK1323"/>
    </row>
    <row r="1324" spans="18:37" ht="14">
      <c r="R1324" s="14">
        <v>10502</v>
      </c>
      <c r="S1324" s="14" t="s">
        <v>253</v>
      </c>
      <c r="T1324" s="12" t="s">
        <v>449</v>
      </c>
      <c r="U1324" s="15" t="str">
        <f t="shared" si="32"/>
        <v>Mcafee Sales &amp; Retention - Chn - RPA</v>
      </c>
      <c r="V1324" s="12" t="s">
        <v>126</v>
      </c>
      <c r="W1324" s="12" t="s">
        <v>360</v>
      </c>
      <c r="X1324" s="12" t="s">
        <v>361</v>
      </c>
      <c r="Y1324" s="12" t="s">
        <v>1038</v>
      </c>
      <c r="AA1324" s="12"/>
      <c r="AB1324" s="33"/>
      <c r="AC1324" s="34"/>
      <c r="AD1324" s="15"/>
      <c r="AE1324" s="14"/>
      <c r="AF1324" s="12"/>
      <c r="AG1324" s="12"/>
      <c r="AH1324" s="12"/>
      <c r="AJ1324"/>
      <c r="AK1324"/>
    </row>
    <row r="1325" spans="18:37" ht="14">
      <c r="R1325" s="14">
        <v>10502</v>
      </c>
      <c r="S1325" s="14" t="s">
        <v>253</v>
      </c>
      <c r="T1325" s="12" t="s">
        <v>451</v>
      </c>
      <c r="U1325" s="15" t="str">
        <f t="shared" si="32"/>
        <v>Mcafee Sales &amp; Retention - Chn - SLS</v>
      </c>
      <c r="V1325" s="12" t="s">
        <v>126</v>
      </c>
      <c r="W1325" s="12" t="s">
        <v>360</v>
      </c>
      <c r="X1325" s="12" t="s">
        <v>361</v>
      </c>
      <c r="Y1325" s="12" t="s">
        <v>1038</v>
      </c>
      <c r="AA1325" s="12"/>
      <c r="AB1325" s="33"/>
      <c r="AC1325" s="34"/>
      <c r="AD1325" s="15"/>
      <c r="AE1325" s="14"/>
      <c r="AF1325" s="12"/>
      <c r="AG1325" s="12"/>
      <c r="AH1325" s="12"/>
      <c r="AJ1325"/>
      <c r="AK1325"/>
    </row>
    <row r="1326" spans="18:37" ht="14">
      <c r="R1326" s="14">
        <v>10502</v>
      </c>
      <c r="S1326" s="14" t="s">
        <v>253</v>
      </c>
      <c r="T1326" s="12" t="s">
        <v>172</v>
      </c>
      <c r="U1326" s="15" t="str">
        <f t="shared" si="32"/>
        <v>Mcafee Sales &amp; Retention - Chn - SME</v>
      </c>
      <c r="V1326" s="12" t="s">
        <v>126</v>
      </c>
      <c r="W1326" s="12" t="s">
        <v>360</v>
      </c>
      <c r="X1326" s="12" t="s">
        <v>361</v>
      </c>
      <c r="Y1326" s="12" t="s">
        <v>1038</v>
      </c>
      <c r="AA1326" s="12"/>
      <c r="AB1326" s="33"/>
      <c r="AC1326" s="34"/>
      <c r="AD1326" s="15"/>
      <c r="AE1326" s="14"/>
      <c r="AF1326" s="12"/>
      <c r="AG1326" s="12"/>
      <c r="AH1326" s="12"/>
      <c r="AJ1326"/>
      <c r="AK1326"/>
    </row>
    <row r="1327" spans="18:37" ht="14">
      <c r="R1327" s="14">
        <v>10502</v>
      </c>
      <c r="S1327" s="14" t="s">
        <v>253</v>
      </c>
      <c r="T1327" s="12" t="s">
        <v>145</v>
      </c>
      <c r="U1327" s="15" t="str">
        <f t="shared" si="32"/>
        <v>Mcafee Sales &amp; Retention - Chn - SUP</v>
      </c>
      <c r="V1327" s="12" t="s">
        <v>126</v>
      </c>
      <c r="W1327" s="12" t="s">
        <v>360</v>
      </c>
      <c r="X1327" s="12" t="s">
        <v>361</v>
      </c>
      <c r="Y1327" s="12" t="s">
        <v>1038</v>
      </c>
      <c r="AA1327" s="12"/>
      <c r="AB1327" s="33"/>
      <c r="AC1327" s="34"/>
      <c r="AD1327" s="15"/>
      <c r="AE1327" s="14"/>
      <c r="AF1327" s="12"/>
      <c r="AG1327" s="12"/>
      <c r="AH1327" s="12"/>
      <c r="AJ1327"/>
      <c r="AK1327"/>
    </row>
    <row r="1328" spans="18:37" ht="14">
      <c r="R1328" s="14">
        <v>10502</v>
      </c>
      <c r="S1328" s="14" t="s">
        <v>253</v>
      </c>
      <c r="T1328" s="12" t="s">
        <v>196</v>
      </c>
      <c r="U1328" s="15" t="str">
        <f t="shared" si="32"/>
        <v>Mcafee Sales &amp; Retention - Chn - SUT</v>
      </c>
      <c r="V1328" s="12" t="s">
        <v>126</v>
      </c>
      <c r="W1328" s="12" t="s">
        <v>360</v>
      </c>
      <c r="X1328" s="12" t="s">
        <v>361</v>
      </c>
      <c r="Y1328" s="12" t="s">
        <v>1038</v>
      </c>
      <c r="AA1328" s="12"/>
      <c r="AB1328" s="33"/>
      <c r="AC1328" s="34"/>
      <c r="AD1328" s="15"/>
      <c r="AE1328" s="14"/>
      <c r="AF1328" s="12"/>
      <c r="AG1328" s="12"/>
      <c r="AH1328" s="12"/>
      <c r="AJ1328"/>
      <c r="AK1328"/>
    </row>
    <row r="1329" spans="18:37" ht="14">
      <c r="R1329" s="14">
        <v>10502</v>
      </c>
      <c r="S1329" s="14" t="s">
        <v>253</v>
      </c>
      <c r="T1329" s="12" t="s">
        <v>198</v>
      </c>
      <c r="U1329" s="15" t="str">
        <f t="shared" si="32"/>
        <v>Mcafee Sales &amp; Retention - Chn - TEC</v>
      </c>
      <c r="V1329" s="12" t="s">
        <v>126</v>
      </c>
      <c r="W1329" s="12" t="s">
        <v>360</v>
      </c>
      <c r="X1329" s="12" t="s">
        <v>361</v>
      </c>
      <c r="Y1329" s="12" t="s">
        <v>1038</v>
      </c>
      <c r="AA1329" s="12"/>
      <c r="AB1329" s="33"/>
      <c r="AC1329" s="34"/>
      <c r="AD1329" s="15"/>
      <c r="AE1329" s="14"/>
      <c r="AF1329" s="12"/>
      <c r="AG1329" s="12"/>
      <c r="AH1329" s="12"/>
      <c r="AJ1329"/>
      <c r="AK1329"/>
    </row>
    <row r="1330" spans="18:37" ht="14">
      <c r="R1330" s="14">
        <v>10502</v>
      </c>
      <c r="S1330" s="14" t="s">
        <v>253</v>
      </c>
      <c r="T1330" s="12" t="s">
        <v>180</v>
      </c>
      <c r="U1330" s="15" t="str">
        <f t="shared" si="32"/>
        <v>Mcafee Sales &amp; Retention - Chn - TMG</v>
      </c>
      <c r="V1330" s="12" t="s">
        <v>126</v>
      </c>
      <c r="W1330" s="12" t="s">
        <v>360</v>
      </c>
      <c r="X1330" s="12" t="s">
        <v>361</v>
      </c>
      <c r="Y1330" s="12" t="s">
        <v>1038</v>
      </c>
      <c r="AA1330" s="12"/>
      <c r="AB1330" s="33"/>
      <c r="AC1330" s="34"/>
      <c r="AD1330" s="15"/>
      <c r="AE1330" s="14"/>
      <c r="AF1330" s="12"/>
      <c r="AG1330" s="12"/>
      <c r="AH1330" s="12"/>
      <c r="AJ1330"/>
      <c r="AK1330"/>
    </row>
    <row r="1331" spans="18:37" ht="14">
      <c r="R1331" s="14">
        <v>10502</v>
      </c>
      <c r="S1331" s="14" t="s">
        <v>253</v>
      </c>
      <c r="T1331" s="12" t="s">
        <v>203</v>
      </c>
      <c r="U1331" s="15" t="str">
        <f t="shared" si="32"/>
        <v>Mcafee Sales &amp; Retention - Chn - TRG</v>
      </c>
      <c r="V1331" s="12" t="s">
        <v>112</v>
      </c>
      <c r="W1331" s="12" t="s">
        <v>204</v>
      </c>
      <c r="X1331" s="12" t="s">
        <v>205</v>
      </c>
      <c r="Y1331" s="12" t="s">
        <v>1038</v>
      </c>
      <c r="AA1331" s="12"/>
      <c r="AB1331" s="33"/>
      <c r="AC1331" s="34"/>
      <c r="AD1331" s="15"/>
      <c r="AE1331" s="14"/>
      <c r="AF1331" s="12"/>
      <c r="AG1331" s="12"/>
      <c r="AH1331" s="12"/>
      <c r="AJ1331"/>
      <c r="AK1331"/>
    </row>
    <row r="1332" spans="18:37" ht="14">
      <c r="R1332" s="14">
        <v>10502</v>
      </c>
      <c r="S1332" s="14" t="s">
        <v>253</v>
      </c>
      <c r="T1332" s="12" t="s">
        <v>208</v>
      </c>
      <c r="U1332" s="15" t="str">
        <f t="shared" si="32"/>
        <v>Mcafee Sales &amp; Retention - Chn - TTR</v>
      </c>
      <c r="V1332" s="12" t="s">
        <v>112</v>
      </c>
      <c r="W1332" s="12" t="s">
        <v>204</v>
      </c>
      <c r="X1332" s="12" t="s">
        <v>205</v>
      </c>
      <c r="Y1332" s="12" t="s">
        <v>1038</v>
      </c>
      <c r="AA1332" s="12"/>
      <c r="AB1332" s="33"/>
      <c r="AC1332" s="34"/>
      <c r="AD1332" s="15"/>
      <c r="AE1332" s="14"/>
      <c r="AF1332" s="12"/>
      <c r="AG1332" s="12"/>
      <c r="AH1332" s="12"/>
      <c r="AJ1332"/>
      <c r="AK1332"/>
    </row>
    <row r="1333" spans="18:37" ht="14">
      <c r="R1333" s="14">
        <v>10933</v>
      </c>
      <c r="S1333" s="14" t="s">
        <v>478</v>
      </c>
      <c r="T1333" s="12" t="s">
        <v>133</v>
      </c>
      <c r="U1333" s="15" t="str">
        <f t="shared" si="32"/>
        <v>McAfee Smartleap TS - AMG</v>
      </c>
      <c r="V1333" s="12" t="s">
        <v>126</v>
      </c>
      <c r="W1333" s="12" t="s">
        <v>360</v>
      </c>
      <c r="X1333" s="12" t="s">
        <v>361</v>
      </c>
      <c r="Y1333" s="12" t="s">
        <v>1038</v>
      </c>
      <c r="AA1333" s="12"/>
      <c r="AB1333" s="33"/>
      <c r="AC1333" s="34"/>
      <c r="AD1333" s="15"/>
      <c r="AE1333" s="14"/>
      <c r="AF1333" s="12"/>
      <c r="AG1333" s="12"/>
      <c r="AH1333" s="12"/>
      <c r="AJ1333"/>
      <c r="AK1333"/>
    </row>
    <row r="1334" spans="18:37" ht="14">
      <c r="R1334" s="14">
        <v>10933</v>
      </c>
      <c r="S1334" s="14" t="s">
        <v>478</v>
      </c>
      <c r="T1334" s="12" t="s">
        <v>398</v>
      </c>
      <c r="U1334" s="15" t="str">
        <f t="shared" si="32"/>
        <v>McAfee Smartleap TS - CBK</v>
      </c>
      <c r="V1334" s="12" t="s">
        <v>126</v>
      </c>
      <c r="W1334" s="12" t="s">
        <v>360</v>
      </c>
      <c r="X1334" s="12" t="s">
        <v>361</v>
      </c>
      <c r="Y1334" s="12" t="s">
        <v>1038</v>
      </c>
      <c r="AA1334" s="12"/>
      <c r="AB1334" s="33"/>
      <c r="AC1334" s="34"/>
      <c r="AD1334" s="15"/>
      <c r="AE1334" s="14"/>
      <c r="AF1334" s="12"/>
      <c r="AG1334" s="12"/>
      <c r="AH1334" s="12"/>
      <c r="AJ1334"/>
      <c r="AK1334"/>
    </row>
    <row r="1335" spans="18:37" ht="14">
      <c r="R1335" s="14">
        <v>10933</v>
      </c>
      <c r="S1335" s="14" t="s">
        <v>478</v>
      </c>
      <c r="T1335" s="12" t="s">
        <v>150</v>
      </c>
      <c r="U1335" s="15" t="str">
        <f t="shared" si="32"/>
        <v>McAfee Smartleap TS - CCS</v>
      </c>
      <c r="V1335" s="12" t="s">
        <v>126</v>
      </c>
      <c r="W1335" s="12" t="s">
        <v>360</v>
      </c>
      <c r="X1335" s="12" t="s">
        <v>361</v>
      </c>
      <c r="Y1335" s="12" t="s">
        <v>1038</v>
      </c>
      <c r="AA1335" s="12"/>
      <c r="AB1335" s="33"/>
      <c r="AC1335" s="34"/>
      <c r="AD1335" s="15"/>
      <c r="AE1335" s="14"/>
      <c r="AF1335" s="12"/>
      <c r="AG1335" s="12"/>
      <c r="AH1335" s="12"/>
      <c r="AJ1335"/>
      <c r="AK1335"/>
    </row>
    <row r="1336" spans="18:37" ht="14">
      <c r="R1336" s="14">
        <v>10933</v>
      </c>
      <c r="S1336" s="14" t="s">
        <v>478</v>
      </c>
      <c r="T1336" s="12" t="s">
        <v>161</v>
      </c>
      <c r="U1336" s="15" t="str">
        <f t="shared" si="32"/>
        <v>McAfee Smartleap TS - ECC</v>
      </c>
      <c r="V1336" s="12" t="s">
        <v>126</v>
      </c>
      <c r="W1336" s="12" t="s">
        <v>360</v>
      </c>
      <c r="X1336" s="12" t="s">
        <v>361</v>
      </c>
      <c r="Y1336" s="12" t="s">
        <v>1038</v>
      </c>
      <c r="AA1336" s="12"/>
      <c r="AB1336" s="33"/>
      <c r="AC1336" s="34"/>
      <c r="AD1336" s="15"/>
      <c r="AE1336" s="14"/>
      <c r="AF1336" s="12"/>
      <c r="AG1336" s="12"/>
      <c r="AH1336" s="12"/>
      <c r="AJ1336"/>
      <c r="AK1336"/>
    </row>
    <row r="1337" spans="18:37" ht="14">
      <c r="R1337" s="14">
        <v>10933</v>
      </c>
      <c r="S1337" s="14" t="s">
        <v>478</v>
      </c>
      <c r="T1337" s="12" t="s">
        <v>168</v>
      </c>
      <c r="U1337" s="15" t="str">
        <f t="shared" si="32"/>
        <v>McAfee Smartleap TS - ESC</v>
      </c>
      <c r="V1337" s="12" t="s">
        <v>126</v>
      </c>
      <c r="W1337" s="12" t="s">
        <v>360</v>
      </c>
      <c r="X1337" s="12" t="s">
        <v>361</v>
      </c>
      <c r="Y1337" s="12" t="s">
        <v>1038</v>
      </c>
      <c r="AA1337" s="12"/>
      <c r="AB1337" s="33"/>
      <c r="AC1337" s="34"/>
      <c r="AD1337" s="15"/>
      <c r="AE1337" s="14"/>
      <c r="AF1337" s="12"/>
      <c r="AG1337" s="12"/>
      <c r="AH1337" s="12"/>
      <c r="AJ1337"/>
      <c r="AK1337"/>
    </row>
    <row r="1338" spans="18:37" ht="14">
      <c r="R1338" s="14">
        <v>10933</v>
      </c>
      <c r="S1338" s="14" t="s">
        <v>478</v>
      </c>
      <c r="T1338" s="12" t="s">
        <v>171</v>
      </c>
      <c r="U1338" s="15" t="str">
        <f t="shared" si="32"/>
        <v>McAfee Smartleap TS - ETE</v>
      </c>
      <c r="V1338" s="12" t="s">
        <v>126</v>
      </c>
      <c r="W1338" s="12" t="s">
        <v>360</v>
      </c>
      <c r="X1338" s="12" t="s">
        <v>361</v>
      </c>
      <c r="Y1338" s="12" t="s">
        <v>1038</v>
      </c>
      <c r="AJ1338"/>
      <c r="AK1338"/>
    </row>
    <row r="1339" spans="18:37" ht="14">
      <c r="R1339" s="14">
        <v>10933</v>
      </c>
      <c r="S1339" s="14" t="s">
        <v>478</v>
      </c>
      <c r="T1339" s="12" t="s">
        <v>250</v>
      </c>
      <c r="U1339" s="15" t="str">
        <f t="shared" si="32"/>
        <v>McAfee Smartleap TS - LED</v>
      </c>
      <c r="V1339" s="12" t="s">
        <v>126</v>
      </c>
      <c r="W1339" s="12" t="s">
        <v>360</v>
      </c>
      <c r="X1339" s="12" t="s">
        <v>361</v>
      </c>
      <c r="Y1339" s="12" t="s">
        <v>1038</v>
      </c>
      <c r="AJ1339"/>
      <c r="AK1339"/>
    </row>
    <row r="1340" spans="18:37" ht="14">
      <c r="R1340" s="14">
        <v>10933</v>
      </c>
      <c r="S1340" s="14" t="s">
        <v>478</v>
      </c>
      <c r="T1340" s="12" t="s">
        <v>177</v>
      </c>
      <c r="U1340" s="15" t="str">
        <f t="shared" si="32"/>
        <v>McAfee Smartleap TS - OPS</v>
      </c>
      <c r="V1340" s="12" t="s">
        <v>126</v>
      </c>
      <c r="W1340" s="12" t="s">
        <v>360</v>
      </c>
      <c r="X1340" s="12" t="s">
        <v>361</v>
      </c>
      <c r="Y1340" s="12" t="s">
        <v>1038</v>
      </c>
      <c r="AJ1340"/>
      <c r="AK1340"/>
    </row>
    <row r="1341" spans="18:37" ht="14">
      <c r="R1341" s="14">
        <v>10933</v>
      </c>
      <c r="S1341" s="14" t="s">
        <v>478</v>
      </c>
      <c r="T1341" s="12" t="s">
        <v>111</v>
      </c>
      <c r="U1341" s="15" t="str">
        <f t="shared" si="32"/>
        <v>McAfee Smartleap TS - QLY</v>
      </c>
      <c r="V1341" s="12" t="s">
        <v>112</v>
      </c>
      <c r="W1341" s="12" t="s">
        <v>113</v>
      </c>
      <c r="X1341" s="12" t="s">
        <v>114</v>
      </c>
      <c r="Y1341" s="12" t="s">
        <v>1038</v>
      </c>
      <c r="AJ1341"/>
      <c r="AK1341"/>
    </row>
    <row r="1342" spans="18:37" ht="14">
      <c r="R1342" s="14">
        <v>10933</v>
      </c>
      <c r="S1342" s="14" t="s">
        <v>478</v>
      </c>
      <c r="T1342" s="12" t="s">
        <v>510</v>
      </c>
      <c r="U1342" s="15" t="str">
        <f t="shared" si="32"/>
        <v>McAfee Smartleap TS - RST</v>
      </c>
      <c r="V1342" s="12" t="s">
        <v>126</v>
      </c>
      <c r="W1342" s="12" t="s">
        <v>360</v>
      </c>
      <c r="X1342" s="12" t="s">
        <v>361</v>
      </c>
      <c r="Y1342" s="12" t="s">
        <v>1038</v>
      </c>
      <c r="AJ1342"/>
      <c r="AK1342"/>
    </row>
    <row r="1343" spans="18:37" ht="14">
      <c r="R1343" s="14">
        <v>10933</v>
      </c>
      <c r="S1343" s="14" t="s">
        <v>478</v>
      </c>
      <c r="T1343" s="12" t="s">
        <v>451</v>
      </c>
      <c r="U1343" s="15" t="str">
        <f t="shared" si="32"/>
        <v>McAfee Smartleap TS - SLS</v>
      </c>
      <c r="V1343" s="12" t="s">
        <v>126</v>
      </c>
      <c r="W1343" s="12" t="s">
        <v>360</v>
      </c>
      <c r="X1343" s="12" t="s">
        <v>361</v>
      </c>
      <c r="Y1343" s="12" t="s">
        <v>1038</v>
      </c>
      <c r="AJ1343"/>
      <c r="AK1343"/>
    </row>
    <row r="1344" spans="18:37" ht="14">
      <c r="R1344" s="14">
        <v>10933</v>
      </c>
      <c r="S1344" s="14" t="s">
        <v>478</v>
      </c>
      <c r="T1344" s="12" t="s">
        <v>172</v>
      </c>
      <c r="U1344" s="15" t="str">
        <f t="shared" si="32"/>
        <v>McAfee Smartleap TS - SME</v>
      </c>
      <c r="V1344" s="12" t="s">
        <v>126</v>
      </c>
      <c r="W1344" s="12" t="s">
        <v>360</v>
      </c>
      <c r="X1344" s="12" t="s">
        <v>361</v>
      </c>
      <c r="Y1344" s="12" t="s">
        <v>1038</v>
      </c>
      <c r="AJ1344"/>
      <c r="AK1344"/>
    </row>
    <row r="1345" spans="18:37" ht="14">
      <c r="R1345" s="14">
        <v>10933</v>
      </c>
      <c r="S1345" s="14" t="s">
        <v>478</v>
      </c>
      <c r="T1345" s="12" t="s">
        <v>119</v>
      </c>
      <c r="U1345" s="15" t="str">
        <f t="shared" si="32"/>
        <v>McAfee Smartleap TS - SQM</v>
      </c>
      <c r="V1345" s="12" t="s">
        <v>112</v>
      </c>
      <c r="W1345" s="12" t="s">
        <v>113</v>
      </c>
      <c r="X1345" s="12" t="s">
        <v>114</v>
      </c>
      <c r="Y1345" s="12" t="s">
        <v>1038</v>
      </c>
      <c r="AJ1345"/>
      <c r="AK1345"/>
    </row>
    <row r="1346" spans="18:37" ht="14">
      <c r="R1346" s="14">
        <v>10933</v>
      </c>
      <c r="S1346" s="14" t="s">
        <v>478</v>
      </c>
      <c r="T1346" s="12" t="s">
        <v>145</v>
      </c>
      <c r="U1346" s="15" t="str">
        <f t="shared" si="32"/>
        <v>McAfee Smartleap TS - SUP</v>
      </c>
      <c r="V1346" s="12" t="s">
        <v>126</v>
      </c>
      <c r="W1346" s="12" t="s">
        <v>360</v>
      </c>
      <c r="X1346" s="12" t="s">
        <v>361</v>
      </c>
      <c r="Y1346" s="12" t="s">
        <v>1038</v>
      </c>
      <c r="AJ1346"/>
      <c r="AK1346"/>
    </row>
    <row r="1347" spans="18:37" ht="14">
      <c r="R1347" s="14">
        <v>10933</v>
      </c>
      <c r="S1347" s="14" t="s">
        <v>478</v>
      </c>
      <c r="T1347" s="12" t="s">
        <v>196</v>
      </c>
      <c r="U1347" s="15" t="str">
        <f t="shared" ref="U1347:U1410" si="33">S1347&amp;" - "&amp;T1347</f>
        <v>McAfee Smartleap TS - SUT</v>
      </c>
      <c r="V1347" s="12" t="s">
        <v>126</v>
      </c>
      <c r="W1347" s="12" t="s">
        <v>360</v>
      </c>
      <c r="X1347" s="12" t="s">
        <v>361</v>
      </c>
      <c r="Y1347" s="12" t="s">
        <v>1038</v>
      </c>
      <c r="AJ1347"/>
      <c r="AK1347"/>
    </row>
    <row r="1348" spans="18:37" ht="14">
      <c r="R1348" s="14">
        <v>10933</v>
      </c>
      <c r="S1348" s="14" t="s">
        <v>478</v>
      </c>
      <c r="T1348" s="12" t="s">
        <v>198</v>
      </c>
      <c r="U1348" s="15" t="str">
        <f t="shared" si="33"/>
        <v>McAfee Smartleap TS - TEC</v>
      </c>
      <c r="V1348" s="12" t="s">
        <v>126</v>
      </c>
      <c r="W1348" s="12" t="s">
        <v>360</v>
      </c>
      <c r="X1348" s="12" t="s">
        <v>361</v>
      </c>
      <c r="Y1348" s="12" t="s">
        <v>1038</v>
      </c>
      <c r="AJ1348"/>
      <c r="AK1348"/>
    </row>
    <row r="1349" spans="18:37" ht="14">
      <c r="R1349" s="14">
        <v>10933</v>
      </c>
      <c r="S1349" s="14" t="s">
        <v>478</v>
      </c>
      <c r="T1349" s="12" t="s">
        <v>180</v>
      </c>
      <c r="U1349" s="15" t="str">
        <f t="shared" si="33"/>
        <v>McAfee Smartleap TS - TMG</v>
      </c>
      <c r="V1349" s="12" t="s">
        <v>126</v>
      </c>
      <c r="W1349" s="12" t="s">
        <v>360</v>
      </c>
      <c r="X1349" s="12" t="s">
        <v>361</v>
      </c>
      <c r="Y1349" s="12" t="s">
        <v>1038</v>
      </c>
      <c r="AJ1349"/>
      <c r="AK1349"/>
    </row>
    <row r="1350" spans="18:37" ht="14">
      <c r="R1350" s="14">
        <v>10933</v>
      </c>
      <c r="S1350" s="14" t="s">
        <v>478</v>
      </c>
      <c r="T1350" s="12" t="s">
        <v>203</v>
      </c>
      <c r="U1350" s="15" t="str">
        <f t="shared" si="33"/>
        <v>McAfee Smartleap TS - TRG</v>
      </c>
      <c r="V1350" s="12" t="s">
        <v>112</v>
      </c>
      <c r="W1350" s="12" t="s">
        <v>204</v>
      </c>
      <c r="X1350" s="12" t="s">
        <v>205</v>
      </c>
      <c r="Y1350" s="12" t="s">
        <v>1038</v>
      </c>
      <c r="AJ1350"/>
      <c r="AK1350"/>
    </row>
    <row r="1351" spans="18:37" ht="14">
      <c r="R1351" s="14">
        <v>10933</v>
      </c>
      <c r="S1351" s="14" t="s">
        <v>478</v>
      </c>
      <c r="T1351" s="12" t="s">
        <v>208</v>
      </c>
      <c r="U1351" s="15" t="str">
        <f t="shared" si="33"/>
        <v>McAfee Smartleap TS - TTR</v>
      </c>
      <c r="V1351" s="12" t="s">
        <v>112</v>
      </c>
      <c r="W1351" s="12" t="s">
        <v>204</v>
      </c>
      <c r="X1351" s="12" t="s">
        <v>205</v>
      </c>
      <c r="Y1351" s="12" t="s">
        <v>1038</v>
      </c>
      <c r="AJ1351"/>
      <c r="AK1351"/>
    </row>
    <row r="1352" spans="18:37" ht="14">
      <c r="R1352" s="14">
        <v>10200</v>
      </c>
      <c r="S1352" s="14" t="s">
        <v>233</v>
      </c>
      <c r="T1352" s="12" t="s">
        <v>133</v>
      </c>
      <c r="U1352" s="15" t="str">
        <f t="shared" si="33"/>
        <v>Mcafee TS Non Voice – NA - AMG</v>
      </c>
      <c r="V1352" s="12" t="s">
        <v>126</v>
      </c>
      <c r="W1352" s="12" t="s">
        <v>360</v>
      </c>
      <c r="X1352" s="12" t="s">
        <v>361</v>
      </c>
      <c r="Y1352" s="12" t="s">
        <v>1038</v>
      </c>
      <c r="AJ1352"/>
      <c r="AK1352"/>
    </row>
    <row r="1353" spans="18:37" ht="14">
      <c r="R1353" s="14">
        <v>10200</v>
      </c>
      <c r="S1353" s="14" t="s">
        <v>233</v>
      </c>
      <c r="T1353" s="12" t="s">
        <v>398</v>
      </c>
      <c r="U1353" s="15" t="str">
        <f t="shared" si="33"/>
        <v>Mcafee TS Non Voice – NA - CBK</v>
      </c>
      <c r="V1353" s="12" t="s">
        <v>126</v>
      </c>
      <c r="W1353" s="12" t="s">
        <v>360</v>
      </c>
      <c r="X1353" s="12" t="s">
        <v>361</v>
      </c>
      <c r="Y1353" s="12" t="s">
        <v>1038</v>
      </c>
      <c r="AJ1353"/>
      <c r="AK1353"/>
    </row>
    <row r="1354" spans="18:37" ht="14">
      <c r="R1354" s="14">
        <v>10200</v>
      </c>
      <c r="S1354" s="14" t="s">
        <v>233</v>
      </c>
      <c r="T1354" s="12" t="s">
        <v>144</v>
      </c>
      <c r="U1354" s="15" t="str">
        <f t="shared" si="33"/>
        <v>Mcafee TS Non Voice – NA - CCOD</v>
      </c>
      <c r="V1354" s="12" t="s">
        <v>126</v>
      </c>
      <c r="W1354" s="12" t="s">
        <v>360</v>
      </c>
      <c r="X1354" s="12" t="s">
        <v>361</v>
      </c>
      <c r="Y1354" s="12" t="s">
        <v>1038</v>
      </c>
      <c r="AJ1354"/>
      <c r="AK1354"/>
    </row>
    <row r="1355" spans="18:37" ht="14">
      <c r="R1355" s="14">
        <v>10200</v>
      </c>
      <c r="S1355" s="14" t="s">
        <v>233</v>
      </c>
      <c r="T1355" s="12" t="s">
        <v>171</v>
      </c>
      <c r="U1355" s="15" t="str">
        <f t="shared" si="33"/>
        <v>Mcafee TS Non Voice – NA - ETE</v>
      </c>
      <c r="V1355" s="12" t="s">
        <v>126</v>
      </c>
      <c r="W1355" s="12" t="s">
        <v>360</v>
      </c>
      <c r="X1355" s="12" t="s">
        <v>361</v>
      </c>
      <c r="Y1355" s="12" t="s">
        <v>1038</v>
      </c>
      <c r="AJ1355"/>
      <c r="AK1355"/>
    </row>
    <row r="1356" spans="18:37" ht="14">
      <c r="R1356" s="14">
        <v>10200</v>
      </c>
      <c r="S1356" s="14" t="s">
        <v>233</v>
      </c>
      <c r="T1356" s="12" t="s">
        <v>172</v>
      </c>
      <c r="U1356" s="15" t="str">
        <f t="shared" si="33"/>
        <v>Mcafee TS Non Voice – NA - SME</v>
      </c>
      <c r="V1356" s="12" t="s">
        <v>126</v>
      </c>
      <c r="W1356" s="12" t="s">
        <v>360</v>
      </c>
      <c r="X1356" s="12" t="s">
        <v>361</v>
      </c>
      <c r="Y1356" s="12" t="s">
        <v>1038</v>
      </c>
      <c r="AJ1356"/>
      <c r="AK1356"/>
    </row>
    <row r="1357" spans="18:37" ht="14">
      <c r="R1357" s="14">
        <v>10200</v>
      </c>
      <c r="S1357" s="14" t="s">
        <v>233</v>
      </c>
      <c r="T1357" s="12" t="s">
        <v>119</v>
      </c>
      <c r="U1357" s="15" t="str">
        <f t="shared" si="33"/>
        <v>Mcafee TS Non Voice – NA - SQM</v>
      </c>
      <c r="V1357" s="12" t="s">
        <v>112</v>
      </c>
      <c r="W1357" s="12" t="s">
        <v>113</v>
      </c>
      <c r="X1357" s="12" t="s">
        <v>114</v>
      </c>
      <c r="Y1357" s="12" t="s">
        <v>1038</v>
      </c>
      <c r="AJ1357"/>
      <c r="AK1357"/>
    </row>
    <row r="1358" spans="18:37" ht="14">
      <c r="R1358" s="14">
        <v>10200</v>
      </c>
      <c r="S1358" s="14" t="s">
        <v>233</v>
      </c>
      <c r="T1358" s="12" t="s">
        <v>196</v>
      </c>
      <c r="U1358" s="15" t="str">
        <f t="shared" si="33"/>
        <v>Mcafee TS Non Voice – NA - SUT</v>
      </c>
      <c r="V1358" s="12" t="s">
        <v>126</v>
      </c>
      <c r="W1358" s="12" t="s">
        <v>360</v>
      </c>
      <c r="X1358" s="12" t="s">
        <v>361</v>
      </c>
      <c r="Y1358" s="12" t="s">
        <v>1038</v>
      </c>
      <c r="AJ1358"/>
      <c r="AK1358"/>
    </row>
    <row r="1359" spans="18:37" ht="14">
      <c r="R1359" s="14">
        <v>10200</v>
      </c>
      <c r="S1359" s="14" t="s">
        <v>233</v>
      </c>
      <c r="T1359" s="12" t="s">
        <v>198</v>
      </c>
      <c r="U1359" s="15" t="str">
        <f t="shared" si="33"/>
        <v>Mcafee TS Non Voice – NA - TEC</v>
      </c>
      <c r="V1359" s="12" t="s">
        <v>126</v>
      </c>
      <c r="W1359" s="12" t="s">
        <v>360</v>
      </c>
      <c r="X1359" s="12" t="s">
        <v>361</v>
      </c>
      <c r="Y1359" s="12" t="s">
        <v>1038</v>
      </c>
      <c r="AJ1359"/>
      <c r="AK1359"/>
    </row>
    <row r="1360" spans="18:37" ht="14">
      <c r="R1360" s="14">
        <v>10200</v>
      </c>
      <c r="S1360" s="14" t="s">
        <v>233</v>
      </c>
      <c r="T1360" s="12" t="s">
        <v>180</v>
      </c>
      <c r="U1360" s="15" t="str">
        <f t="shared" si="33"/>
        <v>Mcafee TS Non Voice – NA - TMG</v>
      </c>
      <c r="V1360" s="12" t="s">
        <v>126</v>
      </c>
      <c r="W1360" s="12" t="s">
        <v>360</v>
      </c>
      <c r="X1360" s="12" t="s">
        <v>361</v>
      </c>
      <c r="Y1360" s="12" t="s">
        <v>1038</v>
      </c>
      <c r="AJ1360"/>
      <c r="AK1360"/>
    </row>
    <row r="1361" spans="18:37" ht="14">
      <c r="R1361" s="14">
        <v>10200</v>
      </c>
      <c r="S1361" s="14" t="s">
        <v>233</v>
      </c>
      <c r="T1361" s="12" t="s">
        <v>185</v>
      </c>
      <c r="U1361" s="15" t="str">
        <f t="shared" si="33"/>
        <v>Mcafee TS Non Voice – NA - TPS</v>
      </c>
      <c r="V1361" s="12" t="s">
        <v>126</v>
      </c>
      <c r="W1361" s="12" t="s">
        <v>360</v>
      </c>
      <c r="X1361" s="12" t="s">
        <v>361</v>
      </c>
      <c r="Y1361" s="12" t="s">
        <v>1038</v>
      </c>
      <c r="AJ1361"/>
      <c r="AK1361"/>
    </row>
    <row r="1362" spans="18:37" ht="14">
      <c r="R1362" s="14">
        <v>10200</v>
      </c>
      <c r="S1362" s="14" t="s">
        <v>233</v>
      </c>
      <c r="T1362" s="12" t="s">
        <v>203</v>
      </c>
      <c r="U1362" s="15" t="str">
        <f t="shared" si="33"/>
        <v>Mcafee TS Non Voice – NA - TRG</v>
      </c>
      <c r="V1362" s="12" t="s">
        <v>112</v>
      </c>
      <c r="W1362" s="12" t="s">
        <v>204</v>
      </c>
      <c r="X1362" s="12" t="s">
        <v>205</v>
      </c>
      <c r="Y1362" s="12" t="s">
        <v>1038</v>
      </c>
      <c r="AJ1362"/>
      <c r="AK1362"/>
    </row>
    <row r="1363" spans="18:37" ht="14">
      <c r="R1363" s="14">
        <v>10200</v>
      </c>
      <c r="S1363" s="14" t="s">
        <v>233</v>
      </c>
      <c r="T1363" s="12" t="s">
        <v>208</v>
      </c>
      <c r="U1363" s="15" t="str">
        <f t="shared" si="33"/>
        <v>Mcafee TS Non Voice – NA - TTR</v>
      </c>
      <c r="V1363" s="12" t="s">
        <v>112</v>
      </c>
      <c r="W1363" s="12" t="s">
        <v>204</v>
      </c>
      <c r="X1363" s="12" t="s">
        <v>205</v>
      </c>
      <c r="Y1363" s="12" t="s">
        <v>1038</v>
      </c>
      <c r="AJ1363"/>
      <c r="AK1363"/>
    </row>
    <row r="1364" spans="18:37" ht="14">
      <c r="R1364" s="14">
        <v>10211</v>
      </c>
      <c r="S1364" s="14" t="s">
        <v>234</v>
      </c>
      <c r="T1364" s="12" t="s">
        <v>133</v>
      </c>
      <c r="U1364" s="15" t="str">
        <f t="shared" si="33"/>
        <v>Mcafee TS Voice – NA - AMG</v>
      </c>
      <c r="V1364" s="12" t="s">
        <v>126</v>
      </c>
      <c r="W1364" s="12" t="s">
        <v>360</v>
      </c>
      <c r="X1364" s="12" t="s">
        <v>361</v>
      </c>
      <c r="Y1364" s="12" t="s">
        <v>1038</v>
      </c>
      <c r="AJ1364"/>
      <c r="AK1364"/>
    </row>
    <row r="1365" spans="18:37" ht="14">
      <c r="R1365" s="14">
        <v>10211</v>
      </c>
      <c r="S1365" s="14" t="s">
        <v>234</v>
      </c>
      <c r="T1365" s="12" t="s">
        <v>398</v>
      </c>
      <c r="U1365" s="15" t="str">
        <f t="shared" si="33"/>
        <v>Mcafee TS Voice – NA - CBK</v>
      </c>
      <c r="V1365" s="12" t="s">
        <v>126</v>
      </c>
      <c r="W1365" s="12" t="s">
        <v>360</v>
      </c>
      <c r="X1365" s="12" t="s">
        <v>361</v>
      </c>
      <c r="Y1365" s="12" t="s">
        <v>1038</v>
      </c>
      <c r="AJ1365"/>
      <c r="AK1365"/>
    </row>
    <row r="1366" spans="18:37" ht="14">
      <c r="R1366" s="14">
        <v>10211</v>
      </c>
      <c r="S1366" s="14" t="s">
        <v>234</v>
      </c>
      <c r="T1366" s="12" t="s">
        <v>144</v>
      </c>
      <c r="U1366" s="15" t="str">
        <f t="shared" si="33"/>
        <v>Mcafee TS Voice – NA - CCOD</v>
      </c>
      <c r="V1366" s="12" t="s">
        <v>126</v>
      </c>
      <c r="W1366" s="12" t="s">
        <v>360</v>
      </c>
      <c r="X1366" s="12" t="s">
        <v>361</v>
      </c>
      <c r="Y1366" s="12" t="s">
        <v>1038</v>
      </c>
      <c r="AJ1366"/>
      <c r="AK1366"/>
    </row>
    <row r="1367" spans="18:37" ht="14">
      <c r="R1367" s="14">
        <v>10211</v>
      </c>
      <c r="S1367" s="14" t="s">
        <v>234</v>
      </c>
      <c r="T1367" s="12" t="s">
        <v>150</v>
      </c>
      <c r="U1367" s="15" t="str">
        <f t="shared" si="33"/>
        <v>Mcafee TS Voice – NA - CCS</v>
      </c>
      <c r="V1367" s="12" t="s">
        <v>126</v>
      </c>
      <c r="W1367" s="12" t="s">
        <v>360</v>
      </c>
      <c r="X1367" s="12" t="s">
        <v>361</v>
      </c>
      <c r="Y1367" s="12" t="s">
        <v>1038</v>
      </c>
      <c r="AJ1367"/>
      <c r="AK1367"/>
    </row>
    <row r="1368" spans="18:37" ht="14">
      <c r="R1368" s="14">
        <v>10211</v>
      </c>
      <c r="S1368" s="14" t="s">
        <v>234</v>
      </c>
      <c r="T1368" s="12" t="s">
        <v>161</v>
      </c>
      <c r="U1368" s="15" t="str">
        <f t="shared" si="33"/>
        <v>Mcafee TS Voice – NA - ECC</v>
      </c>
      <c r="V1368" s="12" t="s">
        <v>126</v>
      </c>
      <c r="W1368" s="12" t="s">
        <v>360</v>
      </c>
      <c r="X1368" s="12" t="s">
        <v>361</v>
      </c>
      <c r="Y1368" s="12" t="s">
        <v>1038</v>
      </c>
      <c r="AJ1368"/>
      <c r="AK1368"/>
    </row>
    <row r="1369" spans="18:37" ht="14">
      <c r="R1369" s="14">
        <v>10211</v>
      </c>
      <c r="S1369" s="14" t="s">
        <v>234</v>
      </c>
      <c r="T1369" s="12" t="s">
        <v>171</v>
      </c>
      <c r="U1369" s="15" t="str">
        <f t="shared" si="33"/>
        <v>Mcafee TS Voice – NA - ETE</v>
      </c>
      <c r="V1369" s="12" t="s">
        <v>126</v>
      </c>
      <c r="W1369" s="12" t="s">
        <v>360</v>
      </c>
      <c r="X1369" s="12" t="s">
        <v>361</v>
      </c>
      <c r="Y1369" s="12" t="s">
        <v>1038</v>
      </c>
      <c r="AJ1369"/>
      <c r="AK1369"/>
    </row>
    <row r="1370" spans="18:37" ht="14">
      <c r="R1370" s="14">
        <v>10211</v>
      </c>
      <c r="S1370" s="14" t="s">
        <v>234</v>
      </c>
      <c r="T1370" s="12" t="s">
        <v>129</v>
      </c>
      <c r="U1370" s="15" t="str">
        <f t="shared" si="33"/>
        <v>Mcafee TS Voice – NA - MGT</v>
      </c>
      <c r="V1370" s="12" t="s">
        <v>126</v>
      </c>
      <c r="W1370" s="12" t="s">
        <v>360</v>
      </c>
      <c r="X1370" s="12" t="s">
        <v>361</v>
      </c>
      <c r="Y1370" s="12" t="s">
        <v>1038</v>
      </c>
      <c r="AJ1370"/>
      <c r="AK1370"/>
    </row>
    <row r="1371" spans="18:37" ht="14">
      <c r="R1371" s="14">
        <v>10211</v>
      </c>
      <c r="S1371" s="14" t="s">
        <v>234</v>
      </c>
      <c r="T1371" s="12" t="s">
        <v>116</v>
      </c>
      <c r="U1371" s="15" t="str">
        <f t="shared" si="33"/>
        <v>Mcafee TS Voice – NA - PRD</v>
      </c>
      <c r="V1371" s="12" t="s">
        <v>126</v>
      </c>
      <c r="W1371" s="12" t="s">
        <v>360</v>
      </c>
      <c r="X1371" s="12" t="s">
        <v>361</v>
      </c>
      <c r="Y1371" s="12" t="s">
        <v>1038</v>
      </c>
      <c r="AJ1371"/>
      <c r="AK1371"/>
    </row>
    <row r="1372" spans="18:37" ht="14">
      <c r="R1372" s="14">
        <v>10211</v>
      </c>
      <c r="S1372" s="14" t="s">
        <v>234</v>
      </c>
      <c r="T1372" s="12" t="s">
        <v>418</v>
      </c>
      <c r="U1372" s="15" t="str">
        <f t="shared" si="33"/>
        <v>Mcafee TS Voice – NA - QLC</v>
      </c>
      <c r="V1372" s="12" t="s">
        <v>112</v>
      </c>
      <c r="W1372" s="12" t="s">
        <v>113</v>
      </c>
      <c r="X1372" s="12" t="s">
        <v>114</v>
      </c>
      <c r="Y1372" s="12" t="s">
        <v>1038</v>
      </c>
      <c r="AJ1372"/>
      <c r="AK1372"/>
    </row>
    <row r="1373" spans="18:37" ht="14">
      <c r="R1373" s="14">
        <v>10211</v>
      </c>
      <c r="S1373" s="14" t="s">
        <v>234</v>
      </c>
      <c r="T1373" s="12" t="s">
        <v>111</v>
      </c>
      <c r="U1373" s="15" t="str">
        <f t="shared" si="33"/>
        <v>Mcafee TS Voice – NA - QLY</v>
      </c>
      <c r="V1373" s="12" t="s">
        <v>112</v>
      </c>
      <c r="W1373" s="12" t="s">
        <v>113</v>
      </c>
      <c r="X1373" s="12" t="s">
        <v>114</v>
      </c>
      <c r="Y1373" s="12" t="s">
        <v>1038</v>
      </c>
      <c r="AJ1373"/>
      <c r="AK1373"/>
    </row>
    <row r="1374" spans="18:37" ht="14">
      <c r="R1374" s="14">
        <v>10211</v>
      </c>
      <c r="S1374" s="14" t="s">
        <v>234</v>
      </c>
      <c r="T1374" s="12" t="s">
        <v>172</v>
      </c>
      <c r="U1374" s="15" t="str">
        <f t="shared" si="33"/>
        <v>Mcafee TS Voice – NA - SME</v>
      </c>
      <c r="V1374" s="12" t="s">
        <v>126</v>
      </c>
      <c r="W1374" s="12" t="s">
        <v>360</v>
      </c>
      <c r="X1374" s="12" t="s">
        <v>361</v>
      </c>
      <c r="Y1374" s="12" t="s">
        <v>1038</v>
      </c>
      <c r="AJ1374"/>
      <c r="AK1374"/>
    </row>
    <row r="1375" spans="18:37" ht="14">
      <c r="R1375" s="14">
        <v>10211</v>
      </c>
      <c r="S1375" s="14" t="s">
        <v>234</v>
      </c>
      <c r="T1375" s="12" t="s">
        <v>119</v>
      </c>
      <c r="U1375" s="15" t="str">
        <f t="shared" si="33"/>
        <v>Mcafee TS Voice – NA - SQM</v>
      </c>
      <c r="V1375" s="12" t="s">
        <v>112</v>
      </c>
      <c r="W1375" s="12" t="s">
        <v>113</v>
      </c>
      <c r="X1375" s="12" t="s">
        <v>114</v>
      </c>
      <c r="Y1375" s="12" t="s">
        <v>1038</v>
      </c>
      <c r="AJ1375"/>
      <c r="AK1375"/>
    </row>
    <row r="1376" spans="18:37" ht="14">
      <c r="R1376" s="14">
        <v>10211</v>
      </c>
      <c r="S1376" s="14" t="s">
        <v>234</v>
      </c>
      <c r="T1376" s="12" t="s">
        <v>145</v>
      </c>
      <c r="U1376" s="15" t="str">
        <f t="shared" si="33"/>
        <v>Mcafee TS Voice – NA - SUP</v>
      </c>
      <c r="V1376" s="12" t="s">
        <v>126</v>
      </c>
      <c r="W1376" s="12" t="s">
        <v>360</v>
      </c>
      <c r="X1376" s="12" t="s">
        <v>361</v>
      </c>
      <c r="Y1376" s="12" t="s">
        <v>1038</v>
      </c>
      <c r="AJ1376"/>
      <c r="AK1376"/>
    </row>
    <row r="1377" spans="18:37" ht="14">
      <c r="R1377" s="14">
        <v>10211</v>
      </c>
      <c r="S1377" s="14" t="s">
        <v>234</v>
      </c>
      <c r="T1377" s="12" t="s">
        <v>196</v>
      </c>
      <c r="U1377" s="15" t="str">
        <f t="shared" si="33"/>
        <v>Mcafee TS Voice – NA - SUT</v>
      </c>
      <c r="V1377" s="12" t="s">
        <v>126</v>
      </c>
      <c r="W1377" s="12" t="s">
        <v>360</v>
      </c>
      <c r="X1377" s="12" t="s">
        <v>361</v>
      </c>
      <c r="Y1377" s="12" t="s">
        <v>1038</v>
      </c>
      <c r="AJ1377"/>
      <c r="AK1377"/>
    </row>
    <row r="1378" spans="18:37" ht="14">
      <c r="R1378" s="14">
        <v>10211</v>
      </c>
      <c r="S1378" s="14" t="s">
        <v>234</v>
      </c>
      <c r="T1378" s="12" t="s">
        <v>198</v>
      </c>
      <c r="U1378" s="15" t="str">
        <f t="shared" si="33"/>
        <v>Mcafee TS Voice – NA - TEC</v>
      </c>
      <c r="V1378" s="12" t="s">
        <v>126</v>
      </c>
      <c r="W1378" s="12" t="s">
        <v>360</v>
      </c>
      <c r="X1378" s="12" t="s">
        <v>361</v>
      </c>
      <c r="Y1378" s="12" t="s">
        <v>1038</v>
      </c>
      <c r="AJ1378"/>
      <c r="AK1378"/>
    </row>
    <row r="1379" spans="18:37" ht="14">
      <c r="R1379" s="14">
        <v>10211</v>
      </c>
      <c r="S1379" s="14" t="s">
        <v>234</v>
      </c>
      <c r="T1379" s="12" t="s">
        <v>180</v>
      </c>
      <c r="U1379" s="15" t="str">
        <f t="shared" si="33"/>
        <v>Mcafee TS Voice – NA - TMG</v>
      </c>
      <c r="V1379" s="12" t="s">
        <v>126</v>
      </c>
      <c r="W1379" s="12" t="s">
        <v>360</v>
      </c>
      <c r="X1379" s="12" t="s">
        <v>361</v>
      </c>
      <c r="Y1379" s="12" t="s">
        <v>1038</v>
      </c>
      <c r="AJ1379"/>
      <c r="AK1379"/>
    </row>
    <row r="1380" spans="18:37" ht="14">
      <c r="R1380" s="14">
        <v>10211</v>
      </c>
      <c r="S1380" s="14" t="s">
        <v>234</v>
      </c>
      <c r="T1380" s="12" t="s">
        <v>203</v>
      </c>
      <c r="U1380" s="15" t="str">
        <f t="shared" si="33"/>
        <v>Mcafee TS Voice – NA - TRG</v>
      </c>
      <c r="V1380" s="12" t="s">
        <v>112</v>
      </c>
      <c r="W1380" s="12" t="s">
        <v>204</v>
      </c>
      <c r="X1380" s="12" t="s">
        <v>205</v>
      </c>
      <c r="Y1380" s="12" t="s">
        <v>1038</v>
      </c>
      <c r="AJ1380"/>
      <c r="AK1380"/>
    </row>
    <row r="1381" spans="18:37" ht="14">
      <c r="R1381" s="14">
        <v>10211</v>
      </c>
      <c r="S1381" s="14" t="s">
        <v>234</v>
      </c>
      <c r="T1381" s="12" t="s">
        <v>208</v>
      </c>
      <c r="U1381" s="15" t="str">
        <f t="shared" si="33"/>
        <v>Mcafee TS Voice – NA - TTR</v>
      </c>
      <c r="V1381" s="12" t="s">
        <v>112</v>
      </c>
      <c r="W1381" s="12" t="s">
        <v>204</v>
      </c>
      <c r="X1381" s="12" t="s">
        <v>205</v>
      </c>
      <c r="Y1381" s="12" t="s">
        <v>1038</v>
      </c>
      <c r="AJ1381"/>
      <c r="AK1381"/>
    </row>
    <row r="1382" spans="18:37" ht="14">
      <c r="R1382" s="14">
        <v>51600</v>
      </c>
      <c r="S1382" s="14" t="s">
        <v>1095</v>
      </c>
      <c r="T1382" s="12" t="s">
        <v>748</v>
      </c>
      <c r="U1382" s="15" t="str">
        <f t="shared" si="33"/>
        <v>McLane  Equinix DC Migration - SUPP</v>
      </c>
      <c r="V1382" s="12" t="s">
        <v>117</v>
      </c>
      <c r="W1382" s="12" t="s">
        <v>117</v>
      </c>
      <c r="X1382" s="12" t="s">
        <v>117</v>
      </c>
      <c r="Y1382" s="12" t="s">
        <v>1038</v>
      </c>
      <c r="AJ1382"/>
      <c r="AK1382"/>
    </row>
    <row r="1383" spans="18:37" ht="14">
      <c r="R1383" s="14">
        <v>51599</v>
      </c>
      <c r="S1383" s="14" t="s">
        <v>1094</v>
      </c>
      <c r="T1383" s="12" t="s">
        <v>748</v>
      </c>
      <c r="U1383" s="15" t="str">
        <f t="shared" si="33"/>
        <v>Mclane_Data Archival - SUPP</v>
      </c>
      <c r="V1383" s="12" t="s">
        <v>117</v>
      </c>
      <c r="W1383" s="12" t="s">
        <v>117</v>
      </c>
      <c r="X1383" s="12" t="s">
        <v>117</v>
      </c>
      <c r="Y1383" s="12" t="s">
        <v>1038</v>
      </c>
      <c r="AJ1383"/>
      <c r="AK1383"/>
    </row>
    <row r="1384" spans="18:37" ht="14">
      <c r="R1384" s="14">
        <v>51179</v>
      </c>
      <c r="S1384" s="14" t="s">
        <v>733</v>
      </c>
      <c r="T1384" s="12" t="s">
        <v>116</v>
      </c>
      <c r="U1384" s="15" t="str">
        <f t="shared" si="33"/>
        <v>McLane-2209-2211-APAutomation - PRD</v>
      </c>
      <c r="V1384" s="12" t="s">
        <v>104</v>
      </c>
      <c r="W1384" s="12" t="s">
        <v>117</v>
      </c>
      <c r="X1384" s="12" t="s">
        <v>117</v>
      </c>
      <c r="Y1384" s="12" t="s">
        <v>1038</v>
      </c>
      <c r="AJ1384"/>
      <c r="AK1384"/>
    </row>
    <row r="1385" spans="18:37" ht="14">
      <c r="R1385" s="14">
        <v>12307</v>
      </c>
      <c r="S1385" s="14" t="s">
        <v>528</v>
      </c>
      <c r="T1385" s="12" t="s">
        <v>177</v>
      </c>
      <c r="U1385" s="15" t="str">
        <f t="shared" si="33"/>
        <v>Mercy Health - Credit Balance - OPS</v>
      </c>
      <c r="V1385" s="12" t="s">
        <v>126</v>
      </c>
      <c r="W1385" s="12" t="s">
        <v>163</v>
      </c>
      <c r="X1385" s="12" t="s">
        <v>164</v>
      </c>
      <c r="Y1385" s="12" t="s">
        <v>1038</v>
      </c>
      <c r="AJ1385"/>
      <c r="AK1385"/>
    </row>
    <row r="1386" spans="18:37" ht="14">
      <c r="R1386" s="14">
        <v>12307</v>
      </c>
      <c r="S1386" s="14" t="s">
        <v>528</v>
      </c>
      <c r="T1386" s="12" t="s">
        <v>185</v>
      </c>
      <c r="U1386" s="15" t="str">
        <f t="shared" si="33"/>
        <v>Mercy Health - Credit Balance - TPS</v>
      </c>
      <c r="V1386" s="12" t="s">
        <v>126</v>
      </c>
      <c r="W1386" s="12" t="s">
        <v>163</v>
      </c>
      <c r="X1386" s="12" t="s">
        <v>164</v>
      </c>
      <c r="Y1386" s="12" t="s">
        <v>1038</v>
      </c>
      <c r="AJ1386"/>
      <c r="AK1386"/>
    </row>
    <row r="1387" spans="18:37" ht="14">
      <c r="R1387" s="14">
        <v>12305</v>
      </c>
      <c r="S1387" s="14" t="s">
        <v>526</v>
      </c>
      <c r="T1387" s="12" t="s">
        <v>116</v>
      </c>
      <c r="U1387" s="15" t="str">
        <f t="shared" si="33"/>
        <v>Mercy Health - PH AR - PRD</v>
      </c>
      <c r="V1387" s="12" t="s">
        <v>126</v>
      </c>
      <c r="W1387" s="12" t="s">
        <v>163</v>
      </c>
      <c r="X1387" s="12" t="s">
        <v>164</v>
      </c>
      <c r="Y1387" s="12" t="s">
        <v>1038</v>
      </c>
      <c r="AJ1387"/>
      <c r="AK1387"/>
    </row>
    <row r="1388" spans="18:37" ht="14">
      <c r="R1388" s="14">
        <v>12305</v>
      </c>
      <c r="S1388" s="14" t="s">
        <v>526</v>
      </c>
      <c r="T1388" s="12" t="s">
        <v>111</v>
      </c>
      <c r="U1388" s="15" t="str">
        <f t="shared" si="33"/>
        <v>Mercy Health - PH AR - QLY</v>
      </c>
      <c r="V1388" s="12" t="s">
        <v>112</v>
      </c>
      <c r="W1388" s="12" t="s">
        <v>113</v>
      </c>
      <c r="X1388" s="12" t="s">
        <v>114</v>
      </c>
      <c r="Y1388" s="12" t="s">
        <v>1038</v>
      </c>
      <c r="AJ1388"/>
      <c r="AK1388"/>
    </row>
    <row r="1389" spans="18:37" ht="14">
      <c r="R1389" s="14">
        <v>12305</v>
      </c>
      <c r="S1389" s="14" t="s">
        <v>526</v>
      </c>
      <c r="T1389" s="12" t="s">
        <v>145</v>
      </c>
      <c r="U1389" s="15" t="str">
        <f t="shared" si="33"/>
        <v>Mercy Health - PH AR - SUP</v>
      </c>
      <c r="V1389" s="12" t="s">
        <v>126</v>
      </c>
      <c r="W1389" s="12" t="s">
        <v>163</v>
      </c>
      <c r="X1389" s="12" t="s">
        <v>164</v>
      </c>
      <c r="Y1389" s="12" t="s">
        <v>1038</v>
      </c>
      <c r="AJ1389"/>
      <c r="AK1389"/>
    </row>
    <row r="1390" spans="18:37" ht="14">
      <c r="R1390" s="14">
        <v>12305</v>
      </c>
      <c r="S1390" s="14" t="s">
        <v>526</v>
      </c>
      <c r="T1390" s="12" t="s">
        <v>180</v>
      </c>
      <c r="U1390" s="15" t="str">
        <f t="shared" si="33"/>
        <v>Mercy Health - PH AR - TMG</v>
      </c>
      <c r="V1390" s="12" t="s">
        <v>126</v>
      </c>
      <c r="W1390" s="12" t="s">
        <v>163</v>
      </c>
      <c r="X1390" s="12" t="s">
        <v>164</v>
      </c>
      <c r="Y1390" s="12" t="s">
        <v>1038</v>
      </c>
      <c r="AJ1390"/>
      <c r="AK1390"/>
    </row>
    <row r="1391" spans="18:37" ht="14">
      <c r="R1391" s="14">
        <v>12443</v>
      </c>
      <c r="S1391" s="14" t="s">
        <v>551</v>
      </c>
      <c r="T1391" s="12" t="s">
        <v>161</v>
      </c>
      <c r="U1391" s="15" t="str">
        <f t="shared" si="33"/>
        <v>Mercy Health - PP AR - ECC</v>
      </c>
      <c r="V1391" s="12" t="s">
        <v>126</v>
      </c>
      <c r="W1391" s="12" t="s">
        <v>163</v>
      </c>
      <c r="X1391" s="12" t="s">
        <v>164</v>
      </c>
      <c r="Y1391" s="12" t="s">
        <v>1038</v>
      </c>
      <c r="AJ1391"/>
      <c r="AK1391"/>
    </row>
    <row r="1392" spans="18:37" ht="14">
      <c r="R1392" s="14">
        <v>12443</v>
      </c>
      <c r="S1392" s="14" t="s">
        <v>551</v>
      </c>
      <c r="T1392" s="12" t="s">
        <v>177</v>
      </c>
      <c r="U1392" s="15" t="str">
        <f t="shared" si="33"/>
        <v>Mercy Health - PP AR - OPS</v>
      </c>
      <c r="V1392" s="12" t="s">
        <v>126</v>
      </c>
      <c r="W1392" s="12" t="s">
        <v>163</v>
      </c>
      <c r="X1392" s="12" t="s">
        <v>164</v>
      </c>
      <c r="Y1392" s="12" t="s">
        <v>1038</v>
      </c>
      <c r="AJ1392"/>
      <c r="AK1392"/>
    </row>
    <row r="1393" spans="18:37" ht="14">
      <c r="R1393" s="14">
        <v>12443</v>
      </c>
      <c r="S1393" s="14" t="s">
        <v>551</v>
      </c>
      <c r="T1393" s="12" t="s">
        <v>116</v>
      </c>
      <c r="U1393" s="15" t="str">
        <f t="shared" si="33"/>
        <v>Mercy Health - PP AR - PRD</v>
      </c>
      <c r="V1393" s="12" t="s">
        <v>126</v>
      </c>
      <c r="W1393" s="12" t="s">
        <v>163</v>
      </c>
      <c r="X1393" s="12" t="s">
        <v>164</v>
      </c>
      <c r="Y1393" s="12" t="s">
        <v>1038</v>
      </c>
      <c r="AJ1393"/>
      <c r="AK1393"/>
    </row>
    <row r="1394" spans="18:37" ht="14">
      <c r="R1394" s="14">
        <v>12443</v>
      </c>
      <c r="S1394" s="14" t="s">
        <v>551</v>
      </c>
      <c r="T1394" s="12" t="s">
        <v>185</v>
      </c>
      <c r="U1394" s="15" t="str">
        <f t="shared" si="33"/>
        <v>Mercy Health - PP AR - TPS</v>
      </c>
      <c r="V1394" s="12" t="s">
        <v>126</v>
      </c>
      <c r="W1394" s="12" t="s">
        <v>163</v>
      </c>
      <c r="X1394" s="12" t="s">
        <v>164</v>
      </c>
      <c r="Y1394" s="12" t="s">
        <v>1038</v>
      </c>
      <c r="AJ1394"/>
      <c r="AK1394"/>
    </row>
    <row r="1395" spans="18:37" ht="14">
      <c r="R1395" s="14">
        <v>12306</v>
      </c>
      <c r="S1395" s="14" t="s">
        <v>527</v>
      </c>
      <c r="T1395" s="12" t="s">
        <v>116</v>
      </c>
      <c r="U1395" s="15" t="str">
        <f t="shared" si="33"/>
        <v>Mercy Health - Trans. Servs - PRD</v>
      </c>
      <c r="V1395" s="12" t="s">
        <v>126</v>
      </c>
      <c r="W1395" s="12" t="s">
        <v>163</v>
      </c>
      <c r="X1395" s="12" t="s">
        <v>164</v>
      </c>
      <c r="Y1395" s="12" t="s">
        <v>1038</v>
      </c>
      <c r="AJ1395"/>
      <c r="AK1395"/>
    </row>
    <row r="1396" spans="18:37" ht="14">
      <c r="R1396" s="14">
        <v>12306</v>
      </c>
      <c r="S1396" s="14" t="s">
        <v>527</v>
      </c>
      <c r="T1396" s="12" t="s">
        <v>185</v>
      </c>
      <c r="U1396" s="15" t="str">
        <f t="shared" si="33"/>
        <v>Mercy Health - Trans. Servs - TPS</v>
      </c>
      <c r="V1396" s="12" t="s">
        <v>126</v>
      </c>
      <c r="W1396" s="12" t="s">
        <v>163</v>
      </c>
      <c r="X1396" s="12" t="s">
        <v>164</v>
      </c>
      <c r="Y1396" s="12" t="s">
        <v>1038</v>
      </c>
      <c r="AJ1396"/>
      <c r="AK1396"/>
    </row>
    <row r="1397" spans="18:37" ht="14">
      <c r="R1397" s="14">
        <v>51183</v>
      </c>
      <c r="S1397" s="14" t="s">
        <v>734</v>
      </c>
      <c r="T1397" s="12" t="s">
        <v>116</v>
      </c>
      <c r="U1397" s="15" t="str">
        <f t="shared" si="33"/>
        <v>Meritor-2305-2404-Costplus-Ram - PRD</v>
      </c>
      <c r="V1397" s="12" t="s">
        <v>117</v>
      </c>
      <c r="W1397" s="12" t="s">
        <v>117</v>
      </c>
      <c r="X1397" s="12" t="s">
        <v>117</v>
      </c>
      <c r="Y1397" s="12" t="s">
        <v>1038</v>
      </c>
      <c r="AJ1397"/>
      <c r="AK1397"/>
    </row>
    <row r="1398" spans="18:37" ht="14">
      <c r="R1398" s="14">
        <v>51184</v>
      </c>
      <c r="S1398" s="14" t="s">
        <v>735</v>
      </c>
      <c r="T1398" s="12" t="s">
        <v>116</v>
      </c>
      <c r="U1398" s="15" t="str">
        <f t="shared" si="33"/>
        <v>Meritor-CloudInfraManagedServi - PRD</v>
      </c>
      <c r="V1398" s="12" t="s">
        <v>117</v>
      </c>
      <c r="W1398" s="12" t="s">
        <v>117</v>
      </c>
      <c r="X1398" s="12" t="s">
        <v>117</v>
      </c>
      <c r="Y1398" s="12" t="s">
        <v>1038</v>
      </c>
      <c r="AJ1398"/>
      <c r="AK1398"/>
    </row>
    <row r="1399" spans="18:37" ht="14">
      <c r="R1399" s="14">
        <v>51460</v>
      </c>
      <c r="S1399" s="14" t="s">
        <v>810</v>
      </c>
      <c r="T1399" s="12" t="s">
        <v>116</v>
      </c>
      <c r="U1399" s="15" t="str">
        <f t="shared" si="33"/>
        <v>Meritor-GlobalPlant AWS Suppor - PRD</v>
      </c>
      <c r="V1399" s="12" t="s">
        <v>117</v>
      </c>
      <c r="W1399" s="12" t="s">
        <v>117</v>
      </c>
      <c r="X1399" s="12" t="s">
        <v>117</v>
      </c>
      <c r="Y1399" s="12" t="s">
        <v>1038</v>
      </c>
      <c r="AJ1399"/>
      <c r="AK1399"/>
    </row>
    <row r="1400" spans="18:37" ht="14">
      <c r="R1400" s="14">
        <v>20679</v>
      </c>
      <c r="S1400" s="14" t="s">
        <v>641</v>
      </c>
      <c r="T1400" s="12" t="s">
        <v>145</v>
      </c>
      <c r="U1400" s="15" t="str">
        <f t="shared" si="33"/>
        <v>Meta SBG NA Accelerate - SUP</v>
      </c>
      <c r="V1400" s="12" t="s">
        <v>112</v>
      </c>
      <c r="W1400" s="12" t="s">
        <v>1006</v>
      </c>
      <c r="X1400" s="12" t="s">
        <v>114</v>
      </c>
      <c r="Y1400" s="12" t="s">
        <v>1038</v>
      </c>
      <c r="AJ1400"/>
      <c r="AK1400"/>
    </row>
    <row r="1401" spans="18:37" ht="14">
      <c r="R1401" s="14">
        <v>10720</v>
      </c>
      <c r="S1401" s="14" t="s">
        <v>333</v>
      </c>
      <c r="T1401" s="12" t="s">
        <v>150</v>
      </c>
      <c r="U1401" s="15" t="str">
        <f t="shared" si="33"/>
        <v>Micron Add-on work - India - CCS</v>
      </c>
      <c r="V1401" s="12" t="s">
        <v>126</v>
      </c>
      <c r="W1401" s="12" t="s">
        <v>163</v>
      </c>
      <c r="X1401" s="12" t="s">
        <v>164</v>
      </c>
      <c r="Y1401" s="12" t="s">
        <v>1038</v>
      </c>
      <c r="AJ1401"/>
      <c r="AK1401"/>
    </row>
    <row r="1402" spans="18:37" ht="14">
      <c r="R1402" s="14">
        <v>10678</v>
      </c>
      <c r="S1402" s="14" t="s">
        <v>304</v>
      </c>
      <c r="T1402" s="12" t="s">
        <v>585</v>
      </c>
      <c r="U1402" s="15" t="str">
        <f t="shared" si="33"/>
        <v>Micron OMR - 40EREG</v>
      </c>
      <c r="V1402" s="12" t="s">
        <v>126</v>
      </c>
      <c r="W1402" s="12" t="s">
        <v>163</v>
      </c>
      <c r="X1402" s="12" t="s">
        <v>164</v>
      </c>
      <c r="Y1402" s="12" t="s">
        <v>1038</v>
      </c>
      <c r="AJ1402"/>
      <c r="AK1402"/>
    </row>
    <row r="1403" spans="18:37" ht="14">
      <c r="R1403" s="14">
        <v>10678</v>
      </c>
      <c r="S1403" s="14" t="s">
        <v>304</v>
      </c>
      <c r="T1403" s="12" t="s">
        <v>138</v>
      </c>
      <c r="U1403" s="15" t="str">
        <f t="shared" si="33"/>
        <v>Micron OMR - BOS</v>
      </c>
      <c r="V1403" s="12" t="s">
        <v>126</v>
      </c>
      <c r="W1403" s="12" t="s">
        <v>163</v>
      </c>
      <c r="X1403" s="12" t="s">
        <v>164</v>
      </c>
      <c r="Y1403" s="12" t="s">
        <v>1038</v>
      </c>
      <c r="AJ1403"/>
      <c r="AK1403"/>
    </row>
    <row r="1404" spans="18:37" ht="14">
      <c r="R1404" s="14">
        <v>10678</v>
      </c>
      <c r="S1404" s="14" t="s">
        <v>304</v>
      </c>
      <c r="T1404" s="12" t="s">
        <v>150</v>
      </c>
      <c r="U1404" s="15" t="str">
        <f t="shared" si="33"/>
        <v>Micron OMR - CCS</v>
      </c>
      <c r="V1404" s="12" t="s">
        <v>126</v>
      </c>
      <c r="W1404" s="12" t="s">
        <v>163</v>
      </c>
      <c r="X1404" s="12" t="s">
        <v>164</v>
      </c>
      <c r="Y1404" s="12" t="s">
        <v>1038</v>
      </c>
      <c r="AJ1404"/>
      <c r="AK1404"/>
    </row>
    <row r="1405" spans="18:37" ht="14">
      <c r="R1405" s="14">
        <v>10678</v>
      </c>
      <c r="S1405" s="14" t="s">
        <v>304</v>
      </c>
      <c r="T1405" s="12" t="s">
        <v>250</v>
      </c>
      <c r="U1405" s="15" t="str">
        <f t="shared" si="33"/>
        <v>Micron OMR - LED</v>
      </c>
      <c r="V1405" s="12" t="s">
        <v>126</v>
      </c>
      <c r="W1405" s="12" t="s">
        <v>163</v>
      </c>
      <c r="X1405" s="12" t="s">
        <v>164</v>
      </c>
      <c r="Y1405" s="12" t="s">
        <v>1038</v>
      </c>
      <c r="AJ1405"/>
      <c r="AK1405"/>
    </row>
    <row r="1406" spans="18:37" ht="14">
      <c r="R1406" s="14">
        <v>10678</v>
      </c>
      <c r="S1406" s="14" t="s">
        <v>304</v>
      </c>
      <c r="T1406" s="12" t="s">
        <v>116</v>
      </c>
      <c r="U1406" s="15" t="str">
        <f t="shared" si="33"/>
        <v>Micron OMR - PRD</v>
      </c>
      <c r="V1406" s="12" t="s">
        <v>126</v>
      </c>
      <c r="W1406" s="12" t="s">
        <v>163</v>
      </c>
      <c r="X1406" s="12" t="s">
        <v>164</v>
      </c>
      <c r="Y1406" s="12" t="s">
        <v>1038</v>
      </c>
      <c r="AJ1406"/>
      <c r="AK1406"/>
    </row>
    <row r="1407" spans="18:37" ht="14">
      <c r="R1407" s="14">
        <v>10678</v>
      </c>
      <c r="S1407" s="14" t="s">
        <v>304</v>
      </c>
      <c r="T1407" s="12" t="s">
        <v>180</v>
      </c>
      <c r="U1407" s="15" t="str">
        <f t="shared" si="33"/>
        <v>Micron OMR - TMG</v>
      </c>
      <c r="V1407" s="12" t="s">
        <v>126</v>
      </c>
      <c r="W1407" s="12" t="s">
        <v>163</v>
      </c>
      <c r="X1407" s="12" t="s">
        <v>164</v>
      </c>
      <c r="Y1407" s="12" t="s">
        <v>1038</v>
      </c>
      <c r="AJ1407"/>
      <c r="AK1407"/>
    </row>
    <row r="1408" spans="18:37" ht="14">
      <c r="R1408" s="14">
        <v>10749</v>
      </c>
      <c r="S1408" s="14" t="s">
        <v>358</v>
      </c>
      <c r="T1408" s="12" t="s">
        <v>138</v>
      </c>
      <c r="U1408" s="15" t="str">
        <f t="shared" si="33"/>
        <v>Micron OMR Chennai - BOS</v>
      </c>
      <c r="V1408" s="12" t="s">
        <v>126</v>
      </c>
      <c r="W1408" s="12" t="s">
        <v>163</v>
      </c>
      <c r="X1408" s="12" t="s">
        <v>164</v>
      </c>
      <c r="Y1408" s="12" t="s">
        <v>1038</v>
      </c>
      <c r="AJ1408"/>
      <c r="AK1408"/>
    </row>
    <row r="1409" spans="18:37" ht="14">
      <c r="R1409" s="14">
        <v>10749</v>
      </c>
      <c r="S1409" s="14" t="s">
        <v>358</v>
      </c>
      <c r="T1409" s="12" t="s">
        <v>250</v>
      </c>
      <c r="U1409" s="15" t="str">
        <f t="shared" si="33"/>
        <v>Micron OMR Chennai - LED</v>
      </c>
      <c r="V1409" s="12" t="s">
        <v>126</v>
      </c>
      <c r="W1409" s="12" t="s">
        <v>163</v>
      </c>
      <c r="X1409" s="12" t="s">
        <v>164</v>
      </c>
      <c r="Y1409" s="12" t="s">
        <v>1038</v>
      </c>
      <c r="AJ1409"/>
      <c r="AK1409"/>
    </row>
    <row r="1410" spans="18:37" ht="14">
      <c r="R1410" s="14">
        <v>10749</v>
      </c>
      <c r="S1410" s="14" t="s">
        <v>358</v>
      </c>
      <c r="T1410" s="12" t="s">
        <v>116</v>
      </c>
      <c r="U1410" s="15" t="str">
        <f t="shared" si="33"/>
        <v>Micron OMR Chennai - PRD</v>
      </c>
      <c r="V1410" s="12" t="s">
        <v>126</v>
      </c>
      <c r="W1410" s="12" t="s">
        <v>163</v>
      </c>
      <c r="X1410" s="12" t="s">
        <v>164</v>
      </c>
      <c r="Y1410" s="12" t="s">
        <v>1038</v>
      </c>
      <c r="AJ1410"/>
      <c r="AK1410"/>
    </row>
    <row r="1411" spans="18:37" ht="14">
      <c r="R1411" s="14">
        <v>10749</v>
      </c>
      <c r="S1411" s="14" t="s">
        <v>358</v>
      </c>
      <c r="T1411" s="12" t="s">
        <v>145</v>
      </c>
      <c r="U1411" s="15" t="str">
        <f t="shared" ref="U1411:U1474" si="34">S1411&amp;" - "&amp;T1411</f>
        <v>Micron OMR Chennai - SUP</v>
      </c>
      <c r="V1411" s="12" t="s">
        <v>126</v>
      </c>
      <c r="W1411" s="12" t="s">
        <v>163</v>
      </c>
      <c r="X1411" s="12" t="s">
        <v>164</v>
      </c>
      <c r="Y1411" s="12" t="s">
        <v>1038</v>
      </c>
      <c r="AJ1411"/>
      <c r="AK1411"/>
    </row>
    <row r="1412" spans="18:37" ht="14">
      <c r="R1412" s="14">
        <v>10749</v>
      </c>
      <c r="S1412" s="14" t="s">
        <v>358</v>
      </c>
      <c r="T1412" s="12" t="s">
        <v>180</v>
      </c>
      <c r="U1412" s="15" t="str">
        <f t="shared" si="34"/>
        <v>Micron OMR Chennai - TMG</v>
      </c>
      <c r="V1412" s="12" t="s">
        <v>126</v>
      </c>
      <c r="W1412" s="12" t="s">
        <v>163</v>
      </c>
      <c r="X1412" s="12" t="s">
        <v>164</v>
      </c>
      <c r="Y1412" s="12" t="s">
        <v>1038</v>
      </c>
      <c r="AJ1412"/>
      <c r="AK1412"/>
    </row>
    <row r="1413" spans="18:37" ht="14">
      <c r="R1413" s="14">
        <v>10749</v>
      </c>
      <c r="S1413" s="14" t="s">
        <v>358</v>
      </c>
      <c r="T1413" s="12" t="s">
        <v>185</v>
      </c>
      <c r="U1413" s="15" t="str">
        <f t="shared" si="34"/>
        <v>Micron OMR Chennai - TPS</v>
      </c>
      <c r="V1413" s="12" t="s">
        <v>126</v>
      </c>
      <c r="W1413" s="12" t="s">
        <v>163</v>
      </c>
      <c r="X1413" s="12" t="s">
        <v>164</v>
      </c>
      <c r="Y1413" s="12" t="s">
        <v>1038</v>
      </c>
      <c r="AJ1413"/>
      <c r="AK1413"/>
    </row>
    <row r="1414" spans="18:37" ht="14">
      <c r="R1414" s="14">
        <v>10818</v>
      </c>
      <c r="S1414" s="14" t="s">
        <v>399</v>
      </c>
      <c r="T1414" s="12" t="s">
        <v>193</v>
      </c>
      <c r="U1414" s="15" t="str">
        <f t="shared" si="34"/>
        <v>Micron RMA ImplandSupp-IndiaJC - DEV</v>
      </c>
      <c r="V1414" s="12" t="s">
        <v>117</v>
      </c>
      <c r="W1414" s="12" t="s">
        <v>117</v>
      </c>
      <c r="X1414" s="12" t="s">
        <v>117</v>
      </c>
      <c r="Y1414" s="12" t="s">
        <v>1038</v>
      </c>
      <c r="AJ1414"/>
      <c r="AK1414"/>
    </row>
    <row r="1415" spans="18:37" ht="14">
      <c r="R1415" s="14">
        <v>10818</v>
      </c>
      <c r="S1415" s="14" t="s">
        <v>399</v>
      </c>
      <c r="T1415" s="12" t="s">
        <v>145</v>
      </c>
      <c r="U1415" s="15" t="str">
        <f t="shared" si="34"/>
        <v>Micron RMA ImplandSupp-IndiaJC - SUP</v>
      </c>
      <c r="V1415" s="12" t="s">
        <v>117</v>
      </c>
      <c r="W1415" s="12" t="s">
        <v>117</v>
      </c>
      <c r="X1415" s="12" t="s">
        <v>117</v>
      </c>
      <c r="Y1415" s="12" t="s">
        <v>1038</v>
      </c>
      <c r="AJ1415"/>
      <c r="AK1415"/>
    </row>
    <row r="1416" spans="18:37" ht="14">
      <c r="R1416" s="14">
        <v>10652</v>
      </c>
      <c r="S1416" s="14" t="s">
        <v>285</v>
      </c>
      <c r="T1416" s="12" t="s">
        <v>585</v>
      </c>
      <c r="U1416" s="15" t="str">
        <f t="shared" si="34"/>
        <v>Micron WW - 40EREG</v>
      </c>
      <c r="V1416" s="12" t="s">
        <v>126</v>
      </c>
      <c r="W1416" s="12" t="s">
        <v>163</v>
      </c>
      <c r="X1416" s="12" t="s">
        <v>164</v>
      </c>
      <c r="Y1416" s="12" t="s">
        <v>1038</v>
      </c>
      <c r="AJ1416"/>
      <c r="AK1416"/>
    </row>
    <row r="1417" spans="18:37" ht="14">
      <c r="R1417" s="14">
        <v>10652</v>
      </c>
      <c r="S1417" s="14" t="s">
        <v>285</v>
      </c>
      <c r="T1417" s="12" t="s">
        <v>133</v>
      </c>
      <c r="U1417" s="15" t="str">
        <f t="shared" si="34"/>
        <v>Micron WW - AMG</v>
      </c>
      <c r="V1417" s="12" t="s">
        <v>126</v>
      </c>
      <c r="W1417" s="12" t="s">
        <v>163</v>
      </c>
      <c r="X1417" s="12" t="s">
        <v>164</v>
      </c>
      <c r="Y1417" s="12" t="s">
        <v>1038</v>
      </c>
      <c r="AJ1417"/>
      <c r="AK1417"/>
    </row>
    <row r="1418" spans="18:37" ht="14">
      <c r="R1418" s="14">
        <v>10652</v>
      </c>
      <c r="S1418" s="14" t="s">
        <v>285</v>
      </c>
      <c r="T1418" s="12" t="s">
        <v>138</v>
      </c>
      <c r="U1418" s="15" t="str">
        <f t="shared" si="34"/>
        <v>Micron WW - BOS</v>
      </c>
      <c r="V1418" s="12" t="s">
        <v>126</v>
      </c>
      <c r="W1418" s="12" t="s">
        <v>163</v>
      </c>
      <c r="X1418" s="12" t="s">
        <v>164</v>
      </c>
      <c r="Y1418" s="12" t="s">
        <v>1038</v>
      </c>
      <c r="AJ1418"/>
      <c r="AK1418"/>
    </row>
    <row r="1419" spans="18:37" ht="14">
      <c r="R1419" s="14">
        <v>10652</v>
      </c>
      <c r="S1419" s="14" t="s">
        <v>285</v>
      </c>
      <c r="T1419" s="12" t="s">
        <v>150</v>
      </c>
      <c r="U1419" s="15" t="str">
        <f t="shared" si="34"/>
        <v>Micron WW - CCS</v>
      </c>
      <c r="V1419" s="12" t="s">
        <v>126</v>
      </c>
      <c r="W1419" s="12" t="s">
        <v>163</v>
      </c>
      <c r="X1419" s="12" t="s">
        <v>164</v>
      </c>
      <c r="Y1419" s="12" t="s">
        <v>1038</v>
      </c>
      <c r="AJ1419"/>
      <c r="AK1419"/>
    </row>
    <row r="1420" spans="18:37" ht="14">
      <c r="R1420" s="14">
        <v>10652</v>
      </c>
      <c r="S1420" s="14" t="s">
        <v>285</v>
      </c>
      <c r="T1420" s="12" t="s">
        <v>306</v>
      </c>
      <c r="U1420" s="15" t="str">
        <f t="shared" si="34"/>
        <v>Micron WW - FAO</v>
      </c>
      <c r="V1420" s="12" t="s">
        <v>126</v>
      </c>
      <c r="W1420" s="12" t="s">
        <v>163</v>
      </c>
      <c r="X1420" s="12" t="s">
        <v>164</v>
      </c>
      <c r="Y1420" s="12" t="s">
        <v>1038</v>
      </c>
      <c r="AJ1420"/>
      <c r="AK1420"/>
    </row>
    <row r="1421" spans="18:37" ht="14">
      <c r="R1421" s="14">
        <v>10652</v>
      </c>
      <c r="S1421" s="14" t="s">
        <v>285</v>
      </c>
      <c r="T1421" s="12" t="s">
        <v>250</v>
      </c>
      <c r="U1421" s="15" t="str">
        <f t="shared" si="34"/>
        <v>Micron WW - LED</v>
      </c>
      <c r="V1421" s="12" t="s">
        <v>126</v>
      </c>
      <c r="W1421" s="12" t="s">
        <v>163</v>
      </c>
      <c r="X1421" s="12" t="s">
        <v>164</v>
      </c>
      <c r="Y1421" s="12" t="s">
        <v>1038</v>
      </c>
      <c r="AJ1421"/>
      <c r="AK1421"/>
    </row>
    <row r="1422" spans="18:37" ht="14">
      <c r="R1422" s="14">
        <v>10652</v>
      </c>
      <c r="S1422" s="14" t="s">
        <v>285</v>
      </c>
      <c r="T1422" s="12" t="s">
        <v>116</v>
      </c>
      <c r="U1422" s="15" t="str">
        <f t="shared" si="34"/>
        <v>Micron WW - PRD</v>
      </c>
      <c r="V1422" s="12" t="s">
        <v>126</v>
      </c>
      <c r="W1422" s="12" t="s">
        <v>163</v>
      </c>
      <c r="X1422" s="12" t="s">
        <v>164</v>
      </c>
      <c r="Y1422" s="12" t="s">
        <v>1038</v>
      </c>
      <c r="AJ1422"/>
      <c r="AK1422"/>
    </row>
    <row r="1423" spans="18:37" ht="14">
      <c r="R1423" s="14">
        <v>10652</v>
      </c>
      <c r="S1423" s="14" t="s">
        <v>285</v>
      </c>
      <c r="T1423" s="12" t="s">
        <v>198</v>
      </c>
      <c r="U1423" s="15" t="str">
        <f t="shared" si="34"/>
        <v>Micron WW - TEC</v>
      </c>
      <c r="V1423" s="12" t="s">
        <v>126</v>
      </c>
      <c r="W1423" s="12" t="s">
        <v>163</v>
      </c>
      <c r="X1423" s="12" t="s">
        <v>164</v>
      </c>
      <c r="Y1423" s="12" t="s">
        <v>1038</v>
      </c>
      <c r="AJ1423"/>
      <c r="AK1423"/>
    </row>
    <row r="1424" spans="18:37" ht="14">
      <c r="R1424" s="14">
        <v>10652</v>
      </c>
      <c r="S1424" s="14" t="s">
        <v>285</v>
      </c>
      <c r="T1424" s="12" t="s">
        <v>180</v>
      </c>
      <c r="U1424" s="15" t="str">
        <f t="shared" si="34"/>
        <v>Micron WW - TMG</v>
      </c>
      <c r="V1424" s="12" t="s">
        <v>126</v>
      </c>
      <c r="W1424" s="12" t="s">
        <v>163</v>
      </c>
      <c r="X1424" s="12" t="s">
        <v>164</v>
      </c>
      <c r="Y1424" s="12" t="s">
        <v>1038</v>
      </c>
      <c r="AJ1424"/>
      <c r="AK1424"/>
    </row>
    <row r="1425" spans="18:37" ht="14">
      <c r="R1425" s="14">
        <v>10652</v>
      </c>
      <c r="S1425" s="14" t="s">
        <v>285</v>
      </c>
      <c r="T1425" s="12" t="s">
        <v>185</v>
      </c>
      <c r="U1425" s="15" t="str">
        <f t="shared" si="34"/>
        <v>Micron WW - TPS</v>
      </c>
      <c r="V1425" s="12" t="s">
        <v>126</v>
      </c>
      <c r="W1425" s="12" t="s">
        <v>163</v>
      </c>
      <c r="X1425" s="12" t="s">
        <v>164</v>
      </c>
      <c r="Y1425" s="12" t="s">
        <v>1038</v>
      </c>
      <c r="AJ1425"/>
      <c r="AK1425"/>
    </row>
    <row r="1426" spans="18:37" ht="14">
      <c r="R1426" s="14">
        <v>10652</v>
      </c>
      <c r="S1426" s="14" t="s">
        <v>285</v>
      </c>
      <c r="T1426" s="12" t="s">
        <v>546</v>
      </c>
      <c r="U1426" s="15" t="str">
        <f t="shared" si="34"/>
        <v>Micron WW - TRN</v>
      </c>
      <c r="V1426" s="12" t="s">
        <v>112</v>
      </c>
      <c r="W1426" s="12" t="s">
        <v>204</v>
      </c>
      <c r="X1426" s="12" t="s">
        <v>205</v>
      </c>
      <c r="Y1426" s="12" t="s">
        <v>1038</v>
      </c>
      <c r="AJ1426"/>
      <c r="AK1426"/>
    </row>
    <row r="1427" spans="18:37" ht="14">
      <c r="R1427" s="14">
        <v>93350</v>
      </c>
      <c r="S1427" s="14" t="s">
        <v>1100</v>
      </c>
      <c r="T1427" s="12" t="s">
        <v>129</v>
      </c>
      <c r="U1427" s="15" t="str">
        <f t="shared" si="34"/>
        <v>Middle East - MGT</v>
      </c>
      <c r="V1427" s="12" t="s">
        <v>126</v>
      </c>
      <c r="W1427" s="12" t="s">
        <v>163</v>
      </c>
      <c r="X1427" s="12" t="s">
        <v>164</v>
      </c>
      <c r="Y1427" s="12" t="s">
        <v>1038</v>
      </c>
      <c r="AJ1427"/>
      <c r="AK1427"/>
    </row>
    <row r="1428" spans="18:37" ht="14">
      <c r="R1428" s="14">
        <v>40053</v>
      </c>
      <c r="S1428" s="14" t="s">
        <v>661</v>
      </c>
      <c r="T1428" s="12" t="s">
        <v>180</v>
      </c>
      <c r="U1428" s="15" t="str">
        <f t="shared" si="34"/>
        <v>Middle East FDS - TMG</v>
      </c>
      <c r="V1428" s="12" t="s">
        <v>126</v>
      </c>
      <c r="W1428" s="12" t="s">
        <v>163</v>
      </c>
      <c r="X1428" s="12" t="s">
        <v>164</v>
      </c>
      <c r="Y1428" s="12" t="s">
        <v>1038</v>
      </c>
      <c r="AJ1428"/>
      <c r="AK1428"/>
    </row>
    <row r="1429" spans="18:37" ht="14">
      <c r="R1429" s="14">
        <v>40053</v>
      </c>
      <c r="S1429" s="14" t="s">
        <v>661</v>
      </c>
      <c r="T1429" s="12" t="s">
        <v>185</v>
      </c>
      <c r="U1429" s="15" t="str">
        <f t="shared" si="34"/>
        <v>Middle East FDS - TPS</v>
      </c>
      <c r="V1429" s="12" t="s">
        <v>126</v>
      </c>
      <c r="W1429" s="12" t="s">
        <v>163</v>
      </c>
      <c r="X1429" s="12" t="s">
        <v>164</v>
      </c>
      <c r="Y1429" s="12" t="s">
        <v>1038</v>
      </c>
      <c r="AJ1429"/>
      <c r="AK1429"/>
    </row>
    <row r="1430" spans="18:37" ht="14">
      <c r="R1430" s="14">
        <v>93625</v>
      </c>
      <c r="S1430" s="14" t="s">
        <v>737</v>
      </c>
      <c r="T1430" s="12" t="s">
        <v>129</v>
      </c>
      <c r="U1430" s="15" t="str">
        <f t="shared" si="34"/>
        <v>Middle East Solution Support - MGT</v>
      </c>
      <c r="V1430" s="12" t="s">
        <v>104</v>
      </c>
      <c r="W1430" s="12" t="s">
        <v>303</v>
      </c>
      <c r="X1430" s="12" t="s">
        <v>114</v>
      </c>
      <c r="Y1430" s="12" t="s">
        <v>1038</v>
      </c>
      <c r="AJ1430"/>
      <c r="AK1430"/>
    </row>
    <row r="1431" spans="18:37" ht="14">
      <c r="R1431" s="14">
        <v>93625</v>
      </c>
      <c r="S1431" s="14" t="s">
        <v>737</v>
      </c>
      <c r="T1431" s="12" t="s">
        <v>185</v>
      </c>
      <c r="U1431" s="15" t="str">
        <f t="shared" si="34"/>
        <v>Middle East Solution Support - TPS</v>
      </c>
      <c r="V1431" s="12" t="s">
        <v>104</v>
      </c>
      <c r="W1431" s="12" t="s">
        <v>303</v>
      </c>
      <c r="X1431" s="12" t="s">
        <v>114</v>
      </c>
      <c r="Y1431" s="12" t="s">
        <v>1038</v>
      </c>
      <c r="AJ1431"/>
      <c r="AK1431"/>
    </row>
    <row r="1432" spans="18:37" ht="14">
      <c r="R1432" s="14">
        <v>93625</v>
      </c>
      <c r="S1432" s="14" t="s">
        <v>737</v>
      </c>
      <c r="T1432" s="12" t="s">
        <v>203</v>
      </c>
      <c r="U1432" s="15" t="str">
        <f t="shared" si="34"/>
        <v>Middle East Solution Support - TRG</v>
      </c>
      <c r="V1432" s="12" t="s">
        <v>104</v>
      </c>
      <c r="W1432" s="12" t="s">
        <v>303</v>
      </c>
      <c r="X1432" s="12" t="s">
        <v>114</v>
      </c>
      <c r="Y1432" s="12" t="s">
        <v>1038</v>
      </c>
      <c r="AJ1432"/>
      <c r="AK1432"/>
    </row>
    <row r="1433" spans="18:37" ht="14">
      <c r="R1433" s="14">
        <v>18061</v>
      </c>
      <c r="S1433" s="14" t="s">
        <v>626</v>
      </c>
      <c r="T1433" s="12" t="s">
        <v>138</v>
      </c>
      <c r="U1433" s="15" t="str">
        <f t="shared" si="34"/>
        <v>Mission_TPR Shared Service - BOS</v>
      </c>
      <c r="V1433" s="12" t="s">
        <v>126</v>
      </c>
      <c r="W1433" s="12" t="s">
        <v>163</v>
      </c>
      <c r="X1433" s="12" t="s">
        <v>164</v>
      </c>
      <c r="Y1433" s="12" t="s">
        <v>1038</v>
      </c>
      <c r="AJ1433"/>
      <c r="AK1433"/>
    </row>
    <row r="1434" spans="18:37" ht="14">
      <c r="R1434" s="14">
        <v>18061</v>
      </c>
      <c r="S1434" s="14" t="s">
        <v>626</v>
      </c>
      <c r="T1434" s="12" t="s">
        <v>116</v>
      </c>
      <c r="U1434" s="15" t="str">
        <f t="shared" si="34"/>
        <v>Mission_TPR Shared Service - PRD</v>
      </c>
      <c r="V1434" s="12" t="s">
        <v>126</v>
      </c>
      <c r="W1434" s="12" t="s">
        <v>163</v>
      </c>
      <c r="X1434" s="12" t="s">
        <v>164</v>
      </c>
      <c r="Y1434" s="12" t="s">
        <v>1038</v>
      </c>
      <c r="AJ1434"/>
      <c r="AK1434"/>
    </row>
    <row r="1435" spans="18:37" ht="14">
      <c r="R1435" s="14">
        <v>18061</v>
      </c>
      <c r="S1435" s="14" t="s">
        <v>626</v>
      </c>
      <c r="T1435" s="12" t="s">
        <v>145</v>
      </c>
      <c r="U1435" s="15" t="str">
        <f t="shared" si="34"/>
        <v>Mission_TPR Shared Service - SUP</v>
      </c>
      <c r="V1435" s="12" t="s">
        <v>126</v>
      </c>
      <c r="W1435" s="12" t="s">
        <v>163</v>
      </c>
      <c r="X1435" s="12" t="s">
        <v>164</v>
      </c>
      <c r="Y1435" s="12" t="s">
        <v>1038</v>
      </c>
      <c r="AJ1435"/>
      <c r="AK1435"/>
    </row>
    <row r="1436" spans="18:37" ht="14">
      <c r="R1436" s="14">
        <v>18061</v>
      </c>
      <c r="S1436" s="14" t="s">
        <v>626</v>
      </c>
      <c r="T1436" s="12" t="s">
        <v>180</v>
      </c>
      <c r="U1436" s="15" t="str">
        <f t="shared" si="34"/>
        <v>Mission_TPR Shared Service - TMG</v>
      </c>
      <c r="V1436" s="12" t="s">
        <v>126</v>
      </c>
      <c r="W1436" s="12" t="s">
        <v>163</v>
      </c>
      <c r="X1436" s="12" t="s">
        <v>164</v>
      </c>
      <c r="Y1436" s="12" t="s">
        <v>1038</v>
      </c>
      <c r="AJ1436"/>
      <c r="AK1436"/>
    </row>
    <row r="1437" spans="18:37" ht="14">
      <c r="R1437" s="14">
        <v>18061</v>
      </c>
      <c r="S1437" s="14" t="s">
        <v>626</v>
      </c>
      <c r="T1437" s="12" t="s">
        <v>185</v>
      </c>
      <c r="U1437" s="15" t="str">
        <f t="shared" si="34"/>
        <v>Mission_TPR Shared Service - TPS</v>
      </c>
      <c r="V1437" s="12" t="s">
        <v>126</v>
      </c>
      <c r="W1437" s="12" t="s">
        <v>163</v>
      </c>
      <c r="X1437" s="12" t="s">
        <v>164</v>
      </c>
      <c r="Y1437" s="12" t="s">
        <v>1038</v>
      </c>
      <c r="AJ1437"/>
      <c r="AK1437"/>
    </row>
    <row r="1438" spans="18:37" ht="14">
      <c r="R1438" s="14">
        <v>10012</v>
      </c>
      <c r="S1438" s="14" t="s">
        <v>146</v>
      </c>
      <c r="T1438" s="12" t="s">
        <v>150</v>
      </c>
      <c r="U1438" s="15" t="str">
        <f t="shared" si="34"/>
        <v>Mittera - F and A - AP - CCS</v>
      </c>
      <c r="V1438" s="12" t="s">
        <v>126</v>
      </c>
      <c r="W1438" s="12" t="s">
        <v>163</v>
      </c>
      <c r="X1438" s="12" t="s">
        <v>164</v>
      </c>
      <c r="Y1438" s="12" t="s">
        <v>1038</v>
      </c>
      <c r="AJ1438"/>
      <c r="AK1438"/>
    </row>
    <row r="1439" spans="18:37" ht="14">
      <c r="R1439" s="14">
        <v>10012</v>
      </c>
      <c r="S1439" s="14" t="s">
        <v>146</v>
      </c>
      <c r="T1439" s="12" t="s">
        <v>306</v>
      </c>
      <c r="U1439" s="15" t="str">
        <f t="shared" si="34"/>
        <v>Mittera - F and A - AP - FAO</v>
      </c>
      <c r="V1439" s="12" t="s">
        <v>126</v>
      </c>
      <c r="W1439" s="12" t="s">
        <v>163</v>
      </c>
      <c r="X1439" s="12" t="s">
        <v>164</v>
      </c>
      <c r="Y1439" s="12" t="s">
        <v>1038</v>
      </c>
      <c r="AJ1439"/>
      <c r="AK1439"/>
    </row>
    <row r="1440" spans="18:37" ht="14">
      <c r="R1440" s="14">
        <v>10012</v>
      </c>
      <c r="S1440" s="14" t="s">
        <v>146</v>
      </c>
      <c r="T1440" s="12" t="s">
        <v>145</v>
      </c>
      <c r="U1440" s="15" t="str">
        <f t="shared" si="34"/>
        <v>Mittera - F and A - AP - SUP</v>
      </c>
      <c r="V1440" s="12" t="s">
        <v>126</v>
      </c>
      <c r="W1440" s="12" t="s">
        <v>163</v>
      </c>
      <c r="X1440" s="12" t="s">
        <v>164</v>
      </c>
      <c r="Y1440" s="12" t="s">
        <v>1038</v>
      </c>
      <c r="AJ1440"/>
      <c r="AK1440"/>
    </row>
    <row r="1441" spans="18:37" ht="14">
      <c r="R1441" s="14">
        <v>10012</v>
      </c>
      <c r="S1441" s="14" t="s">
        <v>146</v>
      </c>
      <c r="T1441" s="12" t="s">
        <v>185</v>
      </c>
      <c r="U1441" s="15" t="str">
        <f t="shared" si="34"/>
        <v>Mittera - F and A - AP - TPS</v>
      </c>
      <c r="V1441" s="12" t="s">
        <v>126</v>
      </c>
      <c r="W1441" s="12" t="s">
        <v>163</v>
      </c>
      <c r="X1441" s="12" t="s">
        <v>164</v>
      </c>
      <c r="Y1441" s="12" t="s">
        <v>1038</v>
      </c>
      <c r="AJ1441"/>
      <c r="AK1441"/>
    </row>
    <row r="1442" spans="18:37" ht="14">
      <c r="R1442" s="14">
        <v>93024</v>
      </c>
      <c r="S1442" s="14" t="s">
        <v>954</v>
      </c>
      <c r="T1442" s="12" t="s">
        <v>129</v>
      </c>
      <c r="U1442" s="15" t="str">
        <f t="shared" si="34"/>
        <v>Mktg Corporate - MGT</v>
      </c>
      <c r="V1442" s="12" t="s">
        <v>104</v>
      </c>
      <c r="W1442" s="12" t="s">
        <v>257</v>
      </c>
      <c r="X1442" s="12" t="s">
        <v>114</v>
      </c>
      <c r="Y1442" s="12" t="s">
        <v>1038</v>
      </c>
      <c r="AJ1442"/>
      <c r="AK1442"/>
    </row>
    <row r="1443" spans="18:37" ht="14">
      <c r="R1443" s="14">
        <v>93024</v>
      </c>
      <c r="S1443" s="14" t="s">
        <v>954</v>
      </c>
      <c r="T1443" s="12" t="s">
        <v>145</v>
      </c>
      <c r="U1443" s="15" t="str">
        <f t="shared" si="34"/>
        <v>Mktg Corporate - SUP</v>
      </c>
      <c r="V1443" s="12" t="s">
        <v>104</v>
      </c>
      <c r="W1443" s="12" t="s">
        <v>257</v>
      </c>
      <c r="X1443" s="12" t="s">
        <v>114</v>
      </c>
      <c r="Y1443" s="12" t="s">
        <v>1038</v>
      </c>
      <c r="AJ1443"/>
      <c r="AK1443"/>
    </row>
    <row r="1444" spans="18:37" ht="14">
      <c r="R1444" s="14">
        <v>93026</v>
      </c>
      <c r="S1444" s="14" t="s">
        <v>955</v>
      </c>
      <c r="T1444" s="12" t="s">
        <v>129</v>
      </c>
      <c r="U1444" s="15" t="str">
        <f t="shared" si="34"/>
        <v>Mktg-Demand Generation - MGT</v>
      </c>
      <c r="V1444" s="12" t="s">
        <v>104</v>
      </c>
      <c r="W1444" s="12" t="s">
        <v>257</v>
      </c>
      <c r="X1444" s="12" t="s">
        <v>114</v>
      </c>
      <c r="Y1444" s="12" t="s">
        <v>1038</v>
      </c>
      <c r="AJ1444"/>
      <c r="AK1444"/>
    </row>
    <row r="1445" spans="18:37" ht="14">
      <c r="R1445" s="14">
        <v>93026</v>
      </c>
      <c r="S1445" s="14" t="s">
        <v>955</v>
      </c>
      <c r="T1445" s="12" t="s">
        <v>145</v>
      </c>
      <c r="U1445" s="15" t="str">
        <f t="shared" si="34"/>
        <v>Mktg-Demand Generation - SUP</v>
      </c>
      <c r="V1445" s="12" t="s">
        <v>104</v>
      </c>
      <c r="W1445" s="12" t="s">
        <v>257</v>
      </c>
      <c r="X1445" s="12" t="s">
        <v>114</v>
      </c>
      <c r="Y1445" s="12" t="s">
        <v>1038</v>
      </c>
      <c r="AJ1445"/>
      <c r="AK1445"/>
    </row>
    <row r="1446" spans="18:37" ht="14">
      <c r="R1446" s="14">
        <v>88034</v>
      </c>
      <c r="S1446" s="14" t="s">
        <v>911</v>
      </c>
      <c r="T1446" s="12" t="s">
        <v>156</v>
      </c>
      <c r="U1446" s="15" t="str">
        <f t="shared" si="34"/>
        <v>Mortgage (E2E) - CLR</v>
      </c>
      <c r="V1446" s="12" t="s">
        <v>126</v>
      </c>
      <c r="W1446" s="12" t="s">
        <v>163</v>
      </c>
      <c r="X1446" s="12" t="s">
        <v>164</v>
      </c>
      <c r="Y1446" s="12" t="s">
        <v>1038</v>
      </c>
      <c r="AJ1446"/>
      <c r="AK1446"/>
    </row>
    <row r="1447" spans="18:37" ht="14">
      <c r="R1447" s="14">
        <v>88034</v>
      </c>
      <c r="S1447" s="14" t="s">
        <v>911</v>
      </c>
      <c r="T1447" s="12" t="s">
        <v>177</v>
      </c>
      <c r="U1447" s="15" t="str">
        <f t="shared" si="34"/>
        <v>Mortgage (E2E) - OPS</v>
      </c>
      <c r="V1447" s="12" t="s">
        <v>126</v>
      </c>
      <c r="W1447" s="12" t="s">
        <v>163</v>
      </c>
      <c r="X1447" s="12" t="s">
        <v>164</v>
      </c>
      <c r="Y1447" s="12" t="s">
        <v>1038</v>
      </c>
      <c r="AJ1447"/>
      <c r="AK1447"/>
    </row>
    <row r="1448" spans="18:37" ht="14">
      <c r="R1448" s="14">
        <v>88034</v>
      </c>
      <c r="S1448" s="14" t="s">
        <v>911</v>
      </c>
      <c r="T1448" s="12" t="s">
        <v>116</v>
      </c>
      <c r="U1448" s="15" t="str">
        <f t="shared" si="34"/>
        <v>Mortgage (E2E) - PRD</v>
      </c>
      <c r="V1448" s="12" t="s">
        <v>126</v>
      </c>
      <c r="W1448" s="12" t="s">
        <v>163</v>
      </c>
      <c r="X1448" s="12" t="s">
        <v>164</v>
      </c>
      <c r="Y1448" s="12" t="s">
        <v>1038</v>
      </c>
      <c r="AJ1448"/>
      <c r="AK1448"/>
    </row>
    <row r="1449" spans="18:37" ht="14">
      <c r="R1449" s="14">
        <v>88034</v>
      </c>
      <c r="S1449" s="14" t="s">
        <v>911</v>
      </c>
      <c r="T1449" s="12" t="s">
        <v>230</v>
      </c>
      <c r="U1449" s="15" t="str">
        <f t="shared" si="34"/>
        <v>Mortgage (E2E) - PRSP</v>
      </c>
      <c r="V1449" s="12" t="s">
        <v>126</v>
      </c>
      <c r="W1449" s="12" t="s">
        <v>163</v>
      </c>
      <c r="X1449" s="12" t="s">
        <v>164</v>
      </c>
      <c r="Y1449" s="12" t="s">
        <v>1038</v>
      </c>
      <c r="AJ1449"/>
      <c r="AK1449"/>
    </row>
    <row r="1450" spans="18:37" ht="14">
      <c r="R1450" s="14">
        <v>88034</v>
      </c>
      <c r="S1450" s="14" t="s">
        <v>911</v>
      </c>
      <c r="T1450" s="12" t="s">
        <v>1014</v>
      </c>
      <c r="U1450" s="15" t="str">
        <f t="shared" si="34"/>
        <v>Mortgage (E2E) - SMSI-A</v>
      </c>
      <c r="V1450" s="12" t="s">
        <v>126</v>
      </c>
      <c r="W1450" s="12" t="s">
        <v>163</v>
      </c>
      <c r="X1450" s="12" t="s">
        <v>164</v>
      </c>
      <c r="Y1450" s="12" t="s">
        <v>1038</v>
      </c>
      <c r="AJ1450"/>
      <c r="AK1450"/>
    </row>
    <row r="1451" spans="18:37" ht="14">
      <c r="R1451" s="14">
        <v>88034</v>
      </c>
      <c r="S1451" s="14" t="s">
        <v>911</v>
      </c>
      <c r="T1451" s="12" t="s">
        <v>1015</v>
      </c>
      <c r="U1451" s="15" t="str">
        <f t="shared" si="34"/>
        <v>Mortgage (E2E) - SMSI-B</v>
      </c>
      <c r="V1451" s="12" t="s">
        <v>126</v>
      </c>
      <c r="W1451" s="12" t="s">
        <v>163</v>
      </c>
      <c r="X1451" s="12" t="s">
        <v>164</v>
      </c>
      <c r="Y1451" s="12" t="s">
        <v>1038</v>
      </c>
      <c r="AJ1451"/>
      <c r="AK1451"/>
    </row>
    <row r="1452" spans="18:37" ht="14">
      <c r="R1452" s="14">
        <v>88034</v>
      </c>
      <c r="S1452" s="14" t="s">
        <v>911</v>
      </c>
      <c r="T1452" s="12" t="s">
        <v>1016</v>
      </c>
      <c r="U1452" s="15" t="str">
        <f t="shared" si="34"/>
        <v>Mortgage (E2E) - SMSI-C</v>
      </c>
      <c r="V1452" s="12" t="s">
        <v>126</v>
      </c>
      <c r="W1452" s="12" t="s">
        <v>163</v>
      </c>
      <c r="X1452" s="12" t="s">
        <v>164</v>
      </c>
      <c r="Y1452" s="12" t="s">
        <v>1038</v>
      </c>
      <c r="AJ1452"/>
      <c r="AK1452"/>
    </row>
    <row r="1453" spans="18:37" ht="14">
      <c r="R1453" s="14">
        <v>88034</v>
      </c>
      <c r="S1453" s="14" t="s">
        <v>911</v>
      </c>
      <c r="T1453" s="12" t="s">
        <v>1017</v>
      </c>
      <c r="U1453" s="15" t="str">
        <f t="shared" si="34"/>
        <v>Mortgage (E2E) - SMSI-D</v>
      </c>
      <c r="V1453" s="12" t="s">
        <v>126</v>
      </c>
      <c r="W1453" s="12" t="s">
        <v>163</v>
      </c>
      <c r="X1453" s="12" t="s">
        <v>164</v>
      </c>
      <c r="Y1453" s="12" t="s">
        <v>1038</v>
      </c>
      <c r="AJ1453"/>
      <c r="AK1453"/>
    </row>
    <row r="1454" spans="18:37" ht="14">
      <c r="R1454" s="14">
        <v>88034</v>
      </c>
      <c r="S1454" s="14" t="s">
        <v>911</v>
      </c>
      <c r="T1454" s="12" t="s">
        <v>1018</v>
      </c>
      <c r="U1454" s="15" t="str">
        <f t="shared" si="34"/>
        <v>Mortgage (E2E) - SMSI-E</v>
      </c>
      <c r="V1454" s="12" t="s">
        <v>126</v>
      </c>
      <c r="W1454" s="12" t="s">
        <v>163</v>
      </c>
      <c r="X1454" s="12" t="s">
        <v>164</v>
      </c>
      <c r="Y1454" s="12" t="s">
        <v>1038</v>
      </c>
      <c r="AJ1454"/>
      <c r="AK1454"/>
    </row>
    <row r="1455" spans="18:37" ht="14">
      <c r="R1455" s="14">
        <v>88034</v>
      </c>
      <c r="S1455" s="14" t="s">
        <v>911</v>
      </c>
      <c r="T1455" s="12" t="s">
        <v>145</v>
      </c>
      <c r="U1455" s="15" t="str">
        <f t="shared" si="34"/>
        <v>Mortgage (E2E) - SUP</v>
      </c>
      <c r="V1455" s="12" t="s">
        <v>126</v>
      </c>
      <c r="W1455" s="12" t="s">
        <v>163</v>
      </c>
      <c r="X1455" s="12" t="s">
        <v>164</v>
      </c>
      <c r="Y1455" s="12" t="s">
        <v>1038</v>
      </c>
      <c r="AJ1455"/>
      <c r="AK1455"/>
    </row>
    <row r="1456" spans="18:37" ht="14">
      <c r="R1456" s="14">
        <v>88034</v>
      </c>
      <c r="S1456" s="14" t="s">
        <v>911</v>
      </c>
      <c r="T1456" s="12" t="s">
        <v>180</v>
      </c>
      <c r="U1456" s="15" t="str">
        <f t="shared" si="34"/>
        <v>Mortgage (E2E) - TMG</v>
      </c>
      <c r="V1456" s="12" t="s">
        <v>126</v>
      </c>
      <c r="W1456" s="12" t="s">
        <v>163</v>
      </c>
      <c r="X1456" s="12" t="s">
        <v>164</v>
      </c>
      <c r="Y1456" s="12" t="s">
        <v>1038</v>
      </c>
      <c r="AJ1456"/>
      <c r="AK1456"/>
    </row>
    <row r="1457" spans="18:37" ht="14">
      <c r="R1457" s="14">
        <v>88034</v>
      </c>
      <c r="S1457" s="14" t="s">
        <v>911</v>
      </c>
      <c r="T1457" s="12" t="s">
        <v>185</v>
      </c>
      <c r="U1457" s="15" t="str">
        <f t="shared" si="34"/>
        <v>Mortgage (E2E) - TPS</v>
      </c>
      <c r="V1457" s="12" t="s">
        <v>126</v>
      </c>
      <c r="W1457" s="12" t="s">
        <v>163</v>
      </c>
      <c r="X1457" s="12" t="s">
        <v>164</v>
      </c>
      <c r="Y1457" s="12" t="s">
        <v>1038</v>
      </c>
      <c r="AJ1457"/>
      <c r="AK1457"/>
    </row>
    <row r="1458" spans="18:37" ht="14">
      <c r="R1458" s="14">
        <v>10780</v>
      </c>
      <c r="S1458" s="14" t="s">
        <v>379</v>
      </c>
      <c r="T1458" s="12" t="s">
        <v>145</v>
      </c>
      <c r="U1458" s="15" t="str">
        <f t="shared" si="34"/>
        <v>Mosaic Robility-IND - SUP</v>
      </c>
      <c r="V1458" s="12" t="s">
        <v>104</v>
      </c>
      <c r="W1458" s="12" t="s">
        <v>117</v>
      </c>
      <c r="X1458" s="12" t="s">
        <v>117</v>
      </c>
      <c r="Y1458" s="12" t="s">
        <v>1038</v>
      </c>
      <c r="AJ1458"/>
      <c r="AK1458"/>
    </row>
    <row r="1459" spans="18:37" ht="14">
      <c r="R1459" s="14">
        <v>12108</v>
      </c>
      <c r="S1459" s="14" t="s">
        <v>516</v>
      </c>
      <c r="T1459" s="12" t="s">
        <v>177</v>
      </c>
      <c r="U1459" s="15" t="str">
        <f t="shared" si="34"/>
        <v>Mt.Sinai Sch of Nursing-AR - OPS</v>
      </c>
      <c r="V1459" s="12" t="s">
        <v>126</v>
      </c>
      <c r="W1459" s="12" t="s">
        <v>163</v>
      </c>
      <c r="X1459" s="12" t="s">
        <v>164</v>
      </c>
      <c r="Y1459" s="12" t="s">
        <v>1038</v>
      </c>
      <c r="AJ1459"/>
      <c r="AK1459"/>
    </row>
    <row r="1460" spans="18:37" ht="14">
      <c r="R1460" s="14">
        <v>12108</v>
      </c>
      <c r="S1460" s="14" t="s">
        <v>516</v>
      </c>
      <c r="T1460" s="12" t="s">
        <v>116</v>
      </c>
      <c r="U1460" s="15" t="str">
        <f t="shared" si="34"/>
        <v>Mt.Sinai Sch of Nursing-AR - PRD</v>
      </c>
      <c r="V1460" s="12" t="s">
        <v>126</v>
      </c>
      <c r="W1460" s="12" t="s">
        <v>163</v>
      </c>
      <c r="X1460" s="12" t="s">
        <v>164</v>
      </c>
      <c r="Y1460" s="12" t="s">
        <v>1038</v>
      </c>
      <c r="AJ1460"/>
      <c r="AK1460"/>
    </row>
    <row r="1461" spans="18:37" ht="14">
      <c r="R1461" s="14">
        <v>12108</v>
      </c>
      <c r="S1461" s="14" t="s">
        <v>516</v>
      </c>
      <c r="T1461" s="12" t="s">
        <v>332</v>
      </c>
      <c r="U1461" s="15" t="str">
        <f t="shared" si="34"/>
        <v>Mt.Sinai Sch of Nursing-AR - RCF</v>
      </c>
      <c r="V1461" s="12" t="s">
        <v>126</v>
      </c>
      <c r="W1461" s="12" t="s">
        <v>163</v>
      </c>
      <c r="X1461" s="12" t="s">
        <v>164</v>
      </c>
      <c r="Y1461" s="12" t="s">
        <v>1038</v>
      </c>
      <c r="AJ1461"/>
      <c r="AK1461"/>
    </row>
    <row r="1462" spans="18:37" ht="14">
      <c r="R1462" s="14">
        <v>12108</v>
      </c>
      <c r="S1462" s="14" t="s">
        <v>516</v>
      </c>
      <c r="T1462" s="12" t="s">
        <v>185</v>
      </c>
      <c r="U1462" s="15" t="str">
        <f t="shared" si="34"/>
        <v>Mt.Sinai Sch of Nursing-AR - TPS</v>
      </c>
      <c r="V1462" s="12" t="s">
        <v>126</v>
      </c>
      <c r="W1462" s="12" t="s">
        <v>163</v>
      </c>
      <c r="X1462" s="12" t="s">
        <v>164</v>
      </c>
      <c r="Y1462" s="12" t="s">
        <v>1038</v>
      </c>
      <c r="AJ1462"/>
      <c r="AK1462"/>
    </row>
    <row r="1463" spans="18:37" ht="14">
      <c r="R1463" s="14">
        <v>12116</v>
      </c>
      <c r="S1463" s="14" t="s">
        <v>519</v>
      </c>
      <c r="T1463" s="12" t="s">
        <v>133</v>
      </c>
      <c r="U1463" s="15" t="str">
        <f t="shared" si="34"/>
        <v>MultiPlan - AMG</v>
      </c>
      <c r="V1463" s="12" t="s">
        <v>126</v>
      </c>
      <c r="W1463" s="12" t="s">
        <v>163</v>
      </c>
      <c r="X1463" s="12" t="s">
        <v>164</v>
      </c>
      <c r="Y1463" s="12" t="s">
        <v>1038</v>
      </c>
      <c r="AJ1463"/>
      <c r="AK1463"/>
    </row>
    <row r="1464" spans="18:37" ht="14">
      <c r="R1464" s="14">
        <v>12116</v>
      </c>
      <c r="S1464" s="14" t="s">
        <v>519</v>
      </c>
      <c r="T1464" s="12" t="s">
        <v>116</v>
      </c>
      <c r="U1464" s="15" t="str">
        <f t="shared" si="34"/>
        <v>MultiPlan - PRD</v>
      </c>
      <c r="V1464" s="12" t="s">
        <v>126</v>
      </c>
      <c r="W1464" s="12" t="s">
        <v>163</v>
      </c>
      <c r="X1464" s="12" t="s">
        <v>164</v>
      </c>
      <c r="Y1464" s="12" t="s">
        <v>1038</v>
      </c>
      <c r="AJ1464"/>
      <c r="AK1464"/>
    </row>
    <row r="1465" spans="18:37" ht="14">
      <c r="R1465" s="14">
        <v>12116</v>
      </c>
      <c r="S1465" s="14" t="s">
        <v>519</v>
      </c>
      <c r="T1465" s="12" t="s">
        <v>111</v>
      </c>
      <c r="U1465" s="15" t="str">
        <f t="shared" si="34"/>
        <v>MultiPlan - QLY</v>
      </c>
      <c r="V1465" s="12" t="s">
        <v>112</v>
      </c>
      <c r="W1465" s="12" t="s">
        <v>113</v>
      </c>
      <c r="X1465" s="12" t="s">
        <v>114</v>
      </c>
      <c r="Y1465" s="12" t="s">
        <v>1038</v>
      </c>
      <c r="AJ1465"/>
      <c r="AK1465"/>
    </row>
    <row r="1466" spans="18:37" ht="14">
      <c r="R1466" s="14">
        <v>12116</v>
      </c>
      <c r="S1466" s="14" t="s">
        <v>519</v>
      </c>
      <c r="T1466" s="12" t="s">
        <v>172</v>
      </c>
      <c r="U1466" s="15" t="str">
        <f t="shared" si="34"/>
        <v>MultiPlan - SME</v>
      </c>
      <c r="V1466" s="12" t="s">
        <v>126</v>
      </c>
      <c r="W1466" s="12" t="s">
        <v>163</v>
      </c>
      <c r="X1466" s="12" t="s">
        <v>164</v>
      </c>
      <c r="Y1466" s="12" t="s">
        <v>1038</v>
      </c>
      <c r="AJ1466"/>
      <c r="AK1466"/>
    </row>
    <row r="1467" spans="18:37" ht="14">
      <c r="R1467" s="14">
        <v>12116</v>
      </c>
      <c r="S1467" s="14" t="s">
        <v>519</v>
      </c>
      <c r="T1467" s="12" t="s">
        <v>180</v>
      </c>
      <c r="U1467" s="15" t="str">
        <f t="shared" si="34"/>
        <v>MultiPlan - TMG</v>
      </c>
      <c r="V1467" s="12" t="s">
        <v>126</v>
      </c>
      <c r="W1467" s="12" t="s">
        <v>163</v>
      </c>
      <c r="X1467" s="12" t="s">
        <v>164</v>
      </c>
      <c r="Y1467" s="12" t="s">
        <v>1038</v>
      </c>
      <c r="AJ1467"/>
      <c r="AK1467"/>
    </row>
    <row r="1468" spans="18:37" ht="14">
      <c r="R1468" s="14">
        <v>12116</v>
      </c>
      <c r="S1468" s="14" t="s">
        <v>519</v>
      </c>
      <c r="T1468" s="12" t="s">
        <v>185</v>
      </c>
      <c r="U1468" s="15" t="str">
        <f t="shared" si="34"/>
        <v>MultiPlan - TPS</v>
      </c>
      <c r="V1468" s="12" t="s">
        <v>126</v>
      </c>
      <c r="W1468" s="12" t="s">
        <v>163</v>
      </c>
      <c r="X1468" s="12" t="s">
        <v>164</v>
      </c>
      <c r="Y1468" s="12" t="s">
        <v>1038</v>
      </c>
      <c r="AJ1468"/>
      <c r="AK1468"/>
    </row>
    <row r="1469" spans="18:37" ht="14">
      <c r="R1469" s="14">
        <v>10107</v>
      </c>
      <c r="S1469" s="14" t="s">
        <v>220</v>
      </c>
      <c r="T1469" s="12" t="s">
        <v>185</v>
      </c>
      <c r="U1469" s="15" t="str">
        <f t="shared" si="34"/>
        <v>Navigatr Travel Fulfillment - TPS</v>
      </c>
      <c r="V1469" s="12" t="s">
        <v>126</v>
      </c>
      <c r="W1469" s="12" t="s">
        <v>163</v>
      </c>
      <c r="X1469" s="12" t="s">
        <v>164</v>
      </c>
      <c r="Y1469" s="12" t="s">
        <v>1038</v>
      </c>
      <c r="AJ1469"/>
      <c r="AK1469"/>
    </row>
    <row r="1470" spans="18:37" ht="14">
      <c r="R1470" s="14">
        <v>12608</v>
      </c>
      <c r="S1470" s="14" t="s">
        <v>599</v>
      </c>
      <c r="T1470" s="12" t="s">
        <v>116</v>
      </c>
      <c r="U1470" s="15" t="str">
        <f t="shared" si="34"/>
        <v>NCSBN - Nursys.Org Tech Migrat - PRD</v>
      </c>
      <c r="V1470" s="12" t="s">
        <v>117</v>
      </c>
      <c r="W1470" s="12" t="s">
        <v>117</v>
      </c>
      <c r="X1470" s="12" t="s">
        <v>117</v>
      </c>
      <c r="Y1470" s="12" t="s">
        <v>1038</v>
      </c>
      <c r="AJ1470"/>
      <c r="AK1470"/>
    </row>
    <row r="1471" spans="18:37" ht="14">
      <c r="R1471" s="14">
        <v>12529</v>
      </c>
      <c r="S1471" s="14" t="s">
        <v>580</v>
      </c>
      <c r="T1471" s="12" t="e">
        <v>#N/A</v>
      </c>
      <c r="U1471" s="15" t="e">
        <f t="shared" si="34"/>
        <v>#N/A</v>
      </c>
      <c r="V1471" s="12" t="s">
        <v>117</v>
      </c>
      <c r="W1471" s="12" t="s">
        <v>117</v>
      </c>
      <c r="X1471" s="12" t="s">
        <v>117</v>
      </c>
      <c r="Y1471" s="12" t="s">
        <v>1038</v>
      </c>
      <c r="AJ1471"/>
      <c r="AK1471"/>
    </row>
    <row r="1472" spans="18:37" ht="14">
      <c r="R1472" s="14">
        <v>10660</v>
      </c>
      <c r="S1472" s="14" t="s">
        <v>295</v>
      </c>
      <c r="T1472" s="12" t="s">
        <v>198</v>
      </c>
      <c r="U1472" s="15" t="str">
        <f t="shared" si="34"/>
        <v>NetApp -BLR- SolidFire - TEC</v>
      </c>
      <c r="V1472" s="12" t="s">
        <v>126</v>
      </c>
      <c r="W1472" s="12" t="s">
        <v>360</v>
      </c>
      <c r="X1472" s="12" t="s">
        <v>361</v>
      </c>
      <c r="Y1472" s="12" t="s">
        <v>1038</v>
      </c>
      <c r="AJ1472"/>
      <c r="AK1472"/>
    </row>
    <row r="1473" spans="18:37" ht="14">
      <c r="R1473" s="14">
        <v>10513</v>
      </c>
      <c r="S1473" s="14" t="s">
        <v>266</v>
      </c>
      <c r="T1473" s="12" t="s">
        <v>133</v>
      </c>
      <c r="U1473" s="15" t="str">
        <f t="shared" si="34"/>
        <v>NetApp_HARDWARE_Bangalore - AMG</v>
      </c>
      <c r="V1473" s="12" t="s">
        <v>126</v>
      </c>
      <c r="W1473" s="12" t="s">
        <v>360</v>
      </c>
      <c r="X1473" s="12" t="s">
        <v>361</v>
      </c>
      <c r="Y1473" s="12" t="s">
        <v>1038</v>
      </c>
      <c r="AJ1473"/>
      <c r="AK1473"/>
    </row>
    <row r="1474" spans="18:37" ht="14">
      <c r="R1474" s="14">
        <v>10513</v>
      </c>
      <c r="S1474" s="14" t="s">
        <v>266</v>
      </c>
      <c r="T1474" s="12" t="s">
        <v>172</v>
      </c>
      <c r="U1474" s="15" t="str">
        <f t="shared" si="34"/>
        <v>NetApp_HARDWARE_Bangalore - SME</v>
      </c>
      <c r="V1474" s="12" t="s">
        <v>126</v>
      </c>
      <c r="W1474" s="12" t="s">
        <v>360</v>
      </c>
      <c r="X1474" s="12" t="s">
        <v>361</v>
      </c>
      <c r="Y1474" s="12" t="s">
        <v>1038</v>
      </c>
      <c r="AJ1474"/>
      <c r="AK1474"/>
    </row>
    <row r="1475" spans="18:37" ht="14">
      <c r="R1475" s="14">
        <v>10513</v>
      </c>
      <c r="S1475" s="14" t="s">
        <v>266</v>
      </c>
      <c r="T1475" s="12" t="s">
        <v>145</v>
      </c>
      <c r="U1475" s="15" t="str">
        <f t="shared" ref="U1475:U1538" si="35">S1475&amp;" - "&amp;T1475</f>
        <v>NetApp_HARDWARE_Bangalore - SUP</v>
      </c>
      <c r="V1475" s="12" t="s">
        <v>126</v>
      </c>
      <c r="W1475" s="12" t="s">
        <v>360</v>
      </c>
      <c r="X1475" s="12" t="s">
        <v>361</v>
      </c>
      <c r="Y1475" s="12" t="s">
        <v>1038</v>
      </c>
      <c r="AJ1475"/>
      <c r="AK1475"/>
    </row>
    <row r="1476" spans="18:37" ht="14">
      <c r="R1476" s="14">
        <v>10513</v>
      </c>
      <c r="S1476" s="14" t="s">
        <v>266</v>
      </c>
      <c r="T1476" s="12" t="s">
        <v>198</v>
      </c>
      <c r="U1476" s="15" t="str">
        <f t="shared" si="35"/>
        <v>NetApp_HARDWARE_Bangalore - TEC</v>
      </c>
      <c r="V1476" s="12" t="s">
        <v>126</v>
      </c>
      <c r="W1476" s="12" t="s">
        <v>360</v>
      </c>
      <c r="X1476" s="12" t="s">
        <v>361</v>
      </c>
      <c r="Y1476" s="12" t="s">
        <v>1038</v>
      </c>
      <c r="AJ1476"/>
      <c r="AK1476"/>
    </row>
    <row r="1477" spans="18:37" ht="14">
      <c r="R1477" s="14">
        <v>10513</v>
      </c>
      <c r="S1477" s="14" t="s">
        <v>266</v>
      </c>
      <c r="T1477" s="12" t="s">
        <v>180</v>
      </c>
      <c r="U1477" s="15" t="str">
        <f t="shared" si="35"/>
        <v>NetApp_HARDWARE_Bangalore - TMG</v>
      </c>
      <c r="V1477" s="12" t="s">
        <v>126</v>
      </c>
      <c r="W1477" s="12" t="s">
        <v>360</v>
      </c>
      <c r="X1477" s="12" t="s">
        <v>361</v>
      </c>
      <c r="Y1477" s="12" t="s">
        <v>1038</v>
      </c>
      <c r="AJ1477"/>
      <c r="AK1477"/>
    </row>
    <row r="1478" spans="18:37" ht="14">
      <c r="R1478" s="14">
        <v>10513</v>
      </c>
      <c r="S1478" s="14" t="s">
        <v>266</v>
      </c>
      <c r="T1478" s="12" t="s">
        <v>185</v>
      </c>
      <c r="U1478" s="15" t="str">
        <f t="shared" si="35"/>
        <v>NetApp_HARDWARE_Bangalore - TPS</v>
      </c>
      <c r="V1478" s="12" t="s">
        <v>126</v>
      </c>
      <c r="W1478" s="12" t="s">
        <v>360</v>
      </c>
      <c r="X1478" s="12" t="s">
        <v>361</v>
      </c>
      <c r="Y1478" s="12" t="s">
        <v>1038</v>
      </c>
      <c r="AJ1478"/>
      <c r="AK1478"/>
    </row>
    <row r="1479" spans="18:37" ht="14">
      <c r="R1479" s="14">
        <v>10498</v>
      </c>
      <c r="S1479" s="14" t="s">
        <v>251</v>
      </c>
      <c r="T1479" s="12" t="s">
        <v>133</v>
      </c>
      <c r="U1479" s="15" t="str">
        <f t="shared" si="35"/>
        <v>Netflix APAC - AMG</v>
      </c>
      <c r="V1479" s="12" t="s">
        <v>126</v>
      </c>
      <c r="W1479" s="12" t="s">
        <v>127</v>
      </c>
      <c r="X1479" s="12" t="s">
        <v>128</v>
      </c>
      <c r="Y1479" s="12" t="s">
        <v>1038</v>
      </c>
      <c r="AJ1479"/>
      <c r="AK1479"/>
    </row>
    <row r="1480" spans="18:37" ht="14">
      <c r="R1480" s="14">
        <v>10498</v>
      </c>
      <c r="S1480" s="14" t="s">
        <v>251</v>
      </c>
      <c r="T1480" s="12" t="s">
        <v>150</v>
      </c>
      <c r="U1480" s="15" t="str">
        <f t="shared" si="35"/>
        <v>Netflix APAC - CCS</v>
      </c>
      <c r="V1480" s="12" t="s">
        <v>126</v>
      </c>
      <c r="W1480" s="12" t="s">
        <v>127</v>
      </c>
      <c r="X1480" s="12" t="s">
        <v>128</v>
      </c>
      <c r="Y1480" s="12" t="s">
        <v>1038</v>
      </c>
      <c r="AJ1480"/>
      <c r="AK1480"/>
    </row>
    <row r="1481" spans="18:37" ht="14">
      <c r="R1481" s="14">
        <v>10498</v>
      </c>
      <c r="S1481" s="14" t="s">
        <v>251</v>
      </c>
      <c r="T1481" s="12" t="s">
        <v>161</v>
      </c>
      <c r="U1481" s="15" t="str">
        <f t="shared" si="35"/>
        <v>Netflix APAC - ECC</v>
      </c>
      <c r="V1481" s="12" t="s">
        <v>126</v>
      </c>
      <c r="W1481" s="12" t="s">
        <v>127</v>
      </c>
      <c r="X1481" s="12" t="s">
        <v>128</v>
      </c>
      <c r="Y1481" s="12" t="s">
        <v>1038</v>
      </c>
      <c r="AJ1481"/>
      <c r="AK1481"/>
    </row>
    <row r="1482" spans="18:37" ht="14">
      <c r="R1482" s="14">
        <v>10498</v>
      </c>
      <c r="S1482" s="14" t="s">
        <v>251</v>
      </c>
      <c r="T1482" s="12" t="s">
        <v>171</v>
      </c>
      <c r="U1482" s="15" t="str">
        <f t="shared" si="35"/>
        <v>Netflix APAC - ETE</v>
      </c>
      <c r="V1482" s="12" t="s">
        <v>126</v>
      </c>
      <c r="W1482" s="12" t="s">
        <v>127</v>
      </c>
      <c r="X1482" s="12" t="s">
        <v>128</v>
      </c>
      <c r="Y1482" s="12" t="s">
        <v>1038</v>
      </c>
      <c r="AJ1482"/>
      <c r="AK1482"/>
    </row>
    <row r="1483" spans="18:37" ht="14">
      <c r="R1483" s="14">
        <v>10498</v>
      </c>
      <c r="S1483" s="14" t="s">
        <v>251</v>
      </c>
      <c r="T1483" s="12" t="s">
        <v>129</v>
      </c>
      <c r="U1483" s="15" t="str">
        <f t="shared" si="35"/>
        <v>Netflix APAC - MGT</v>
      </c>
      <c r="V1483" s="12" t="s">
        <v>126</v>
      </c>
      <c r="W1483" s="12" t="s">
        <v>127</v>
      </c>
      <c r="X1483" s="12" t="s">
        <v>128</v>
      </c>
      <c r="Y1483" s="12" t="s">
        <v>1038</v>
      </c>
      <c r="AJ1483"/>
      <c r="AK1483"/>
    </row>
    <row r="1484" spans="18:37" ht="14">
      <c r="R1484" s="14">
        <v>10498</v>
      </c>
      <c r="S1484" s="14" t="s">
        <v>251</v>
      </c>
      <c r="T1484" s="12" t="s">
        <v>177</v>
      </c>
      <c r="U1484" s="15" t="str">
        <f t="shared" si="35"/>
        <v>Netflix APAC - OPS</v>
      </c>
      <c r="V1484" s="12" t="s">
        <v>112</v>
      </c>
      <c r="W1484" s="12" t="s">
        <v>204</v>
      </c>
      <c r="X1484" s="12" t="s">
        <v>205</v>
      </c>
      <c r="Y1484" s="12" t="s">
        <v>1038</v>
      </c>
      <c r="AJ1484"/>
      <c r="AK1484"/>
    </row>
    <row r="1485" spans="18:37" ht="14">
      <c r="R1485" s="14">
        <v>10498</v>
      </c>
      <c r="S1485" s="14" t="s">
        <v>251</v>
      </c>
      <c r="T1485" s="12" t="s">
        <v>116</v>
      </c>
      <c r="U1485" s="15" t="str">
        <f t="shared" si="35"/>
        <v>Netflix APAC - PRD</v>
      </c>
      <c r="V1485" s="12" t="s">
        <v>126</v>
      </c>
      <c r="W1485" s="12" t="s">
        <v>127</v>
      </c>
      <c r="X1485" s="12" t="s">
        <v>128</v>
      </c>
      <c r="Y1485" s="12" t="s">
        <v>1038</v>
      </c>
      <c r="AJ1485"/>
      <c r="AK1485"/>
    </row>
    <row r="1486" spans="18:37" ht="14">
      <c r="R1486" s="14">
        <v>10498</v>
      </c>
      <c r="S1486" s="14" t="s">
        <v>251</v>
      </c>
      <c r="T1486" s="12" t="s">
        <v>111</v>
      </c>
      <c r="U1486" s="15" t="str">
        <f t="shared" si="35"/>
        <v>Netflix APAC - QLY</v>
      </c>
      <c r="V1486" s="12" t="s">
        <v>112</v>
      </c>
      <c r="W1486" s="12" t="s">
        <v>113</v>
      </c>
      <c r="X1486" s="12" t="s">
        <v>114</v>
      </c>
      <c r="Y1486" s="12" t="s">
        <v>1038</v>
      </c>
      <c r="AJ1486"/>
      <c r="AK1486"/>
    </row>
    <row r="1487" spans="18:37" ht="14">
      <c r="R1487" s="14">
        <v>10498</v>
      </c>
      <c r="S1487" s="14" t="s">
        <v>251</v>
      </c>
      <c r="T1487" s="12" t="s">
        <v>172</v>
      </c>
      <c r="U1487" s="15" t="str">
        <f t="shared" si="35"/>
        <v>Netflix APAC - SME</v>
      </c>
      <c r="V1487" s="12" t="s">
        <v>126</v>
      </c>
      <c r="W1487" s="12" t="s">
        <v>127</v>
      </c>
      <c r="X1487" s="12" t="s">
        <v>128</v>
      </c>
      <c r="Y1487" s="12" t="s">
        <v>1038</v>
      </c>
      <c r="AJ1487"/>
      <c r="AK1487"/>
    </row>
    <row r="1488" spans="18:37" ht="14">
      <c r="R1488" s="14">
        <v>10498</v>
      </c>
      <c r="S1488" s="14" t="s">
        <v>251</v>
      </c>
      <c r="T1488" s="12" t="s">
        <v>145</v>
      </c>
      <c r="U1488" s="15" t="str">
        <f t="shared" si="35"/>
        <v>Netflix APAC - SUP</v>
      </c>
      <c r="V1488" s="12" t="s">
        <v>126</v>
      </c>
      <c r="W1488" s="12" t="s">
        <v>127</v>
      </c>
      <c r="X1488" s="12" t="s">
        <v>128</v>
      </c>
      <c r="Y1488" s="12" t="s">
        <v>1038</v>
      </c>
      <c r="AJ1488"/>
      <c r="AK1488"/>
    </row>
    <row r="1489" spans="18:37" ht="14">
      <c r="R1489" s="14">
        <v>10498</v>
      </c>
      <c r="S1489" s="14" t="s">
        <v>251</v>
      </c>
      <c r="T1489" s="12" t="s">
        <v>198</v>
      </c>
      <c r="U1489" s="15" t="str">
        <f t="shared" si="35"/>
        <v>Netflix APAC - TEC</v>
      </c>
      <c r="V1489" s="12" t="s">
        <v>126</v>
      </c>
      <c r="W1489" s="12" t="s">
        <v>127</v>
      </c>
      <c r="X1489" s="12" t="s">
        <v>128</v>
      </c>
      <c r="Y1489" s="12" t="s">
        <v>1038</v>
      </c>
      <c r="AJ1489"/>
      <c r="AK1489"/>
    </row>
    <row r="1490" spans="18:37" ht="14">
      <c r="R1490" s="14">
        <v>10498</v>
      </c>
      <c r="S1490" s="14" t="s">
        <v>251</v>
      </c>
      <c r="T1490" s="12" t="s">
        <v>539</v>
      </c>
      <c r="U1490" s="15" t="str">
        <f t="shared" si="35"/>
        <v>Netflix APAC - TEC II</v>
      </c>
      <c r="V1490" s="12" t="s">
        <v>126</v>
      </c>
      <c r="W1490" s="12" t="s">
        <v>127</v>
      </c>
      <c r="X1490" s="12" t="s">
        <v>128</v>
      </c>
      <c r="Y1490" s="12" t="s">
        <v>1038</v>
      </c>
      <c r="AJ1490"/>
      <c r="AK1490"/>
    </row>
    <row r="1491" spans="18:37" ht="14">
      <c r="R1491" s="14">
        <v>10498</v>
      </c>
      <c r="S1491" s="14" t="s">
        <v>251</v>
      </c>
      <c r="T1491" s="12" t="s">
        <v>180</v>
      </c>
      <c r="U1491" s="15" t="str">
        <f t="shared" si="35"/>
        <v>Netflix APAC - TMG</v>
      </c>
      <c r="V1491" s="12" t="s">
        <v>126</v>
      </c>
      <c r="W1491" s="12" t="s">
        <v>127</v>
      </c>
      <c r="X1491" s="12" t="s">
        <v>128</v>
      </c>
      <c r="Y1491" s="12" t="s">
        <v>1038</v>
      </c>
      <c r="AJ1491"/>
      <c r="AK1491"/>
    </row>
    <row r="1492" spans="18:37" ht="14">
      <c r="R1492" s="14">
        <v>10498</v>
      </c>
      <c r="S1492" s="14" t="s">
        <v>251</v>
      </c>
      <c r="T1492" s="12" t="s">
        <v>185</v>
      </c>
      <c r="U1492" s="15" t="str">
        <f t="shared" si="35"/>
        <v>Netflix APAC - TPS</v>
      </c>
      <c r="V1492" s="12" t="s">
        <v>126</v>
      </c>
      <c r="W1492" s="12" t="s">
        <v>127</v>
      </c>
      <c r="X1492" s="12" t="s">
        <v>128</v>
      </c>
      <c r="Y1492" s="12" t="s">
        <v>1038</v>
      </c>
      <c r="AJ1492"/>
      <c r="AK1492"/>
    </row>
    <row r="1493" spans="18:37" ht="14">
      <c r="R1493" s="14">
        <v>10498</v>
      </c>
      <c r="S1493" s="14" t="s">
        <v>251</v>
      </c>
      <c r="T1493" s="12" t="s">
        <v>203</v>
      </c>
      <c r="U1493" s="15" t="str">
        <f t="shared" si="35"/>
        <v>Netflix APAC - TRG</v>
      </c>
      <c r="V1493" s="12" t="s">
        <v>112</v>
      </c>
      <c r="W1493" s="12" t="s">
        <v>204</v>
      </c>
      <c r="X1493" s="12" t="s">
        <v>205</v>
      </c>
      <c r="Y1493" s="12" t="s">
        <v>1038</v>
      </c>
      <c r="AJ1493"/>
      <c r="AK1493"/>
    </row>
    <row r="1494" spans="18:37" ht="14">
      <c r="R1494" s="14">
        <v>10498</v>
      </c>
      <c r="S1494" s="14" t="s">
        <v>251</v>
      </c>
      <c r="T1494" s="12" t="s">
        <v>546</v>
      </c>
      <c r="U1494" s="15" t="str">
        <f t="shared" si="35"/>
        <v>Netflix APAC - TRN</v>
      </c>
      <c r="V1494" s="12" t="s">
        <v>112</v>
      </c>
      <c r="W1494" s="12" t="s">
        <v>204</v>
      </c>
      <c r="X1494" s="12" t="s">
        <v>205</v>
      </c>
      <c r="Y1494" s="12" t="s">
        <v>1038</v>
      </c>
      <c r="AJ1494"/>
      <c r="AK1494"/>
    </row>
    <row r="1495" spans="18:37" ht="14">
      <c r="R1495" s="14">
        <v>10498</v>
      </c>
      <c r="S1495" s="14" t="s">
        <v>251</v>
      </c>
      <c r="T1495" s="12" t="s">
        <v>208</v>
      </c>
      <c r="U1495" s="15" t="str">
        <f t="shared" si="35"/>
        <v>Netflix APAC - TTR</v>
      </c>
      <c r="V1495" s="12" t="s">
        <v>112</v>
      </c>
      <c r="W1495" s="12" t="s">
        <v>204</v>
      </c>
      <c r="X1495" s="12" t="s">
        <v>205</v>
      </c>
      <c r="Y1495" s="12" t="s">
        <v>1038</v>
      </c>
      <c r="AJ1495"/>
      <c r="AK1495"/>
    </row>
    <row r="1496" spans="18:37" ht="14">
      <c r="R1496" s="14">
        <v>10831</v>
      </c>
      <c r="S1496" s="14" t="s">
        <v>417</v>
      </c>
      <c r="T1496" s="12" t="s">
        <v>133</v>
      </c>
      <c r="U1496" s="15" t="str">
        <f t="shared" si="35"/>
        <v>Netflix Hyd - AMG</v>
      </c>
      <c r="V1496" s="12" t="s">
        <v>126</v>
      </c>
      <c r="W1496" s="12" t="s">
        <v>127</v>
      </c>
      <c r="X1496" s="12" t="s">
        <v>128</v>
      </c>
      <c r="Y1496" s="12" t="s">
        <v>1038</v>
      </c>
      <c r="AJ1496"/>
      <c r="AK1496"/>
    </row>
    <row r="1497" spans="18:37" ht="14">
      <c r="R1497" s="14">
        <v>10831</v>
      </c>
      <c r="S1497" s="14" t="s">
        <v>417</v>
      </c>
      <c r="T1497" s="12" t="s">
        <v>150</v>
      </c>
      <c r="U1497" s="15" t="str">
        <f t="shared" si="35"/>
        <v>Netflix Hyd - CCS</v>
      </c>
      <c r="V1497" s="12" t="s">
        <v>126</v>
      </c>
      <c r="W1497" s="12" t="s">
        <v>127</v>
      </c>
      <c r="X1497" s="12" t="s">
        <v>128</v>
      </c>
      <c r="Y1497" s="12" t="s">
        <v>1038</v>
      </c>
      <c r="AJ1497"/>
      <c r="AK1497"/>
    </row>
    <row r="1498" spans="18:37" ht="14">
      <c r="R1498" s="14">
        <v>10831</v>
      </c>
      <c r="S1498" s="14" t="s">
        <v>417</v>
      </c>
      <c r="T1498" s="12" t="s">
        <v>161</v>
      </c>
      <c r="U1498" s="15" t="str">
        <f t="shared" si="35"/>
        <v>Netflix Hyd - ECC</v>
      </c>
      <c r="V1498" s="12" t="s">
        <v>126</v>
      </c>
      <c r="W1498" s="12" t="s">
        <v>127</v>
      </c>
      <c r="X1498" s="12" t="s">
        <v>128</v>
      </c>
      <c r="Y1498" s="12" t="s">
        <v>1038</v>
      </c>
      <c r="AJ1498"/>
      <c r="AK1498"/>
    </row>
    <row r="1499" spans="18:37" ht="14">
      <c r="R1499" s="14">
        <v>10831</v>
      </c>
      <c r="S1499" s="14" t="s">
        <v>417</v>
      </c>
      <c r="T1499" s="12" t="s">
        <v>171</v>
      </c>
      <c r="U1499" s="15" t="str">
        <f t="shared" si="35"/>
        <v>Netflix Hyd - ETE</v>
      </c>
      <c r="V1499" s="12" t="s">
        <v>126</v>
      </c>
      <c r="W1499" s="12" t="s">
        <v>127</v>
      </c>
      <c r="X1499" s="12" t="s">
        <v>128</v>
      </c>
      <c r="Y1499" s="12" t="s">
        <v>1038</v>
      </c>
      <c r="AJ1499"/>
      <c r="AK1499"/>
    </row>
    <row r="1500" spans="18:37" ht="14">
      <c r="R1500" s="14">
        <v>10831</v>
      </c>
      <c r="S1500" s="14" t="s">
        <v>417</v>
      </c>
      <c r="T1500" s="12" t="s">
        <v>129</v>
      </c>
      <c r="U1500" s="15" t="str">
        <f t="shared" si="35"/>
        <v>Netflix Hyd - MGT</v>
      </c>
      <c r="V1500" s="12" t="s">
        <v>126</v>
      </c>
      <c r="W1500" s="12" t="s">
        <v>127</v>
      </c>
      <c r="X1500" s="12" t="s">
        <v>128</v>
      </c>
      <c r="Y1500" s="12" t="s">
        <v>1038</v>
      </c>
      <c r="AJ1500"/>
      <c r="AK1500"/>
    </row>
    <row r="1501" spans="18:37" ht="14">
      <c r="R1501" s="14">
        <v>10831</v>
      </c>
      <c r="S1501" s="14" t="s">
        <v>417</v>
      </c>
      <c r="T1501" s="12" t="s">
        <v>198</v>
      </c>
      <c r="U1501" s="15" t="str">
        <f t="shared" si="35"/>
        <v>Netflix Hyd - TEC</v>
      </c>
      <c r="V1501" s="12" t="s">
        <v>126</v>
      </c>
      <c r="W1501" s="12" t="s">
        <v>127</v>
      </c>
      <c r="X1501" s="12" t="s">
        <v>128</v>
      </c>
      <c r="Y1501" s="12" t="s">
        <v>1038</v>
      </c>
      <c r="AJ1501"/>
      <c r="AK1501"/>
    </row>
    <row r="1502" spans="18:37" ht="14">
      <c r="R1502" s="14">
        <v>95102</v>
      </c>
      <c r="S1502" s="14" t="s">
        <v>762</v>
      </c>
      <c r="T1502" s="12" t="s">
        <v>415</v>
      </c>
      <c r="U1502" s="15" t="str">
        <f t="shared" si="35"/>
        <v>Networking - GTI</v>
      </c>
      <c r="V1502" s="12" t="s">
        <v>104</v>
      </c>
      <c r="W1502" s="12" t="s">
        <v>263</v>
      </c>
      <c r="X1502" s="12" t="s">
        <v>264</v>
      </c>
      <c r="Y1502" s="12" t="s">
        <v>1038</v>
      </c>
      <c r="AJ1502"/>
      <c r="AK1502"/>
    </row>
    <row r="1503" spans="18:37" ht="14">
      <c r="R1503" s="14">
        <v>95102</v>
      </c>
      <c r="S1503" s="14" t="s">
        <v>762</v>
      </c>
      <c r="T1503" s="12" t="s">
        <v>129</v>
      </c>
      <c r="U1503" s="15" t="str">
        <f t="shared" si="35"/>
        <v>Networking - MGT</v>
      </c>
      <c r="V1503" s="12" t="s">
        <v>104</v>
      </c>
      <c r="W1503" s="12" t="s">
        <v>263</v>
      </c>
      <c r="X1503" s="12" t="s">
        <v>264</v>
      </c>
      <c r="Y1503" s="12" t="s">
        <v>1038</v>
      </c>
      <c r="AJ1503"/>
      <c r="AK1503"/>
    </row>
    <row r="1504" spans="18:37" ht="14">
      <c r="R1504" s="14">
        <v>95102</v>
      </c>
      <c r="S1504" s="14" t="s">
        <v>762</v>
      </c>
      <c r="T1504" s="12" t="s">
        <v>139</v>
      </c>
      <c r="U1504" s="15" t="str">
        <f t="shared" si="35"/>
        <v>Networking - SMGT</v>
      </c>
      <c r="V1504" s="12" t="s">
        <v>104</v>
      </c>
      <c r="W1504" s="12" t="s">
        <v>263</v>
      </c>
      <c r="X1504" s="12" t="s">
        <v>264</v>
      </c>
      <c r="Y1504" s="12" t="s">
        <v>1038</v>
      </c>
      <c r="AJ1504"/>
      <c r="AK1504"/>
    </row>
    <row r="1505" spans="18:37" ht="14">
      <c r="R1505" s="14">
        <v>95102</v>
      </c>
      <c r="S1505" s="14" t="s">
        <v>762</v>
      </c>
      <c r="T1505" s="12" t="s">
        <v>145</v>
      </c>
      <c r="U1505" s="15" t="str">
        <f t="shared" si="35"/>
        <v>Networking - SUP</v>
      </c>
      <c r="V1505" s="12" t="s">
        <v>104</v>
      </c>
      <c r="W1505" s="12" t="s">
        <v>263</v>
      </c>
      <c r="X1505" s="12" t="s">
        <v>264</v>
      </c>
      <c r="Y1505" s="12" t="s">
        <v>1038</v>
      </c>
      <c r="AJ1505"/>
      <c r="AK1505"/>
    </row>
    <row r="1506" spans="18:37" ht="14">
      <c r="R1506" s="14">
        <v>95102</v>
      </c>
      <c r="S1506" s="14" t="s">
        <v>762</v>
      </c>
      <c r="T1506" s="12" t="s">
        <v>180</v>
      </c>
      <c r="U1506" s="15" t="str">
        <f t="shared" si="35"/>
        <v>Networking - TMG</v>
      </c>
      <c r="V1506" s="12" t="s">
        <v>104</v>
      </c>
      <c r="W1506" s="12" t="s">
        <v>263</v>
      </c>
      <c r="X1506" s="12" t="s">
        <v>264</v>
      </c>
      <c r="Y1506" s="12" t="s">
        <v>1038</v>
      </c>
      <c r="AJ1506"/>
      <c r="AK1506"/>
    </row>
    <row r="1507" spans="18:37" ht="14">
      <c r="R1507" s="14">
        <v>18034</v>
      </c>
      <c r="S1507" s="14" t="s">
        <v>617</v>
      </c>
      <c r="T1507" s="12" t="s">
        <v>116</v>
      </c>
      <c r="U1507" s="15" t="str">
        <f t="shared" si="35"/>
        <v>NexBank Mortgage - PRD</v>
      </c>
      <c r="V1507" s="12" t="s">
        <v>126</v>
      </c>
      <c r="W1507" s="12" t="s">
        <v>163</v>
      </c>
      <c r="X1507" s="12" t="s">
        <v>164</v>
      </c>
      <c r="Y1507" s="12" t="s">
        <v>1038</v>
      </c>
      <c r="AJ1507"/>
      <c r="AK1507"/>
    </row>
    <row r="1508" spans="18:37" ht="14">
      <c r="R1508" s="14">
        <v>18034</v>
      </c>
      <c r="S1508" s="14" t="s">
        <v>617</v>
      </c>
      <c r="T1508" s="12" t="s">
        <v>230</v>
      </c>
      <c r="U1508" s="15" t="str">
        <f t="shared" si="35"/>
        <v>NexBank Mortgage - PRSP</v>
      </c>
      <c r="V1508" s="12" t="s">
        <v>126</v>
      </c>
      <c r="W1508" s="12" t="s">
        <v>163</v>
      </c>
      <c r="X1508" s="12" t="s">
        <v>164</v>
      </c>
      <c r="Y1508" s="12" t="s">
        <v>1038</v>
      </c>
      <c r="AJ1508"/>
      <c r="AK1508"/>
    </row>
    <row r="1509" spans="18:37" ht="14">
      <c r="R1509" s="14">
        <v>18034</v>
      </c>
      <c r="S1509" s="14" t="s">
        <v>617</v>
      </c>
      <c r="T1509" s="12" t="s">
        <v>185</v>
      </c>
      <c r="U1509" s="15" t="str">
        <f t="shared" si="35"/>
        <v>NexBank Mortgage - TPS</v>
      </c>
      <c r="V1509" s="12" t="s">
        <v>126</v>
      </c>
      <c r="W1509" s="12" t="s">
        <v>163</v>
      </c>
      <c r="X1509" s="12" t="s">
        <v>164</v>
      </c>
      <c r="Y1509" s="12" t="s">
        <v>1038</v>
      </c>
      <c r="AJ1509"/>
      <c r="AK1509"/>
    </row>
    <row r="1510" spans="18:37" ht="14">
      <c r="R1510" s="14">
        <v>18040</v>
      </c>
      <c r="S1510" s="14" t="s">
        <v>621</v>
      </c>
      <c r="T1510" s="12" t="s">
        <v>116</v>
      </c>
      <c r="U1510" s="15" t="str">
        <f t="shared" si="35"/>
        <v>NexBank TPO - PRD</v>
      </c>
      <c r="V1510" s="12" t="s">
        <v>126</v>
      </c>
      <c r="W1510" s="12" t="s">
        <v>163</v>
      </c>
      <c r="X1510" s="12" t="s">
        <v>164</v>
      </c>
      <c r="Y1510" s="12" t="s">
        <v>1038</v>
      </c>
      <c r="AJ1510"/>
      <c r="AK1510"/>
    </row>
    <row r="1511" spans="18:37" ht="14">
      <c r="R1511" s="14">
        <v>18040</v>
      </c>
      <c r="S1511" s="14" t="s">
        <v>621</v>
      </c>
      <c r="T1511" s="12" t="s">
        <v>185</v>
      </c>
      <c r="U1511" s="15" t="str">
        <f t="shared" si="35"/>
        <v>NexBank TPO - TPS</v>
      </c>
      <c r="V1511" s="12" t="s">
        <v>126</v>
      </c>
      <c r="W1511" s="12" t="s">
        <v>163</v>
      </c>
      <c r="X1511" s="12" t="s">
        <v>164</v>
      </c>
      <c r="Y1511" s="12" t="s">
        <v>1038</v>
      </c>
      <c r="AJ1511"/>
      <c r="AK1511"/>
    </row>
    <row r="1512" spans="18:37" ht="14">
      <c r="R1512" s="14">
        <v>12625</v>
      </c>
      <c r="S1512" s="14" t="s">
        <v>605</v>
      </c>
      <c r="T1512" s="12" t="s">
        <v>145</v>
      </c>
      <c r="U1512" s="15" t="str">
        <f t="shared" si="35"/>
        <v>NextGen - Support - SUP</v>
      </c>
      <c r="V1512" s="12" t="s">
        <v>117</v>
      </c>
      <c r="W1512" s="12" t="s">
        <v>117</v>
      </c>
      <c r="X1512" s="12" t="s">
        <v>117</v>
      </c>
      <c r="Y1512" s="12" t="s">
        <v>1038</v>
      </c>
      <c r="AJ1512"/>
      <c r="AK1512"/>
    </row>
    <row r="1513" spans="18:37" ht="14">
      <c r="R1513" s="14">
        <v>12472</v>
      </c>
      <c r="S1513" s="14" t="s">
        <v>560</v>
      </c>
      <c r="T1513" s="12" t="s">
        <v>116</v>
      </c>
      <c r="U1513" s="15" t="str">
        <f t="shared" si="35"/>
        <v>Northwell – PDM Tools - PRD</v>
      </c>
      <c r="V1513" s="12" t="s">
        <v>117</v>
      </c>
      <c r="W1513" s="12" t="s">
        <v>117</v>
      </c>
      <c r="X1513" s="12" t="s">
        <v>117</v>
      </c>
      <c r="Y1513" s="12" t="s">
        <v>1038</v>
      </c>
      <c r="AJ1513"/>
      <c r="AK1513"/>
    </row>
    <row r="1514" spans="18:37" ht="14">
      <c r="R1514" s="14">
        <v>12420</v>
      </c>
      <c r="S1514" s="14" t="s">
        <v>544</v>
      </c>
      <c r="T1514" s="12" t="s">
        <v>116</v>
      </c>
      <c r="U1514" s="15" t="str">
        <f t="shared" si="35"/>
        <v>Northwell - RPA - PRD</v>
      </c>
      <c r="V1514" s="12" t="s">
        <v>104</v>
      </c>
      <c r="W1514" s="12" t="s">
        <v>117</v>
      </c>
      <c r="X1514" s="12" t="s">
        <v>117</v>
      </c>
      <c r="Y1514" s="12" t="s">
        <v>1038</v>
      </c>
      <c r="AJ1514"/>
      <c r="AK1514"/>
    </row>
    <row r="1515" spans="18:37" ht="14">
      <c r="R1515" s="14">
        <v>12124</v>
      </c>
      <c r="S1515" s="14" t="s">
        <v>520</v>
      </c>
      <c r="T1515" s="12" t="s">
        <v>224</v>
      </c>
      <c r="U1515" s="15" t="str">
        <f t="shared" si="35"/>
        <v>Northwell Commercial AR - ACM</v>
      </c>
      <c r="V1515" s="12" t="s">
        <v>126</v>
      </c>
      <c r="W1515" s="12" t="s">
        <v>163</v>
      </c>
      <c r="X1515" s="12" t="s">
        <v>164</v>
      </c>
      <c r="Y1515" s="12" t="s">
        <v>1038</v>
      </c>
      <c r="AJ1515"/>
      <c r="AK1515"/>
    </row>
    <row r="1516" spans="18:37" ht="14">
      <c r="R1516" s="14">
        <v>12124</v>
      </c>
      <c r="S1516" s="14" t="s">
        <v>520</v>
      </c>
      <c r="T1516" s="12" t="s">
        <v>177</v>
      </c>
      <c r="U1516" s="15" t="str">
        <f t="shared" si="35"/>
        <v>Northwell Commercial AR - OPS</v>
      </c>
      <c r="V1516" s="12" t="s">
        <v>126</v>
      </c>
      <c r="W1516" s="12" t="s">
        <v>163</v>
      </c>
      <c r="X1516" s="12" t="s">
        <v>164</v>
      </c>
      <c r="Y1516" s="12" t="s">
        <v>1038</v>
      </c>
      <c r="AJ1516"/>
      <c r="AK1516"/>
    </row>
    <row r="1517" spans="18:37" ht="14">
      <c r="R1517" s="14">
        <v>12124</v>
      </c>
      <c r="S1517" s="14" t="s">
        <v>520</v>
      </c>
      <c r="T1517" s="12" t="s">
        <v>116</v>
      </c>
      <c r="U1517" s="15" t="str">
        <f t="shared" si="35"/>
        <v>Northwell Commercial AR - PRD</v>
      </c>
      <c r="V1517" s="12" t="s">
        <v>126</v>
      </c>
      <c r="W1517" s="12" t="s">
        <v>163</v>
      </c>
      <c r="X1517" s="12" t="s">
        <v>164</v>
      </c>
      <c r="Y1517" s="12" t="s">
        <v>1038</v>
      </c>
      <c r="AJ1517"/>
      <c r="AK1517"/>
    </row>
    <row r="1518" spans="18:37" ht="14">
      <c r="R1518" s="14">
        <v>12124</v>
      </c>
      <c r="S1518" s="14" t="s">
        <v>520</v>
      </c>
      <c r="T1518" s="12" t="s">
        <v>111</v>
      </c>
      <c r="U1518" s="15" t="str">
        <f t="shared" si="35"/>
        <v>Northwell Commercial AR - QLY</v>
      </c>
      <c r="V1518" s="12" t="s">
        <v>112</v>
      </c>
      <c r="W1518" s="12" t="s">
        <v>113</v>
      </c>
      <c r="X1518" s="12" t="s">
        <v>114</v>
      </c>
      <c r="Y1518" s="12" t="s">
        <v>1038</v>
      </c>
      <c r="AJ1518"/>
      <c r="AK1518"/>
    </row>
    <row r="1519" spans="18:37" ht="14">
      <c r="R1519" s="14">
        <v>12124</v>
      </c>
      <c r="S1519" s="14" t="s">
        <v>520</v>
      </c>
      <c r="T1519" s="12" t="s">
        <v>332</v>
      </c>
      <c r="U1519" s="15" t="str">
        <f t="shared" si="35"/>
        <v>Northwell Commercial AR - RCF</v>
      </c>
      <c r="V1519" s="12" t="s">
        <v>126</v>
      </c>
      <c r="W1519" s="12" t="s">
        <v>163</v>
      </c>
      <c r="X1519" s="12" t="s">
        <v>164</v>
      </c>
      <c r="Y1519" s="12" t="s">
        <v>1038</v>
      </c>
      <c r="AJ1519"/>
      <c r="AK1519"/>
    </row>
    <row r="1520" spans="18:37" ht="14">
      <c r="R1520" s="14">
        <v>12124</v>
      </c>
      <c r="S1520" s="14" t="s">
        <v>520</v>
      </c>
      <c r="T1520" s="12" t="s">
        <v>145</v>
      </c>
      <c r="U1520" s="15" t="str">
        <f t="shared" si="35"/>
        <v>Northwell Commercial AR - SUP</v>
      </c>
      <c r="V1520" s="12" t="s">
        <v>126</v>
      </c>
      <c r="W1520" s="12" t="s">
        <v>163</v>
      </c>
      <c r="X1520" s="12" t="s">
        <v>164</v>
      </c>
      <c r="Y1520" s="12" t="s">
        <v>1038</v>
      </c>
      <c r="AJ1520"/>
      <c r="AK1520"/>
    </row>
    <row r="1521" spans="18:37" ht="14">
      <c r="R1521" s="14">
        <v>12124</v>
      </c>
      <c r="S1521" s="14" t="s">
        <v>520</v>
      </c>
      <c r="T1521" s="12" t="s">
        <v>180</v>
      </c>
      <c r="U1521" s="15" t="str">
        <f t="shared" si="35"/>
        <v>Northwell Commercial AR - TMG</v>
      </c>
      <c r="V1521" s="12" t="s">
        <v>126</v>
      </c>
      <c r="W1521" s="12" t="s">
        <v>163</v>
      </c>
      <c r="X1521" s="12" t="s">
        <v>164</v>
      </c>
      <c r="Y1521" s="12" t="s">
        <v>1038</v>
      </c>
      <c r="AJ1521"/>
      <c r="AK1521"/>
    </row>
    <row r="1522" spans="18:37" ht="14">
      <c r="R1522" s="14">
        <v>12124</v>
      </c>
      <c r="S1522" s="14" t="s">
        <v>520</v>
      </c>
      <c r="T1522" s="12" t="s">
        <v>185</v>
      </c>
      <c r="U1522" s="15" t="str">
        <f t="shared" si="35"/>
        <v>Northwell Commercial AR - TPS</v>
      </c>
      <c r="V1522" s="12" t="s">
        <v>126</v>
      </c>
      <c r="W1522" s="12" t="s">
        <v>163</v>
      </c>
      <c r="X1522" s="12" t="s">
        <v>164</v>
      </c>
      <c r="Y1522" s="12" t="s">
        <v>1038</v>
      </c>
      <c r="AJ1522"/>
      <c r="AK1522"/>
    </row>
    <row r="1523" spans="18:37" ht="14">
      <c r="R1523" s="14">
        <v>12125</v>
      </c>
      <c r="S1523" s="14" t="s">
        <v>522</v>
      </c>
      <c r="T1523" s="12" t="s">
        <v>224</v>
      </c>
      <c r="U1523" s="15" t="str">
        <f t="shared" si="35"/>
        <v>Northwell Missing Check Proj - ACM</v>
      </c>
      <c r="V1523" s="12" t="s">
        <v>126</v>
      </c>
      <c r="W1523" s="12" t="s">
        <v>163</v>
      </c>
      <c r="X1523" s="12" t="s">
        <v>164</v>
      </c>
      <c r="Y1523" s="12" t="s">
        <v>1038</v>
      </c>
      <c r="AJ1523"/>
      <c r="AK1523"/>
    </row>
    <row r="1524" spans="18:37" ht="14">
      <c r="R1524" s="14">
        <v>12125</v>
      </c>
      <c r="S1524" s="14" t="s">
        <v>522</v>
      </c>
      <c r="T1524" s="12" t="s">
        <v>177</v>
      </c>
      <c r="U1524" s="15" t="str">
        <f t="shared" si="35"/>
        <v>Northwell Missing Check Proj - OPS</v>
      </c>
      <c r="V1524" s="12" t="s">
        <v>126</v>
      </c>
      <c r="W1524" s="12" t="s">
        <v>163</v>
      </c>
      <c r="X1524" s="12" t="s">
        <v>164</v>
      </c>
      <c r="Y1524" s="12" t="s">
        <v>1038</v>
      </c>
      <c r="AJ1524"/>
      <c r="AK1524"/>
    </row>
    <row r="1525" spans="18:37" ht="14">
      <c r="R1525" s="14">
        <v>12125</v>
      </c>
      <c r="S1525" s="14" t="s">
        <v>522</v>
      </c>
      <c r="T1525" s="12" t="s">
        <v>116</v>
      </c>
      <c r="U1525" s="15" t="str">
        <f t="shared" si="35"/>
        <v>Northwell Missing Check Proj - PRD</v>
      </c>
      <c r="V1525" s="12" t="s">
        <v>126</v>
      </c>
      <c r="W1525" s="12" t="s">
        <v>163</v>
      </c>
      <c r="X1525" s="12" t="s">
        <v>164</v>
      </c>
      <c r="Y1525" s="12" t="s">
        <v>1038</v>
      </c>
      <c r="AJ1525"/>
      <c r="AK1525"/>
    </row>
    <row r="1526" spans="18:37" ht="14">
      <c r="R1526" s="14">
        <v>12125</v>
      </c>
      <c r="S1526" s="14" t="s">
        <v>522</v>
      </c>
      <c r="T1526" s="12" t="s">
        <v>332</v>
      </c>
      <c r="U1526" s="15" t="str">
        <f t="shared" si="35"/>
        <v>Northwell Missing Check Proj - RCF</v>
      </c>
      <c r="V1526" s="12" t="s">
        <v>126</v>
      </c>
      <c r="W1526" s="12" t="s">
        <v>163</v>
      </c>
      <c r="X1526" s="12" t="s">
        <v>164</v>
      </c>
      <c r="Y1526" s="12" t="s">
        <v>1038</v>
      </c>
      <c r="AJ1526"/>
      <c r="AK1526"/>
    </row>
    <row r="1527" spans="18:37" ht="14">
      <c r="R1527" s="14">
        <v>12125</v>
      </c>
      <c r="S1527" s="14" t="s">
        <v>522</v>
      </c>
      <c r="T1527" s="12" t="s">
        <v>180</v>
      </c>
      <c r="U1527" s="15" t="str">
        <f t="shared" si="35"/>
        <v>Northwell Missing Check Proj - TMG</v>
      </c>
      <c r="V1527" s="12" t="s">
        <v>126</v>
      </c>
      <c r="W1527" s="12" t="s">
        <v>163</v>
      </c>
      <c r="X1527" s="12" t="s">
        <v>164</v>
      </c>
      <c r="Y1527" s="12" t="s">
        <v>1038</v>
      </c>
      <c r="AJ1527"/>
      <c r="AK1527"/>
    </row>
    <row r="1528" spans="18:37" ht="14">
      <c r="R1528" s="14">
        <v>12125</v>
      </c>
      <c r="S1528" s="14" t="s">
        <v>522</v>
      </c>
      <c r="T1528" s="12" t="s">
        <v>185</v>
      </c>
      <c r="U1528" s="15" t="str">
        <f t="shared" si="35"/>
        <v>Northwell Missing Check Proj - TPS</v>
      </c>
      <c r="V1528" s="12" t="s">
        <v>126</v>
      </c>
      <c r="W1528" s="12" t="s">
        <v>163</v>
      </c>
      <c r="X1528" s="12" t="s">
        <v>164</v>
      </c>
      <c r="Y1528" s="12" t="s">
        <v>1038</v>
      </c>
      <c r="AJ1528"/>
      <c r="AK1528"/>
    </row>
    <row r="1529" spans="18:37" ht="14">
      <c r="R1529" s="14">
        <v>12502</v>
      </c>
      <c r="S1529" s="14" t="s">
        <v>568</v>
      </c>
      <c r="T1529" s="12" t="s">
        <v>116</v>
      </c>
      <c r="U1529" s="15" t="str">
        <f t="shared" si="35"/>
        <v>Northwell RCM - PAP - PRD</v>
      </c>
      <c r="V1529" s="12" t="s">
        <v>126</v>
      </c>
      <c r="W1529" s="12" t="s">
        <v>163</v>
      </c>
      <c r="X1529" s="12" t="s">
        <v>164</v>
      </c>
      <c r="Y1529" s="12" t="s">
        <v>1038</v>
      </c>
      <c r="AJ1529"/>
      <c r="AK1529"/>
    </row>
    <row r="1530" spans="18:37" ht="14">
      <c r="R1530" s="14">
        <v>12126</v>
      </c>
      <c r="S1530" s="14" t="s">
        <v>523</v>
      </c>
      <c r="T1530" s="12" t="s">
        <v>230</v>
      </c>
      <c r="U1530" s="15" t="str">
        <f t="shared" si="35"/>
        <v>Northwell_Coding Services - PRSP</v>
      </c>
      <c r="V1530" s="12" t="s">
        <v>126</v>
      </c>
      <c r="W1530" s="12" t="s">
        <v>237</v>
      </c>
      <c r="X1530" s="12" t="s">
        <v>238</v>
      </c>
      <c r="Y1530" s="12" t="s">
        <v>1038</v>
      </c>
      <c r="AJ1530"/>
      <c r="AK1530"/>
    </row>
    <row r="1531" spans="18:37" ht="14">
      <c r="R1531" s="14">
        <v>12126</v>
      </c>
      <c r="S1531" s="14" t="s">
        <v>523</v>
      </c>
      <c r="T1531" s="12" t="s">
        <v>145</v>
      </c>
      <c r="U1531" s="15" t="str">
        <f t="shared" si="35"/>
        <v>Northwell_Coding Services - SUP</v>
      </c>
      <c r="V1531" s="12" t="s">
        <v>126</v>
      </c>
      <c r="W1531" s="12" t="s">
        <v>237</v>
      </c>
      <c r="X1531" s="12" t="s">
        <v>238</v>
      </c>
      <c r="Y1531" s="12" t="s">
        <v>1038</v>
      </c>
      <c r="AJ1531"/>
      <c r="AK1531"/>
    </row>
    <row r="1532" spans="18:37" ht="14">
      <c r="R1532" s="14">
        <v>12126</v>
      </c>
      <c r="S1532" s="14" t="s">
        <v>523</v>
      </c>
      <c r="T1532" s="12" t="s">
        <v>185</v>
      </c>
      <c r="U1532" s="15" t="str">
        <f t="shared" si="35"/>
        <v>Northwell_Coding Services - TPS</v>
      </c>
      <c r="V1532" s="12" t="s">
        <v>126</v>
      </c>
      <c r="W1532" s="12" t="s">
        <v>237</v>
      </c>
      <c r="X1532" s="12" t="s">
        <v>238</v>
      </c>
      <c r="Y1532" s="12" t="s">
        <v>1038</v>
      </c>
      <c r="AJ1532"/>
      <c r="AK1532"/>
    </row>
    <row r="1533" spans="18:37" ht="14">
      <c r="R1533" s="14">
        <v>51502</v>
      </c>
      <c r="S1533" s="14" t="s">
        <v>822</v>
      </c>
      <c r="T1533" s="12" t="s">
        <v>116</v>
      </c>
      <c r="U1533" s="15" t="str">
        <f t="shared" si="35"/>
        <v>NRUCFC-SUNERAPARTNERSHIPEAM-CX - PRD</v>
      </c>
      <c r="V1533" s="12" t="s">
        <v>117</v>
      </c>
      <c r="W1533" s="12" t="s">
        <v>117</v>
      </c>
      <c r="X1533" s="12" t="s">
        <v>117</v>
      </c>
      <c r="Y1533" s="12" t="s">
        <v>1038</v>
      </c>
      <c r="AJ1533"/>
      <c r="AK1533"/>
    </row>
    <row r="1534" spans="18:37" ht="14">
      <c r="R1534" s="14">
        <v>12413</v>
      </c>
      <c r="S1534" s="14" t="s">
        <v>543</v>
      </c>
      <c r="T1534" s="12" t="s">
        <v>116</v>
      </c>
      <c r="U1534" s="15" t="str">
        <f t="shared" si="35"/>
        <v>Nyack In-Patient - Coding - PRD</v>
      </c>
      <c r="V1534" s="12" t="s">
        <v>126</v>
      </c>
      <c r="W1534" s="12" t="s">
        <v>237</v>
      </c>
      <c r="X1534" s="12" t="s">
        <v>238</v>
      </c>
      <c r="Y1534" s="12" t="s">
        <v>1038</v>
      </c>
      <c r="AJ1534"/>
      <c r="AK1534"/>
    </row>
    <row r="1535" spans="18:37" ht="14">
      <c r="R1535" s="14">
        <v>12413</v>
      </c>
      <c r="S1535" s="14" t="s">
        <v>543</v>
      </c>
      <c r="T1535" s="12" t="s">
        <v>185</v>
      </c>
      <c r="U1535" s="15" t="str">
        <f t="shared" si="35"/>
        <v>Nyack In-Patient - Coding - TPS</v>
      </c>
      <c r="V1535" s="12" t="s">
        <v>126</v>
      </c>
      <c r="W1535" s="12" t="s">
        <v>237</v>
      </c>
      <c r="X1535" s="12" t="s">
        <v>238</v>
      </c>
      <c r="Y1535" s="12" t="s">
        <v>1038</v>
      </c>
      <c r="AJ1535"/>
      <c r="AK1535"/>
    </row>
    <row r="1536" spans="18:37" ht="14">
      <c r="R1536" s="14">
        <v>12422</v>
      </c>
      <c r="S1536" s="14" t="s">
        <v>548</v>
      </c>
      <c r="T1536" s="12" t="s">
        <v>230</v>
      </c>
      <c r="U1536" s="15" t="str">
        <f t="shared" si="35"/>
        <v>NYC Health - Coding - PRSP</v>
      </c>
      <c r="V1536" s="12" t="s">
        <v>126</v>
      </c>
      <c r="W1536" s="12" t="s">
        <v>237</v>
      </c>
      <c r="X1536" s="12" t="s">
        <v>238</v>
      </c>
      <c r="Y1536" s="12" t="s">
        <v>1038</v>
      </c>
      <c r="AJ1536"/>
      <c r="AK1536"/>
    </row>
    <row r="1537" spans="18:37" ht="14">
      <c r="R1537" s="14">
        <v>12422</v>
      </c>
      <c r="S1537" s="14" t="s">
        <v>548</v>
      </c>
      <c r="T1537" s="12" t="s">
        <v>185</v>
      </c>
      <c r="U1537" s="15" t="str">
        <f t="shared" si="35"/>
        <v>NYC Health - Coding - TPS</v>
      </c>
      <c r="V1537" s="12" t="s">
        <v>126</v>
      </c>
      <c r="W1537" s="12" t="s">
        <v>237</v>
      </c>
      <c r="X1537" s="12" t="s">
        <v>238</v>
      </c>
      <c r="Y1537" s="12" t="s">
        <v>1038</v>
      </c>
      <c r="AJ1537"/>
      <c r="AK1537"/>
    </row>
    <row r="1538" spans="18:37" ht="14">
      <c r="R1538" s="14">
        <v>12431</v>
      </c>
      <c r="S1538" s="14" t="s">
        <v>550</v>
      </c>
      <c r="T1538" s="12" t="s">
        <v>116</v>
      </c>
      <c r="U1538" s="15" t="str">
        <f t="shared" si="35"/>
        <v>NYC Health - PH AR - PRD</v>
      </c>
      <c r="V1538" s="12" t="s">
        <v>126</v>
      </c>
      <c r="W1538" s="12" t="s">
        <v>163</v>
      </c>
      <c r="X1538" s="12" t="s">
        <v>164</v>
      </c>
      <c r="Y1538" s="12" t="s">
        <v>1038</v>
      </c>
      <c r="AJ1538"/>
      <c r="AK1538"/>
    </row>
    <row r="1539" spans="18:37" ht="14">
      <c r="R1539" s="14">
        <v>12431</v>
      </c>
      <c r="S1539" s="14" t="s">
        <v>550</v>
      </c>
      <c r="T1539" s="12" t="s">
        <v>145</v>
      </c>
      <c r="U1539" s="15" t="str">
        <f t="shared" ref="U1539:U1602" si="36">S1539&amp;" - "&amp;T1539</f>
        <v>NYC Health - PH AR - SUP</v>
      </c>
      <c r="V1539" s="12" t="s">
        <v>126</v>
      </c>
      <c r="W1539" s="12" t="s">
        <v>163</v>
      </c>
      <c r="X1539" s="12" t="s">
        <v>164</v>
      </c>
      <c r="Y1539" s="12" t="s">
        <v>1038</v>
      </c>
      <c r="AJ1539"/>
      <c r="AK1539"/>
    </row>
    <row r="1540" spans="18:37" ht="14">
      <c r="R1540" s="14">
        <v>12431</v>
      </c>
      <c r="S1540" s="14" t="s">
        <v>550</v>
      </c>
      <c r="T1540" s="12" t="s">
        <v>180</v>
      </c>
      <c r="U1540" s="15" t="str">
        <f t="shared" si="36"/>
        <v>NYC Health - PH AR - TMG</v>
      </c>
      <c r="V1540" s="12" t="s">
        <v>126</v>
      </c>
      <c r="W1540" s="12" t="s">
        <v>163</v>
      </c>
      <c r="X1540" s="12" t="s">
        <v>164</v>
      </c>
      <c r="Y1540" s="12" t="s">
        <v>1038</v>
      </c>
      <c r="AJ1540"/>
      <c r="AK1540"/>
    </row>
    <row r="1541" spans="18:37" ht="14">
      <c r="R1541" s="14">
        <v>21492</v>
      </c>
      <c r="S1541" s="14" t="s">
        <v>646</v>
      </c>
      <c r="T1541" s="12" t="s">
        <v>116</v>
      </c>
      <c r="U1541" s="15" t="str">
        <f t="shared" si="36"/>
        <v>NYC Health - SP - PRD</v>
      </c>
      <c r="V1541" s="12" t="s">
        <v>126</v>
      </c>
      <c r="W1541" s="12" t="s">
        <v>163</v>
      </c>
      <c r="X1541" s="12" t="s">
        <v>164</v>
      </c>
      <c r="Y1541" s="12" t="s">
        <v>1038</v>
      </c>
      <c r="AJ1541"/>
      <c r="AK1541"/>
    </row>
    <row r="1542" spans="18:37" ht="14">
      <c r="R1542" s="14">
        <v>40059</v>
      </c>
      <c r="S1542" s="14" t="s">
        <v>663</v>
      </c>
      <c r="T1542" s="12" t="s">
        <v>116</v>
      </c>
      <c r="U1542" s="15" t="str">
        <f t="shared" si="36"/>
        <v>Oman FDS - PRD</v>
      </c>
      <c r="V1542" s="12" t="s">
        <v>126</v>
      </c>
      <c r="W1542" s="12" t="s">
        <v>163</v>
      </c>
      <c r="X1542" s="12" t="s">
        <v>164</v>
      </c>
      <c r="Y1542" s="12" t="s">
        <v>1038</v>
      </c>
      <c r="AJ1542"/>
      <c r="AK1542"/>
    </row>
    <row r="1543" spans="18:37" ht="14">
      <c r="R1543" s="14">
        <v>40059</v>
      </c>
      <c r="S1543" s="14" t="s">
        <v>663</v>
      </c>
      <c r="T1543" s="12" t="s">
        <v>185</v>
      </c>
      <c r="U1543" s="15" t="str">
        <f t="shared" si="36"/>
        <v>Oman FDS - TPS</v>
      </c>
      <c r="V1543" s="12" t="s">
        <v>126</v>
      </c>
      <c r="W1543" s="12" t="s">
        <v>163</v>
      </c>
      <c r="X1543" s="12" t="s">
        <v>164</v>
      </c>
      <c r="Y1543" s="12" t="s">
        <v>1038</v>
      </c>
      <c r="AJ1543"/>
      <c r="AK1543"/>
    </row>
    <row r="1544" spans="18:37" ht="14">
      <c r="R1544" s="14">
        <v>40061</v>
      </c>
      <c r="S1544" s="14" t="s">
        <v>664</v>
      </c>
      <c r="T1544" s="12" t="s">
        <v>133</v>
      </c>
      <c r="U1544" s="15" t="str">
        <f t="shared" si="36"/>
        <v>Oman PRA - AMG</v>
      </c>
      <c r="V1544" s="12" t="s">
        <v>126</v>
      </c>
      <c r="W1544" s="12" t="s">
        <v>163</v>
      </c>
      <c r="X1544" s="12" t="s">
        <v>164</v>
      </c>
      <c r="Y1544" s="12" t="s">
        <v>1038</v>
      </c>
      <c r="AJ1544"/>
      <c r="AK1544"/>
    </row>
    <row r="1545" spans="18:37" ht="14">
      <c r="R1545" s="14">
        <v>40061</v>
      </c>
      <c r="S1545" s="14" t="s">
        <v>664</v>
      </c>
      <c r="T1545" s="12" t="s">
        <v>116</v>
      </c>
      <c r="U1545" s="15" t="str">
        <f t="shared" si="36"/>
        <v>Oman PRA - PRD</v>
      </c>
      <c r="V1545" s="12" t="s">
        <v>126</v>
      </c>
      <c r="W1545" s="12" t="s">
        <v>163</v>
      </c>
      <c r="X1545" s="12" t="s">
        <v>164</v>
      </c>
      <c r="Y1545" s="12" t="s">
        <v>1038</v>
      </c>
      <c r="AJ1545"/>
      <c r="AK1545"/>
    </row>
    <row r="1546" spans="18:37" ht="14">
      <c r="R1546" s="14">
        <v>40061</v>
      </c>
      <c r="S1546" s="14" t="s">
        <v>664</v>
      </c>
      <c r="T1546" s="12" t="s">
        <v>145</v>
      </c>
      <c r="U1546" s="15" t="str">
        <f t="shared" si="36"/>
        <v>Oman PRA - SUP</v>
      </c>
      <c r="V1546" s="12" t="s">
        <v>126</v>
      </c>
      <c r="W1546" s="12" t="s">
        <v>163</v>
      </c>
      <c r="X1546" s="12" t="s">
        <v>164</v>
      </c>
      <c r="Y1546" s="12" t="s">
        <v>1038</v>
      </c>
      <c r="AJ1546"/>
      <c r="AK1546"/>
    </row>
    <row r="1547" spans="18:37" ht="14">
      <c r="R1547" s="14">
        <v>40061</v>
      </c>
      <c r="S1547" s="14" t="s">
        <v>664</v>
      </c>
      <c r="T1547" s="12" t="s">
        <v>180</v>
      </c>
      <c r="U1547" s="15" t="str">
        <f t="shared" si="36"/>
        <v>Oman PRA - TMG</v>
      </c>
      <c r="V1547" s="12" t="s">
        <v>126</v>
      </c>
      <c r="W1547" s="12" t="s">
        <v>163</v>
      </c>
      <c r="X1547" s="12" t="s">
        <v>164</v>
      </c>
      <c r="Y1547" s="12" t="s">
        <v>1038</v>
      </c>
      <c r="AJ1547"/>
      <c r="AK1547"/>
    </row>
    <row r="1548" spans="18:37" ht="14">
      <c r="R1548" s="14">
        <v>40061</v>
      </c>
      <c r="S1548" s="14" t="s">
        <v>664</v>
      </c>
      <c r="T1548" s="12" t="s">
        <v>185</v>
      </c>
      <c r="U1548" s="15" t="str">
        <f t="shared" si="36"/>
        <v>Oman PRA - TPS</v>
      </c>
      <c r="V1548" s="12" t="s">
        <v>126</v>
      </c>
      <c r="W1548" s="12" t="s">
        <v>163</v>
      </c>
      <c r="X1548" s="12" t="s">
        <v>164</v>
      </c>
      <c r="Y1548" s="12" t="s">
        <v>1038</v>
      </c>
      <c r="AJ1548"/>
      <c r="AK1548"/>
    </row>
    <row r="1549" spans="18:37" ht="14">
      <c r="R1549" s="14">
        <v>18035</v>
      </c>
      <c r="S1549" s="14" t="s">
        <v>618</v>
      </c>
      <c r="T1549" s="12" t="s">
        <v>156</v>
      </c>
      <c r="U1549" s="15" t="str">
        <f t="shared" si="36"/>
        <v>OneTrust Fulfillment Services - CLR</v>
      </c>
      <c r="V1549" s="12" t="s">
        <v>126</v>
      </c>
      <c r="W1549" s="12" t="s">
        <v>163</v>
      </c>
      <c r="X1549" s="12" t="s">
        <v>164</v>
      </c>
      <c r="Y1549" s="12" t="s">
        <v>1038</v>
      </c>
      <c r="AJ1549"/>
      <c r="AK1549"/>
    </row>
    <row r="1550" spans="18:37" ht="14">
      <c r="R1550" s="14">
        <v>18035</v>
      </c>
      <c r="S1550" s="14" t="s">
        <v>618</v>
      </c>
      <c r="T1550" s="12" t="s">
        <v>145</v>
      </c>
      <c r="U1550" s="15" t="str">
        <f t="shared" si="36"/>
        <v>OneTrust Fulfillment Services - SUP</v>
      </c>
      <c r="V1550" s="12" t="s">
        <v>126</v>
      </c>
      <c r="W1550" s="12" t="s">
        <v>163</v>
      </c>
      <c r="X1550" s="12" t="s">
        <v>164</v>
      </c>
      <c r="Y1550" s="12" t="s">
        <v>1038</v>
      </c>
      <c r="AJ1550"/>
      <c r="AK1550"/>
    </row>
    <row r="1551" spans="18:37" ht="14">
      <c r="R1551" s="14">
        <v>18035</v>
      </c>
      <c r="S1551" s="14" t="s">
        <v>618</v>
      </c>
      <c r="T1551" s="12" t="s">
        <v>180</v>
      </c>
      <c r="U1551" s="15" t="str">
        <f t="shared" si="36"/>
        <v>OneTrust Fulfillment Services - TMG</v>
      </c>
      <c r="V1551" s="12" t="s">
        <v>126</v>
      </c>
      <c r="W1551" s="12" t="s">
        <v>163</v>
      </c>
      <c r="X1551" s="12" t="s">
        <v>164</v>
      </c>
      <c r="Y1551" s="12" t="s">
        <v>1038</v>
      </c>
      <c r="AJ1551"/>
      <c r="AK1551"/>
    </row>
    <row r="1552" spans="18:37" ht="14">
      <c r="R1552" s="14">
        <v>18035</v>
      </c>
      <c r="S1552" s="14" t="s">
        <v>618</v>
      </c>
      <c r="T1552" s="12" t="s">
        <v>185</v>
      </c>
      <c r="U1552" s="15" t="str">
        <f t="shared" si="36"/>
        <v>OneTrust Fulfillment Services - TPS</v>
      </c>
      <c r="V1552" s="12" t="s">
        <v>126</v>
      </c>
      <c r="W1552" s="12" t="s">
        <v>163</v>
      </c>
      <c r="X1552" s="12" t="s">
        <v>164</v>
      </c>
      <c r="Y1552" s="12" t="s">
        <v>1038</v>
      </c>
      <c r="AJ1552"/>
      <c r="AK1552"/>
    </row>
    <row r="1553" spans="18:37" ht="14">
      <c r="R1553" s="14">
        <v>10768</v>
      </c>
      <c r="S1553" s="14" t="s">
        <v>371</v>
      </c>
      <c r="T1553" s="12" t="s">
        <v>116</v>
      </c>
      <c r="U1553" s="15" t="str">
        <f t="shared" si="36"/>
        <v>Opportunity Fund_Tier 1 IT S - PRD</v>
      </c>
      <c r="V1553" s="12" t="s">
        <v>126</v>
      </c>
      <c r="W1553" s="12" t="s">
        <v>360</v>
      </c>
      <c r="X1553" s="12" t="s">
        <v>361</v>
      </c>
      <c r="Y1553" s="12" t="s">
        <v>1038</v>
      </c>
      <c r="AJ1553"/>
      <c r="AK1553"/>
    </row>
    <row r="1554" spans="18:37" ht="14">
      <c r="R1554" s="14">
        <v>10768</v>
      </c>
      <c r="S1554" s="14" t="s">
        <v>371</v>
      </c>
      <c r="T1554" s="12" t="s">
        <v>180</v>
      </c>
      <c r="U1554" s="15" t="str">
        <f t="shared" si="36"/>
        <v>Opportunity Fund_Tier 1 IT S - TMG</v>
      </c>
      <c r="V1554" s="12" t="s">
        <v>126</v>
      </c>
      <c r="W1554" s="12" t="s">
        <v>360</v>
      </c>
      <c r="X1554" s="12" t="s">
        <v>361</v>
      </c>
      <c r="Y1554" s="12" t="s">
        <v>1038</v>
      </c>
      <c r="AJ1554"/>
      <c r="AK1554"/>
    </row>
    <row r="1555" spans="18:37" ht="14">
      <c r="R1555" s="14">
        <v>97322</v>
      </c>
      <c r="S1555" s="14" t="s">
        <v>808</v>
      </c>
      <c r="T1555" s="12" t="s">
        <v>129</v>
      </c>
      <c r="U1555" s="15" t="str">
        <f t="shared" si="36"/>
        <v>Org Capability Development - MGT</v>
      </c>
      <c r="V1555" s="12" t="s">
        <v>104</v>
      </c>
      <c r="W1555" s="12" t="s">
        <v>370</v>
      </c>
      <c r="X1555" s="12" t="s">
        <v>205</v>
      </c>
      <c r="Y1555" s="12" t="s">
        <v>1038</v>
      </c>
      <c r="AJ1555"/>
      <c r="AK1555"/>
    </row>
    <row r="1556" spans="18:37" ht="14">
      <c r="R1556" s="14">
        <v>97322</v>
      </c>
      <c r="S1556" s="14" t="s">
        <v>808</v>
      </c>
      <c r="T1556" s="12" t="s">
        <v>145</v>
      </c>
      <c r="U1556" s="15" t="str">
        <f t="shared" si="36"/>
        <v>Org Capability Development - SUP</v>
      </c>
      <c r="V1556" s="12" t="s">
        <v>104</v>
      </c>
      <c r="W1556" s="12" t="s">
        <v>370</v>
      </c>
      <c r="X1556" s="12" t="s">
        <v>205</v>
      </c>
      <c r="Y1556" s="12" t="s">
        <v>1038</v>
      </c>
      <c r="AJ1556"/>
      <c r="AK1556"/>
    </row>
    <row r="1557" spans="18:37" ht="14">
      <c r="R1557" s="14">
        <v>91024</v>
      </c>
      <c r="S1557" s="14" t="s">
        <v>933</v>
      </c>
      <c r="T1557" s="12" t="s">
        <v>180</v>
      </c>
      <c r="U1557" s="15" t="str">
        <f t="shared" si="36"/>
        <v>Organizational Excellence - TMG</v>
      </c>
      <c r="V1557" s="12" t="s">
        <v>104</v>
      </c>
      <c r="W1557" s="12" t="s">
        <v>401</v>
      </c>
      <c r="X1557" s="12" t="s">
        <v>114</v>
      </c>
      <c r="Y1557" s="12" t="s">
        <v>1038</v>
      </c>
      <c r="AJ1557"/>
      <c r="AK1557"/>
    </row>
    <row r="1558" spans="18:37" ht="14">
      <c r="R1558" s="14">
        <v>51214</v>
      </c>
      <c r="S1558" s="14" t="s">
        <v>736</v>
      </c>
      <c r="T1558" s="12" t="s">
        <v>116</v>
      </c>
      <c r="U1558" s="15" t="str">
        <f t="shared" si="36"/>
        <v>Orix-2204-2503-Cloudtestr-QEC - PRD</v>
      </c>
      <c r="V1558" s="12" t="s">
        <v>117</v>
      </c>
      <c r="W1558" s="12" t="s">
        <v>117</v>
      </c>
      <c r="X1558" s="12" t="s">
        <v>117</v>
      </c>
      <c r="Y1558" s="12" t="s">
        <v>1038</v>
      </c>
      <c r="AJ1558"/>
      <c r="AK1558"/>
    </row>
    <row r="1559" spans="18:37" ht="14">
      <c r="R1559" s="14">
        <v>83001</v>
      </c>
      <c r="S1559" s="14" t="s">
        <v>878</v>
      </c>
      <c r="T1559" s="12" t="s">
        <v>145</v>
      </c>
      <c r="U1559" s="15" t="str">
        <f t="shared" si="36"/>
        <v>Other internal products - SUP</v>
      </c>
      <c r="V1559" s="12" t="s">
        <v>104</v>
      </c>
      <c r="W1559" s="12" t="s">
        <v>117</v>
      </c>
      <c r="X1559" s="12" t="s">
        <v>117</v>
      </c>
      <c r="Y1559" s="12" t="s">
        <v>1038</v>
      </c>
      <c r="AJ1559"/>
      <c r="AK1559"/>
    </row>
    <row r="1560" spans="18:37" ht="14">
      <c r="R1560" s="14">
        <v>12313</v>
      </c>
      <c r="S1560" s="14" t="s">
        <v>530</v>
      </c>
      <c r="T1560" s="12" t="s">
        <v>230</v>
      </c>
      <c r="U1560" s="15" t="str">
        <f t="shared" si="36"/>
        <v>Palomar - Coding - PRSP</v>
      </c>
      <c r="V1560" s="12" t="s">
        <v>126</v>
      </c>
      <c r="W1560" s="12" t="s">
        <v>237</v>
      </c>
      <c r="X1560" s="12" t="s">
        <v>238</v>
      </c>
      <c r="Y1560" s="12" t="s">
        <v>1038</v>
      </c>
      <c r="AJ1560"/>
      <c r="AK1560"/>
    </row>
    <row r="1561" spans="18:37" ht="14">
      <c r="R1561" s="14">
        <v>12313</v>
      </c>
      <c r="S1561" s="14" t="s">
        <v>530</v>
      </c>
      <c r="T1561" s="12" t="s">
        <v>145</v>
      </c>
      <c r="U1561" s="15" t="str">
        <f t="shared" si="36"/>
        <v>Palomar - Coding - SUP</v>
      </c>
      <c r="V1561" s="12" t="s">
        <v>126</v>
      </c>
      <c r="W1561" s="12" t="s">
        <v>237</v>
      </c>
      <c r="X1561" s="12" t="s">
        <v>238</v>
      </c>
      <c r="Y1561" s="12" t="s">
        <v>1038</v>
      </c>
      <c r="AJ1561"/>
      <c r="AK1561"/>
    </row>
    <row r="1562" spans="18:37" ht="14">
      <c r="R1562" s="14">
        <v>12313</v>
      </c>
      <c r="S1562" s="14" t="s">
        <v>530</v>
      </c>
      <c r="T1562" s="12" t="s">
        <v>180</v>
      </c>
      <c r="U1562" s="15" t="str">
        <f t="shared" si="36"/>
        <v>Palomar - Coding - TMG</v>
      </c>
      <c r="V1562" s="12" t="s">
        <v>126</v>
      </c>
      <c r="W1562" s="12" t="s">
        <v>237</v>
      </c>
      <c r="X1562" s="12" t="s">
        <v>238</v>
      </c>
      <c r="Y1562" s="12" t="s">
        <v>1038</v>
      </c>
      <c r="AJ1562"/>
      <c r="AK1562"/>
    </row>
    <row r="1563" spans="18:37" ht="14">
      <c r="R1563" s="14">
        <v>12313</v>
      </c>
      <c r="S1563" s="14" t="s">
        <v>530</v>
      </c>
      <c r="T1563" s="12" t="s">
        <v>185</v>
      </c>
      <c r="U1563" s="15" t="str">
        <f t="shared" si="36"/>
        <v>Palomar - Coding - TPS</v>
      </c>
      <c r="V1563" s="12" t="s">
        <v>126</v>
      </c>
      <c r="W1563" s="12" t="s">
        <v>237</v>
      </c>
      <c r="X1563" s="12" t="s">
        <v>238</v>
      </c>
      <c r="Y1563" s="12" t="s">
        <v>1038</v>
      </c>
      <c r="AJ1563"/>
      <c r="AK1563"/>
    </row>
    <row r="1564" spans="18:37" ht="14">
      <c r="R1564" s="14">
        <v>10692</v>
      </c>
      <c r="S1564" s="14" t="s">
        <v>311</v>
      </c>
      <c r="T1564" s="12" t="s">
        <v>431</v>
      </c>
      <c r="U1564" s="15" t="str">
        <f t="shared" si="36"/>
        <v>Paragon Insurance Holdings - AGA</v>
      </c>
      <c r="V1564" s="12" t="s">
        <v>126</v>
      </c>
      <c r="W1564" s="12" t="s">
        <v>163</v>
      </c>
      <c r="X1564" s="12" t="s">
        <v>164</v>
      </c>
      <c r="Y1564" s="12" t="s">
        <v>1038</v>
      </c>
      <c r="AJ1564"/>
      <c r="AK1564"/>
    </row>
    <row r="1565" spans="18:37" ht="14">
      <c r="R1565" s="14">
        <v>10692</v>
      </c>
      <c r="S1565" s="14" t="s">
        <v>311</v>
      </c>
      <c r="T1565" s="12" t="s">
        <v>719</v>
      </c>
      <c r="U1565" s="15" t="str">
        <f t="shared" si="36"/>
        <v>Paragon Insurance Holdings - AGB</v>
      </c>
      <c r="V1565" s="12" t="s">
        <v>126</v>
      </c>
      <c r="W1565" s="12" t="s">
        <v>163</v>
      </c>
      <c r="X1565" s="12" t="s">
        <v>164</v>
      </c>
      <c r="Y1565" s="12" t="s">
        <v>1038</v>
      </c>
      <c r="AJ1565"/>
      <c r="AK1565"/>
    </row>
    <row r="1566" spans="18:37" ht="14">
      <c r="R1566" s="14">
        <v>10692</v>
      </c>
      <c r="S1566" s="14" t="s">
        <v>311</v>
      </c>
      <c r="T1566" s="12" t="s">
        <v>721</v>
      </c>
      <c r="U1566" s="15" t="str">
        <f t="shared" si="36"/>
        <v>Paragon Insurance Holdings - AGC</v>
      </c>
      <c r="V1566" s="12" t="s">
        <v>126</v>
      </c>
      <c r="W1566" s="12" t="s">
        <v>163</v>
      </c>
      <c r="X1566" s="12" t="s">
        <v>164</v>
      </c>
      <c r="Y1566" s="12" t="s">
        <v>1038</v>
      </c>
      <c r="AJ1566"/>
      <c r="AK1566"/>
    </row>
    <row r="1567" spans="18:37" ht="14">
      <c r="R1567" s="14">
        <v>10692</v>
      </c>
      <c r="S1567" s="14" t="s">
        <v>311</v>
      </c>
      <c r="T1567" s="12" t="s">
        <v>492</v>
      </c>
      <c r="U1567" s="15" t="str">
        <f t="shared" si="36"/>
        <v>Paragon Insurance Holdings - AGD</v>
      </c>
      <c r="V1567" s="12" t="s">
        <v>126</v>
      </c>
      <c r="W1567" s="12" t="s">
        <v>163</v>
      </c>
      <c r="X1567" s="12" t="s">
        <v>164</v>
      </c>
      <c r="Y1567" s="12" t="s">
        <v>1038</v>
      </c>
      <c r="AJ1567"/>
      <c r="AK1567"/>
    </row>
    <row r="1568" spans="18:37" ht="14">
      <c r="R1568" s="14">
        <v>10692</v>
      </c>
      <c r="S1568" s="14" t="s">
        <v>311</v>
      </c>
      <c r="T1568" s="12" t="s">
        <v>150</v>
      </c>
      <c r="U1568" s="15" t="str">
        <f t="shared" si="36"/>
        <v>Paragon Insurance Holdings - CCS</v>
      </c>
      <c r="V1568" s="12" t="s">
        <v>126</v>
      </c>
      <c r="W1568" s="12" t="s">
        <v>163</v>
      </c>
      <c r="X1568" s="12" t="s">
        <v>164</v>
      </c>
      <c r="Y1568" s="12" t="s">
        <v>1038</v>
      </c>
      <c r="AJ1568"/>
      <c r="AK1568"/>
    </row>
    <row r="1569" spans="18:37" ht="14">
      <c r="R1569" s="14">
        <v>10692</v>
      </c>
      <c r="S1569" s="14" t="s">
        <v>311</v>
      </c>
      <c r="T1569" s="12" t="s">
        <v>116</v>
      </c>
      <c r="U1569" s="15" t="str">
        <f t="shared" si="36"/>
        <v>Paragon Insurance Holdings - PRD</v>
      </c>
      <c r="V1569" s="12" t="s">
        <v>126</v>
      </c>
      <c r="W1569" s="12" t="s">
        <v>163</v>
      </c>
      <c r="X1569" s="12" t="s">
        <v>164</v>
      </c>
      <c r="Y1569" s="12" t="s">
        <v>1038</v>
      </c>
      <c r="AJ1569"/>
      <c r="AK1569"/>
    </row>
    <row r="1570" spans="18:37" ht="14">
      <c r="R1570" s="14">
        <v>10692</v>
      </c>
      <c r="S1570" s="14" t="s">
        <v>311</v>
      </c>
      <c r="T1570" s="12" t="s">
        <v>180</v>
      </c>
      <c r="U1570" s="15" t="str">
        <f t="shared" si="36"/>
        <v>Paragon Insurance Holdings - TMG</v>
      </c>
      <c r="V1570" s="12" t="s">
        <v>126</v>
      </c>
      <c r="W1570" s="12" t="s">
        <v>163</v>
      </c>
      <c r="X1570" s="12" t="s">
        <v>164</v>
      </c>
      <c r="Y1570" s="12" t="s">
        <v>1038</v>
      </c>
      <c r="AJ1570"/>
      <c r="AK1570"/>
    </row>
    <row r="1571" spans="18:37" ht="14">
      <c r="R1571" s="14">
        <v>96118</v>
      </c>
      <c r="S1571" s="14" t="s">
        <v>554</v>
      </c>
      <c r="T1571" s="12" t="s">
        <v>121</v>
      </c>
      <c r="U1571" s="15" t="str">
        <f t="shared" si="36"/>
        <v>Payroll - F&amp;A</v>
      </c>
      <c r="V1571" s="12" t="s">
        <v>104</v>
      </c>
      <c r="W1571" s="12" t="s">
        <v>554</v>
      </c>
      <c r="X1571" s="12" t="s">
        <v>114</v>
      </c>
      <c r="Y1571" s="12" t="s">
        <v>1038</v>
      </c>
      <c r="AJ1571"/>
      <c r="AK1571"/>
    </row>
    <row r="1572" spans="18:37" ht="14">
      <c r="R1572" s="14">
        <v>96118</v>
      </c>
      <c r="S1572" s="14" t="s">
        <v>554</v>
      </c>
      <c r="T1572" s="12" t="s">
        <v>145</v>
      </c>
      <c r="U1572" s="15" t="str">
        <f t="shared" si="36"/>
        <v>Payroll - SUP</v>
      </c>
      <c r="V1572" s="12" t="s">
        <v>104</v>
      </c>
      <c r="W1572" s="12" t="s">
        <v>554</v>
      </c>
      <c r="X1572" s="12" t="s">
        <v>114</v>
      </c>
      <c r="Y1572" s="12" t="s">
        <v>1038</v>
      </c>
      <c r="AJ1572"/>
      <c r="AK1572"/>
    </row>
    <row r="1573" spans="18:37" ht="14">
      <c r="R1573" s="14">
        <v>95704</v>
      </c>
      <c r="S1573" s="14" t="s">
        <v>1003</v>
      </c>
      <c r="T1573" s="12" t="s">
        <v>145</v>
      </c>
      <c r="U1573" s="15" t="str">
        <f t="shared" si="36"/>
        <v>PCI I &amp; II Projects - SUP</v>
      </c>
      <c r="V1573" s="12" t="s">
        <v>104</v>
      </c>
      <c r="W1573" s="12" t="s">
        <v>263</v>
      </c>
      <c r="X1573" s="12" t="s">
        <v>264</v>
      </c>
      <c r="Y1573" s="12" t="s">
        <v>1038</v>
      </c>
      <c r="AJ1573"/>
      <c r="AK1573"/>
    </row>
    <row r="1574" spans="18:37" ht="14">
      <c r="R1574" s="14">
        <v>12421</v>
      </c>
      <c r="S1574" s="14" t="s">
        <v>545</v>
      </c>
      <c r="T1574" s="12" t="s">
        <v>116</v>
      </c>
      <c r="U1574" s="15" t="str">
        <f t="shared" si="36"/>
        <v>Philips - CT V&amp;V and Simulator - PRD</v>
      </c>
      <c r="V1574" s="12" t="s">
        <v>117</v>
      </c>
      <c r="W1574" s="12" t="s">
        <v>117</v>
      </c>
      <c r="X1574" s="12" t="s">
        <v>117</v>
      </c>
      <c r="Y1574" s="12" t="s">
        <v>1038</v>
      </c>
      <c r="AJ1574"/>
      <c r="AK1574"/>
    </row>
    <row r="1575" spans="18:37" ht="14">
      <c r="R1575" s="14">
        <v>12421</v>
      </c>
      <c r="S1575" s="14" t="s">
        <v>545</v>
      </c>
      <c r="T1575" s="12" t="s">
        <v>172</v>
      </c>
      <c r="U1575" s="15" t="str">
        <f t="shared" si="36"/>
        <v>Philips - CT V&amp;V and Simulator - SME</v>
      </c>
      <c r="V1575" s="12" t="s">
        <v>117</v>
      </c>
      <c r="W1575" s="12" t="s">
        <v>117</v>
      </c>
      <c r="X1575" s="12" t="s">
        <v>117</v>
      </c>
      <c r="Y1575" s="12" t="s">
        <v>1038</v>
      </c>
      <c r="AJ1575"/>
      <c r="AK1575"/>
    </row>
    <row r="1576" spans="18:37" ht="14">
      <c r="R1576" s="14">
        <v>12421</v>
      </c>
      <c r="S1576" s="14" t="s">
        <v>545</v>
      </c>
      <c r="T1576" s="12" t="s">
        <v>145</v>
      </c>
      <c r="U1576" s="15" t="str">
        <f t="shared" si="36"/>
        <v>Philips - CT V&amp;V and Simulator - SUP</v>
      </c>
      <c r="V1576" s="12" t="s">
        <v>117</v>
      </c>
      <c r="W1576" s="12" t="s">
        <v>117</v>
      </c>
      <c r="X1576" s="12" t="s">
        <v>117</v>
      </c>
      <c r="Y1576" s="12" t="s">
        <v>1038</v>
      </c>
      <c r="AJ1576"/>
      <c r="AK1576"/>
    </row>
    <row r="1577" spans="18:37" ht="14">
      <c r="R1577" s="14">
        <v>12421</v>
      </c>
      <c r="S1577" s="14" t="s">
        <v>545</v>
      </c>
      <c r="T1577" s="12" t="s">
        <v>180</v>
      </c>
      <c r="U1577" s="15" t="str">
        <f t="shared" si="36"/>
        <v>Philips - CT V&amp;V and Simulator - TMG</v>
      </c>
      <c r="V1577" s="12" t="s">
        <v>117</v>
      </c>
      <c r="W1577" s="12" t="s">
        <v>117</v>
      </c>
      <c r="X1577" s="12" t="s">
        <v>117</v>
      </c>
      <c r="Y1577" s="12" t="s">
        <v>1038</v>
      </c>
      <c r="AJ1577"/>
      <c r="AK1577"/>
    </row>
    <row r="1578" spans="18:37" ht="14">
      <c r="R1578" s="14">
        <v>12496</v>
      </c>
      <c r="S1578" s="14" t="s">
        <v>564</v>
      </c>
      <c r="T1578" s="12" t="s">
        <v>116</v>
      </c>
      <c r="U1578" s="15" t="str">
        <f t="shared" si="36"/>
        <v>Philips - IAP Consolidation - PRD</v>
      </c>
      <c r="V1578" s="12" t="s">
        <v>117</v>
      </c>
      <c r="W1578" s="12" t="s">
        <v>117</v>
      </c>
      <c r="X1578" s="12" t="s">
        <v>117</v>
      </c>
      <c r="Y1578" s="12" t="s">
        <v>1038</v>
      </c>
      <c r="AJ1578"/>
      <c r="AK1578"/>
    </row>
    <row r="1579" spans="18:37" ht="14">
      <c r="R1579" s="14">
        <v>12561</v>
      </c>
      <c r="S1579" s="14" t="s">
        <v>587</v>
      </c>
      <c r="T1579" s="12" t="s">
        <v>116</v>
      </c>
      <c r="U1579" s="15" t="str">
        <f t="shared" si="36"/>
        <v>Philips-FY23 Growth Opportunit - PRD</v>
      </c>
      <c r="V1579" s="12" t="s">
        <v>117</v>
      </c>
      <c r="W1579" s="12" t="s">
        <v>117</v>
      </c>
      <c r="X1579" s="12" t="s">
        <v>117</v>
      </c>
      <c r="Y1579" s="12" t="s">
        <v>1038</v>
      </c>
      <c r="AJ1579"/>
      <c r="AK1579"/>
    </row>
    <row r="1580" spans="18:37" ht="14">
      <c r="R1580" s="14">
        <v>12619</v>
      </c>
      <c r="S1580" s="14" t="s">
        <v>603</v>
      </c>
      <c r="T1580" s="12" t="s">
        <v>116</v>
      </c>
      <c r="U1580" s="15" t="str">
        <f t="shared" si="36"/>
        <v>Philips-FY24 G. Opportunities - PRD</v>
      </c>
      <c r="V1580" s="12" t="s">
        <v>117</v>
      </c>
      <c r="W1580" s="12" t="s">
        <v>117</v>
      </c>
      <c r="X1580" s="12" t="s">
        <v>117</v>
      </c>
      <c r="Y1580" s="12" t="s">
        <v>1038</v>
      </c>
      <c r="AJ1580"/>
      <c r="AK1580"/>
    </row>
    <row r="1581" spans="18:37" ht="14">
      <c r="R1581" s="14">
        <v>51404</v>
      </c>
      <c r="S1581" s="14" t="s">
        <v>780</v>
      </c>
      <c r="T1581" s="12" t="s">
        <v>116</v>
      </c>
      <c r="U1581" s="15" t="str">
        <f t="shared" si="36"/>
        <v>PikeEnterprise-Cloudtestr-HCM- - PRD</v>
      </c>
      <c r="V1581" s="12" t="s">
        <v>117</v>
      </c>
      <c r="W1581" s="12" t="s">
        <v>117</v>
      </c>
      <c r="X1581" s="12" t="s">
        <v>117</v>
      </c>
      <c r="Y1581" s="12" t="s">
        <v>1038</v>
      </c>
      <c r="AJ1581"/>
      <c r="AK1581"/>
    </row>
    <row r="1582" spans="18:37" ht="14">
      <c r="R1582" s="14">
        <v>93680</v>
      </c>
      <c r="S1582" s="14" t="s">
        <v>825</v>
      </c>
      <c r="T1582" s="12" t="s">
        <v>504</v>
      </c>
      <c r="U1582" s="15" t="str">
        <f t="shared" si="36"/>
        <v>Platform Application&amp;Automate - CH AGT</v>
      </c>
      <c r="V1582" s="12" t="s">
        <v>104</v>
      </c>
      <c r="W1582" s="12" t="s">
        <v>117</v>
      </c>
      <c r="X1582" s="12" t="s">
        <v>117</v>
      </c>
      <c r="Y1582" s="12" t="s">
        <v>1038</v>
      </c>
      <c r="AJ1582"/>
      <c r="AK1582"/>
    </row>
    <row r="1583" spans="18:37" ht="14">
      <c r="R1583" s="14">
        <v>93680</v>
      </c>
      <c r="S1583" s="14" t="s">
        <v>825</v>
      </c>
      <c r="T1583" s="12" t="s">
        <v>218</v>
      </c>
      <c r="U1583" s="15" t="str">
        <f t="shared" si="36"/>
        <v>Platform Application&amp;Automate - EMAIL</v>
      </c>
      <c r="V1583" s="12" t="s">
        <v>104</v>
      </c>
      <c r="W1583" s="12" t="s">
        <v>117</v>
      </c>
      <c r="X1583" s="12" t="s">
        <v>117</v>
      </c>
      <c r="Y1583" s="12" t="s">
        <v>1038</v>
      </c>
      <c r="AJ1583"/>
      <c r="AK1583"/>
    </row>
    <row r="1584" spans="18:37" ht="14">
      <c r="R1584" s="14">
        <v>93680</v>
      </c>
      <c r="S1584" s="14" t="s">
        <v>825</v>
      </c>
      <c r="T1584" s="12" t="s">
        <v>262</v>
      </c>
      <c r="U1584" s="15" t="str">
        <f t="shared" si="36"/>
        <v>Platform Application&amp;Automate - GSI</v>
      </c>
      <c r="V1584" s="12" t="s">
        <v>104</v>
      </c>
      <c r="W1584" s="12" t="s">
        <v>117</v>
      </c>
      <c r="X1584" s="12" t="s">
        <v>117</v>
      </c>
      <c r="Y1584" s="12" t="s">
        <v>1038</v>
      </c>
      <c r="AJ1584"/>
      <c r="AK1584"/>
    </row>
    <row r="1585" spans="18:37" ht="14">
      <c r="R1585" s="14">
        <v>93680</v>
      </c>
      <c r="S1585" s="14" t="s">
        <v>825</v>
      </c>
      <c r="T1585" s="12" t="s">
        <v>129</v>
      </c>
      <c r="U1585" s="15" t="str">
        <f t="shared" si="36"/>
        <v>Platform Application&amp;Automate - MGT</v>
      </c>
      <c r="V1585" s="12" t="s">
        <v>104</v>
      </c>
      <c r="W1585" s="12" t="s">
        <v>117</v>
      </c>
      <c r="X1585" s="12" t="s">
        <v>117</v>
      </c>
      <c r="Y1585" s="12" t="s">
        <v>1038</v>
      </c>
      <c r="AJ1585"/>
      <c r="AK1585"/>
    </row>
    <row r="1586" spans="18:37" ht="14">
      <c r="R1586" s="14">
        <v>93680</v>
      </c>
      <c r="S1586" s="14" t="s">
        <v>825</v>
      </c>
      <c r="T1586" s="12" t="s">
        <v>172</v>
      </c>
      <c r="U1586" s="15" t="str">
        <f t="shared" si="36"/>
        <v>Platform Application&amp;Automate - SME</v>
      </c>
      <c r="V1586" s="12" t="s">
        <v>104</v>
      </c>
      <c r="W1586" s="12" t="s">
        <v>117</v>
      </c>
      <c r="X1586" s="12" t="s">
        <v>117</v>
      </c>
      <c r="Y1586" s="12" t="s">
        <v>1038</v>
      </c>
      <c r="AJ1586"/>
      <c r="AK1586"/>
    </row>
    <row r="1587" spans="18:37" ht="14">
      <c r="R1587" s="14">
        <v>93680</v>
      </c>
      <c r="S1587" s="14" t="s">
        <v>825</v>
      </c>
      <c r="T1587" s="12" t="s">
        <v>145</v>
      </c>
      <c r="U1587" s="15" t="str">
        <f t="shared" si="36"/>
        <v>Platform Application&amp;Automate - SUP</v>
      </c>
      <c r="V1587" s="12" t="s">
        <v>104</v>
      </c>
      <c r="W1587" s="12" t="s">
        <v>117</v>
      </c>
      <c r="X1587" s="12" t="s">
        <v>117</v>
      </c>
      <c r="Y1587" s="12" t="s">
        <v>1038</v>
      </c>
      <c r="AJ1587"/>
      <c r="AK1587"/>
    </row>
    <row r="1588" spans="18:37" ht="14">
      <c r="R1588" s="14">
        <v>93680</v>
      </c>
      <c r="S1588" s="14" t="s">
        <v>825</v>
      </c>
      <c r="T1588" s="12" t="s">
        <v>198</v>
      </c>
      <c r="U1588" s="15" t="str">
        <f t="shared" si="36"/>
        <v>Platform Application&amp;Automate - TEC</v>
      </c>
      <c r="V1588" s="12" t="s">
        <v>104</v>
      </c>
      <c r="W1588" s="12" t="s">
        <v>117</v>
      </c>
      <c r="X1588" s="12" t="s">
        <v>117</v>
      </c>
      <c r="Y1588" s="12" t="s">
        <v>1038</v>
      </c>
      <c r="AJ1588"/>
      <c r="AK1588"/>
    </row>
    <row r="1589" spans="18:37" ht="14">
      <c r="R1589" s="14">
        <v>93604</v>
      </c>
      <c r="S1589" s="14" t="s">
        <v>834</v>
      </c>
      <c r="T1589" s="12" t="s">
        <v>835</v>
      </c>
      <c r="U1589" s="15" t="str">
        <f t="shared" si="36"/>
        <v>Platform NextGen - BTG</v>
      </c>
      <c r="V1589" s="12" t="s">
        <v>104</v>
      </c>
      <c r="W1589" s="12" t="s">
        <v>117</v>
      </c>
      <c r="X1589" s="12" t="s">
        <v>117</v>
      </c>
      <c r="Y1589" s="12" t="s">
        <v>1038</v>
      </c>
      <c r="AJ1589"/>
      <c r="AK1589"/>
    </row>
    <row r="1590" spans="18:37" ht="14">
      <c r="R1590" s="14">
        <v>93604</v>
      </c>
      <c r="S1590" s="14" t="s">
        <v>834</v>
      </c>
      <c r="T1590" s="12" t="s">
        <v>262</v>
      </c>
      <c r="U1590" s="15" t="str">
        <f t="shared" si="36"/>
        <v>Platform NextGen - GSI</v>
      </c>
      <c r="V1590" s="12" t="s">
        <v>104</v>
      </c>
      <c r="W1590" s="12" t="s">
        <v>117</v>
      </c>
      <c r="X1590" s="12" t="s">
        <v>117</v>
      </c>
      <c r="Y1590" s="12" t="s">
        <v>1038</v>
      </c>
      <c r="AJ1590"/>
      <c r="AK1590"/>
    </row>
    <row r="1591" spans="18:37" ht="14">
      <c r="R1591" s="14">
        <v>93604</v>
      </c>
      <c r="S1591" s="14" t="s">
        <v>834</v>
      </c>
      <c r="T1591" s="12" t="s">
        <v>250</v>
      </c>
      <c r="U1591" s="15" t="str">
        <f t="shared" si="36"/>
        <v>Platform NextGen - LED</v>
      </c>
      <c r="V1591" s="12" t="s">
        <v>104</v>
      </c>
      <c r="W1591" s="12" t="s">
        <v>117</v>
      </c>
      <c r="X1591" s="12" t="s">
        <v>117</v>
      </c>
      <c r="Y1591" s="12" t="s">
        <v>1038</v>
      </c>
      <c r="AJ1591"/>
      <c r="AK1591"/>
    </row>
    <row r="1592" spans="18:37" ht="14">
      <c r="R1592" s="14">
        <v>93604</v>
      </c>
      <c r="S1592" s="14" t="s">
        <v>834</v>
      </c>
      <c r="T1592" s="12" t="s">
        <v>129</v>
      </c>
      <c r="U1592" s="15" t="str">
        <f t="shared" si="36"/>
        <v>Platform NextGen - MGT</v>
      </c>
      <c r="V1592" s="12" t="s">
        <v>104</v>
      </c>
      <c r="W1592" s="12" t="s">
        <v>117</v>
      </c>
      <c r="X1592" s="12" t="s">
        <v>117</v>
      </c>
      <c r="Y1592" s="12" t="s">
        <v>1038</v>
      </c>
      <c r="AJ1592"/>
      <c r="AK1592"/>
    </row>
    <row r="1593" spans="18:37" ht="14">
      <c r="R1593" s="14">
        <v>93604</v>
      </c>
      <c r="S1593" s="14" t="s">
        <v>834</v>
      </c>
      <c r="T1593" s="12" t="s">
        <v>139</v>
      </c>
      <c r="U1593" s="15" t="str">
        <f t="shared" si="36"/>
        <v>Platform NextGen - SMGT</v>
      </c>
      <c r="V1593" s="12" t="s">
        <v>104</v>
      </c>
      <c r="W1593" s="12" t="s">
        <v>117</v>
      </c>
      <c r="X1593" s="12" t="s">
        <v>117</v>
      </c>
      <c r="Y1593" s="12" t="s">
        <v>1038</v>
      </c>
      <c r="AJ1593"/>
      <c r="AK1593"/>
    </row>
    <row r="1594" spans="18:37" ht="14">
      <c r="R1594" s="14">
        <v>93604</v>
      </c>
      <c r="S1594" s="14" t="s">
        <v>834</v>
      </c>
      <c r="T1594" s="12" t="s">
        <v>145</v>
      </c>
      <c r="U1594" s="15" t="str">
        <f t="shared" si="36"/>
        <v>Platform NextGen - SUP</v>
      </c>
      <c r="V1594" s="12" t="s">
        <v>104</v>
      </c>
      <c r="W1594" s="12" t="s">
        <v>117</v>
      </c>
      <c r="X1594" s="12" t="s">
        <v>117</v>
      </c>
      <c r="Y1594" s="12" t="s">
        <v>1038</v>
      </c>
      <c r="AJ1594"/>
      <c r="AK1594"/>
    </row>
    <row r="1595" spans="18:37" ht="14">
      <c r="R1595" s="14">
        <v>93604</v>
      </c>
      <c r="S1595" s="14" t="s">
        <v>834</v>
      </c>
      <c r="T1595" s="12" t="s">
        <v>196</v>
      </c>
      <c r="U1595" s="15" t="str">
        <f t="shared" si="36"/>
        <v>Platform NextGen - SUT</v>
      </c>
      <c r="V1595" s="12" t="s">
        <v>104</v>
      </c>
      <c r="W1595" s="12" t="s">
        <v>117</v>
      </c>
      <c r="X1595" s="12" t="s">
        <v>117</v>
      </c>
      <c r="Y1595" s="12" t="s">
        <v>1038</v>
      </c>
      <c r="AJ1595"/>
      <c r="AK1595"/>
    </row>
    <row r="1596" spans="18:37" ht="14">
      <c r="R1596" s="14">
        <v>89012</v>
      </c>
      <c r="S1596" s="14" t="s">
        <v>843</v>
      </c>
      <c r="T1596" s="12" t="s">
        <v>116</v>
      </c>
      <c r="U1596" s="15" t="str">
        <f t="shared" si="36"/>
        <v>Platform Others - PRD</v>
      </c>
      <c r="V1596" s="12" t="s">
        <v>117</v>
      </c>
      <c r="W1596" s="12" t="s">
        <v>117</v>
      </c>
      <c r="X1596" s="12" t="s">
        <v>117</v>
      </c>
      <c r="Y1596" s="12" t="s">
        <v>1038</v>
      </c>
      <c r="AJ1596"/>
      <c r="AK1596"/>
    </row>
    <row r="1597" spans="18:37" ht="14">
      <c r="R1597" s="14">
        <v>93631</v>
      </c>
      <c r="S1597" s="14" t="s">
        <v>967</v>
      </c>
      <c r="T1597" s="12" t="s">
        <v>198</v>
      </c>
      <c r="U1597" s="15" t="str">
        <f t="shared" si="36"/>
        <v>Platform Product Managers - TEC</v>
      </c>
      <c r="V1597" s="12" t="s">
        <v>117</v>
      </c>
      <c r="W1597" s="12" t="s">
        <v>117</v>
      </c>
      <c r="X1597" s="12" t="s">
        <v>117</v>
      </c>
      <c r="Y1597" s="12" t="s">
        <v>1038</v>
      </c>
      <c r="AJ1597"/>
      <c r="AK1597"/>
    </row>
    <row r="1598" spans="18:37" ht="14">
      <c r="R1598" s="14">
        <v>10759</v>
      </c>
      <c r="S1598" s="14" t="s">
        <v>362</v>
      </c>
      <c r="T1598" s="12" t="s">
        <v>145</v>
      </c>
      <c r="U1598" s="15" t="str">
        <f t="shared" si="36"/>
        <v>Plixer- Network Testing - SUP</v>
      </c>
      <c r="V1598" s="12" t="s">
        <v>117</v>
      </c>
      <c r="W1598" s="12" t="s">
        <v>117</v>
      </c>
      <c r="X1598" s="12" t="s">
        <v>117</v>
      </c>
      <c r="Y1598" s="12" t="s">
        <v>1038</v>
      </c>
      <c r="AJ1598"/>
      <c r="AK1598"/>
    </row>
    <row r="1599" spans="18:37" ht="14">
      <c r="R1599" s="14">
        <v>10759</v>
      </c>
      <c r="S1599" s="14" t="s">
        <v>362</v>
      </c>
      <c r="T1599" s="12" t="s">
        <v>336</v>
      </c>
      <c r="U1599" s="15" t="str">
        <f t="shared" si="36"/>
        <v>Plixer- Network Testing - TSL</v>
      </c>
      <c r="V1599" s="12" t="s">
        <v>117</v>
      </c>
      <c r="W1599" s="12" t="s">
        <v>117</v>
      </c>
      <c r="X1599" s="12" t="s">
        <v>117</v>
      </c>
      <c r="Y1599" s="12" t="s">
        <v>1038</v>
      </c>
      <c r="AJ1599"/>
      <c r="AK1599"/>
    </row>
    <row r="1600" spans="18:37" ht="14">
      <c r="R1600" s="14">
        <v>10759</v>
      </c>
      <c r="S1600" s="14" t="s">
        <v>362</v>
      </c>
      <c r="T1600" s="12" t="s">
        <v>902</v>
      </c>
      <c r="U1600" s="15" t="str">
        <f t="shared" si="36"/>
        <v>Plixer- Network Testing - TSM</v>
      </c>
      <c r="V1600" s="12" t="s">
        <v>117</v>
      </c>
      <c r="W1600" s="12" t="s">
        <v>117</v>
      </c>
      <c r="X1600" s="12" t="s">
        <v>117</v>
      </c>
      <c r="Y1600" s="12" t="s">
        <v>1038</v>
      </c>
      <c r="AJ1600"/>
      <c r="AK1600"/>
    </row>
    <row r="1601" spans="18:37" ht="14">
      <c r="R1601" s="14">
        <v>95502</v>
      </c>
      <c r="S1601" s="14" t="s">
        <v>846</v>
      </c>
      <c r="T1601" s="12" t="s">
        <v>415</v>
      </c>
      <c r="U1601" s="15" t="str">
        <f t="shared" si="36"/>
        <v>PMO - GTI</v>
      </c>
      <c r="V1601" s="12" t="s">
        <v>104</v>
      </c>
      <c r="W1601" s="12" t="s">
        <v>263</v>
      </c>
      <c r="X1601" s="12" t="s">
        <v>264</v>
      </c>
      <c r="Y1601" s="12" t="s">
        <v>1038</v>
      </c>
      <c r="AJ1601"/>
      <c r="AK1601"/>
    </row>
    <row r="1602" spans="18:37" ht="14">
      <c r="R1602" s="14">
        <v>95502</v>
      </c>
      <c r="S1602" s="14" t="s">
        <v>846</v>
      </c>
      <c r="T1602" s="12" t="s">
        <v>129</v>
      </c>
      <c r="U1602" s="15" t="str">
        <f t="shared" si="36"/>
        <v>PMO - MGT</v>
      </c>
      <c r="V1602" s="12" t="s">
        <v>104</v>
      </c>
      <c r="W1602" s="12" t="s">
        <v>263</v>
      </c>
      <c r="X1602" s="12" t="s">
        <v>264</v>
      </c>
      <c r="Y1602" s="12" t="s">
        <v>1038</v>
      </c>
      <c r="AJ1602"/>
      <c r="AK1602"/>
    </row>
    <row r="1603" spans="18:37" ht="14">
      <c r="R1603" s="14">
        <v>95502</v>
      </c>
      <c r="S1603" s="14" t="s">
        <v>846</v>
      </c>
      <c r="T1603" s="12" t="s">
        <v>139</v>
      </c>
      <c r="U1603" s="15" t="str">
        <f t="shared" ref="U1603:U1666" si="37">S1603&amp;" - "&amp;T1603</f>
        <v>PMO - SMGT</v>
      </c>
      <c r="V1603" s="12" t="s">
        <v>104</v>
      </c>
      <c r="W1603" s="12" t="s">
        <v>263</v>
      </c>
      <c r="X1603" s="12" t="s">
        <v>264</v>
      </c>
      <c r="Y1603" s="12" t="s">
        <v>1038</v>
      </c>
      <c r="AJ1603"/>
      <c r="AK1603"/>
    </row>
    <row r="1604" spans="18:37" ht="14">
      <c r="R1604" s="14">
        <v>95502</v>
      </c>
      <c r="S1604" s="14" t="s">
        <v>846</v>
      </c>
      <c r="T1604" s="12" t="s">
        <v>145</v>
      </c>
      <c r="U1604" s="15" t="str">
        <f t="shared" si="37"/>
        <v>PMO - SUP</v>
      </c>
      <c r="V1604" s="12" t="s">
        <v>104</v>
      </c>
      <c r="W1604" s="12" t="s">
        <v>263</v>
      </c>
      <c r="X1604" s="12" t="s">
        <v>264</v>
      </c>
      <c r="Y1604" s="12" t="s">
        <v>1038</v>
      </c>
      <c r="AJ1604"/>
      <c r="AK1604"/>
    </row>
    <row r="1605" spans="18:37" ht="14">
      <c r="R1605" s="14">
        <v>10793</v>
      </c>
      <c r="S1605" s="14" t="s">
        <v>386</v>
      </c>
      <c r="T1605" s="12" t="s">
        <v>185</v>
      </c>
      <c r="U1605" s="15" t="str">
        <f t="shared" si="37"/>
        <v>Porter Airlines 1 - TPS</v>
      </c>
      <c r="V1605" s="12" t="s">
        <v>126</v>
      </c>
      <c r="W1605" s="12" t="s">
        <v>163</v>
      </c>
      <c r="X1605" s="12" t="s">
        <v>164</v>
      </c>
      <c r="Y1605" s="12" t="s">
        <v>1038</v>
      </c>
      <c r="AJ1605"/>
      <c r="AK1605"/>
    </row>
    <row r="1606" spans="18:37" ht="14">
      <c r="R1606" s="14">
        <v>88131</v>
      </c>
      <c r="S1606" s="14" t="s">
        <v>851</v>
      </c>
      <c r="T1606" s="12" t="s">
        <v>129</v>
      </c>
      <c r="U1606" s="15" t="str">
        <f t="shared" si="37"/>
        <v>PP - Operational Mgmt (Coding) - MGT</v>
      </c>
      <c r="V1606" s="12" t="s">
        <v>126</v>
      </c>
      <c r="W1606" s="12" t="s">
        <v>237</v>
      </c>
      <c r="X1606" s="12" t="s">
        <v>238</v>
      </c>
      <c r="Y1606" s="12" t="s">
        <v>1038</v>
      </c>
      <c r="AJ1606"/>
      <c r="AK1606"/>
    </row>
    <row r="1607" spans="18:37" ht="14">
      <c r="R1607" s="14">
        <v>88131</v>
      </c>
      <c r="S1607" s="14" t="s">
        <v>851</v>
      </c>
      <c r="T1607" s="12" t="s">
        <v>139</v>
      </c>
      <c r="U1607" s="15" t="str">
        <f t="shared" si="37"/>
        <v>PP - Operational Mgmt (Coding) - SMGT</v>
      </c>
      <c r="V1607" s="12" t="s">
        <v>126</v>
      </c>
      <c r="W1607" s="12" t="s">
        <v>237</v>
      </c>
      <c r="X1607" s="12" t="s">
        <v>238</v>
      </c>
      <c r="Y1607" s="12" t="s">
        <v>1038</v>
      </c>
      <c r="AJ1607"/>
      <c r="AK1607"/>
    </row>
    <row r="1608" spans="18:37" ht="14">
      <c r="R1608" s="14">
        <v>88131</v>
      </c>
      <c r="S1608" s="14" t="s">
        <v>851</v>
      </c>
      <c r="T1608" s="12" t="s">
        <v>145</v>
      </c>
      <c r="U1608" s="15" t="str">
        <f t="shared" si="37"/>
        <v>PP - Operational Mgmt (Coding) - SUP</v>
      </c>
      <c r="V1608" s="12" t="s">
        <v>126</v>
      </c>
      <c r="W1608" s="12" t="s">
        <v>237</v>
      </c>
      <c r="X1608" s="12" t="s">
        <v>238</v>
      </c>
      <c r="Y1608" s="12" t="s">
        <v>1038</v>
      </c>
      <c r="AJ1608"/>
      <c r="AK1608"/>
    </row>
    <row r="1609" spans="18:37" ht="14">
      <c r="R1609" s="14">
        <v>88130</v>
      </c>
      <c r="S1609" s="14" t="s">
        <v>855</v>
      </c>
      <c r="T1609" s="12" t="s">
        <v>145</v>
      </c>
      <c r="U1609" s="15" t="str">
        <f t="shared" si="37"/>
        <v>PP - Operational Mgmt (RCMS) - SUP</v>
      </c>
      <c r="V1609" s="12" t="s">
        <v>126</v>
      </c>
      <c r="W1609" s="12" t="s">
        <v>163</v>
      </c>
      <c r="X1609" s="12" t="s">
        <v>164</v>
      </c>
      <c r="Y1609" s="12" t="s">
        <v>1038</v>
      </c>
      <c r="AJ1609"/>
      <c r="AK1609"/>
    </row>
    <row r="1610" spans="18:37" ht="14">
      <c r="R1610" s="14">
        <v>97312</v>
      </c>
      <c r="S1610" s="14" t="s">
        <v>857</v>
      </c>
      <c r="T1610" s="12" t="s">
        <v>858</v>
      </c>
      <c r="U1610" s="15" t="str">
        <f t="shared" si="37"/>
        <v>PP- Support Training RCMS - CLS</v>
      </c>
      <c r="V1610" s="12" t="s">
        <v>104</v>
      </c>
      <c r="W1610" s="12" t="s">
        <v>204</v>
      </c>
      <c r="X1610" s="12" t="s">
        <v>205</v>
      </c>
      <c r="Y1610" s="12" t="s">
        <v>1038</v>
      </c>
      <c r="AJ1610"/>
      <c r="AK1610"/>
    </row>
    <row r="1611" spans="18:37" ht="14">
      <c r="R1611" s="14">
        <v>97312</v>
      </c>
      <c r="S1611" s="14" t="s">
        <v>857</v>
      </c>
      <c r="T1611" s="12" t="s">
        <v>172</v>
      </c>
      <c r="U1611" s="15" t="str">
        <f t="shared" si="37"/>
        <v>PP- Support Training RCMS - SME</v>
      </c>
      <c r="V1611" s="12" t="s">
        <v>104</v>
      </c>
      <c r="W1611" s="12" t="s">
        <v>204</v>
      </c>
      <c r="X1611" s="12" t="s">
        <v>205</v>
      </c>
      <c r="Y1611" s="12" t="s">
        <v>1038</v>
      </c>
      <c r="AJ1611"/>
      <c r="AK1611"/>
    </row>
    <row r="1612" spans="18:37" ht="14">
      <c r="R1612" s="14">
        <v>97312</v>
      </c>
      <c r="S1612" s="14" t="s">
        <v>857</v>
      </c>
      <c r="T1612" s="12" t="s">
        <v>145</v>
      </c>
      <c r="U1612" s="15" t="str">
        <f t="shared" si="37"/>
        <v>PP- Support Training RCMS - SUP</v>
      </c>
      <c r="V1612" s="12" t="s">
        <v>104</v>
      </c>
      <c r="W1612" s="12" t="s">
        <v>204</v>
      </c>
      <c r="X1612" s="12" t="s">
        <v>205</v>
      </c>
      <c r="Y1612" s="12" t="s">
        <v>1038</v>
      </c>
      <c r="AJ1612"/>
      <c r="AK1612"/>
    </row>
    <row r="1613" spans="18:37" ht="14">
      <c r="R1613" s="14">
        <v>97312</v>
      </c>
      <c r="S1613" s="14" t="s">
        <v>857</v>
      </c>
      <c r="T1613" s="12" t="s">
        <v>185</v>
      </c>
      <c r="U1613" s="15" t="str">
        <f t="shared" si="37"/>
        <v>PP- Support Training RCMS - TPS</v>
      </c>
      <c r="V1613" s="12" t="s">
        <v>104</v>
      </c>
      <c r="W1613" s="12" t="s">
        <v>204</v>
      </c>
      <c r="X1613" s="12" t="s">
        <v>205</v>
      </c>
      <c r="Y1613" s="12" t="s">
        <v>1038</v>
      </c>
      <c r="AJ1613"/>
      <c r="AK1613"/>
    </row>
    <row r="1614" spans="18:37" ht="14">
      <c r="R1614" s="14">
        <v>97312</v>
      </c>
      <c r="S1614" s="14" t="s">
        <v>857</v>
      </c>
      <c r="T1614" s="12" t="s">
        <v>863</v>
      </c>
      <c r="U1614" s="15" t="str">
        <f t="shared" si="37"/>
        <v>PP- Support Training RCMS - TRA</v>
      </c>
      <c r="V1614" s="12" t="s">
        <v>104</v>
      </c>
      <c r="W1614" s="12" t="s">
        <v>204</v>
      </c>
      <c r="X1614" s="12" t="s">
        <v>205</v>
      </c>
      <c r="Y1614" s="12" t="s">
        <v>1038</v>
      </c>
      <c r="AJ1614"/>
      <c r="AK1614"/>
    </row>
    <row r="1615" spans="18:37" ht="14">
      <c r="R1615" s="14">
        <v>97312</v>
      </c>
      <c r="S1615" s="14" t="s">
        <v>857</v>
      </c>
      <c r="T1615" s="12" t="s">
        <v>203</v>
      </c>
      <c r="U1615" s="15" t="str">
        <f t="shared" si="37"/>
        <v>PP- Support Training RCMS - TRG</v>
      </c>
      <c r="V1615" s="12" t="s">
        <v>104</v>
      </c>
      <c r="W1615" s="12" t="s">
        <v>204</v>
      </c>
      <c r="X1615" s="12" t="s">
        <v>205</v>
      </c>
      <c r="Y1615" s="12" t="s">
        <v>1038</v>
      </c>
      <c r="AJ1615"/>
      <c r="AK1615"/>
    </row>
    <row r="1616" spans="18:37" ht="14">
      <c r="R1616" s="14">
        <v>97312</v>
      </c>
      <c r="S1616" s="14" t="s">
        <v>857</v>
      </c>
      <c r="T1616" s="12" t="s">
        <v>208</v>
      </c>
      <c r="U1616" s="15" t="str">
        <f t="shared" si="37"/>
        <v>PP- Support Training RCMS - TTR</v>
      </c>
      <c r="V1616" s="12" t="s">
        <v>104</v>
      </c>
      <c r="W1616" s="12" t="s">
        <v>204</v>
      </c>
      <c r="X1616" s="12" t="s">
        <v>205</v>
      </c>
      <c r="Y1616" s="12" t="s">
        <v>1038</v>
      </c>
      <c r="AJ1616"/>
      <c r="AK1616"/>
    </row>
    <row r="1617" spans="18:37" ht="14">
      <c r="R1617" s="14">
        <v>88117</v>
      </c>
      <c r="S1617" s="14" t="s">
        <v>868</v>
      </c>
      <c r="T1617" s="12" t="s">
        <v>230</v>
      </c>
      <c r="U1617" s="15" t="str">
        <f t="shared" si="37"/>
        <v>PP-Coding_Bench - PRSP</v>
      </c>
      <c r="V1617" s="12" t="s">
        <v>126</v>
      </c>
      <c r="W1617" s="12" t="s">
        <v>237</v>
      </c>
      <c r="X1617" s="12" t="s">
        <v>238</v>
      </c>
      <c r="Y1617" s="12" t="s">
        <v>1038</v>
      </c>
      <c r="AJ1617"/>
      <c r="AK1617"/>
    </row>
    <row r="1618" spans="18:37" ht="14">
      <c r="R1618" s="14">
        <v>88117</v>
      </c>
      <c r="S1618" s="14" t="s">
        <v>868</v>
      </c>
      <c r="T1618" s="12" t="s">
        <v>180</v>
      </c>
      <c r="U1618" s="15" t="str">
        <f t="shared" si="37"/>
        <v>PP-Coding_Bench - TMG</v>
      </c>
      <c r="V1618" s="12" t="s">
        <v>126</v>
      </c>
      <c r="W1618" s="12" t="s">
        <v>237</v>
      </c>
      <c r="X1618" s="12" t="s">
        <v>238</v>
      </c>
      <c r="Y1618" s="12" t="s">
        <v>1038</v>
      </c>
      <c r="AJ1618"/>
      <c r="AK1618"/>
    </row>
    <row r="1619" spans="18:37" ht="14">
      <c r="R1619" s="14">
        <v>88117</v>
      </c>
      <c r="S1619" s="14" t="s">
        <v>868</v>
      </c>
      <c r="T1619" s="12" t="s">
        <v>185</v>
      </c>
      <c r="U1619" s="15" t="str">
        <f t="shared" si="37"/>
        <v>PP-Coding_Bench - TPS</v>
      </c>
      <c r="V1619" s="12" t="s">
        <v>126</v>
      </c>
      <c r="W1619" s="12" t="s">
        <v>237</v>
      </c>
      <c r="X1619" s="12" t="s">
        <v>238</v>
      </c>
      <c r="Y1619" s="12" t="s">
        <v>1038</v>
      </c>
      <c r="AJ1619"/>
      <c r="AK1619"/>
    </row>
    <row r="1620" spans="18:37" ht="14">
      <c r="R1620" s="14">
        <v>88129</v>
      </c>
      <c r="S1620" s="14" t="s">
        <v>874</v>
      </c>
      <c r="T1620" s="12" t="s">
        <v>116</v>
      </c>
      <c r="U1620" s="15" t="str">
        <f t="shared" si="37"/>
        <v>PP-RCMS_Bench - NFB/Logo - PRD</v>
      </c>
      <c r="V1620" s="12" t="s">
        <v>126</v>
      </c>
      <c r="W1620" s="12" t="s">
        <v>163</v>
      </c>
      <c r="X1620" s="12" t="s">
        <v>164</v>
      </c>
      <c r="Y1620" s="12" t="s">
        <v>1038</v>
      </c>
      <c r="AJ1620"/>
      <c r="AK1620"/>
    </row>
    <row r="1621" spans="18:37" ht="14">
      <c r="R1621" s="14">
        <v>97311</v>
      </c>
      <c r="S1621" s="14" t="s">
        <v>879</v>
      </c>
      <c r="T1621" s="12" t="s">
        <v>145</v>
      </c>
      <c r="U1621" s="15" t="str">
        <f t="shared" si="37"/>
        <v>PP-Support Training Coding - SUP</v>
      </c>
      <c r="V1621" s="12" t="s">
        <v>104</v>
      </c>
      <c r="W1621" s="12" t="s">
        <v>237</v>
      </c>
      <c r="X1621" s="12" t="s">
        <v>238</v>
      </c>
      <c r="Y1621" s="12" t="s">
        <v>1038</v>
      </c>
      <c r="AJ1621"/>
      <c r="AK1621"/>
    </row>
    <row r="1622" spans="18:37" ht="14">
      <c r="R1622" s="14">
        <v>97121</v>
      </c>
      <c r="S1622" s="14" t="s">
        <v>883</v>
      </c>
      <c r="T1622" s="12" t="s">
        <v>121</v>
      </c>
      <c r="U1622" s="15" t="str">
        <f t="shared" si="37"/>
        <v>Project 80 - F&amp;A</v>
      </c>
      <c r="V1622" s="12" t="s">
        <v>126</v>
      </c>
      <c r="W1622" s="12" t="s">
        <v>122</v>
      </c>
      <c r="X1622" s="12" t="s">
        <v>114</v>
      </c>
      <c r="Y1622" s="12" t="s">
        <v>1038</v>
      </c>
      <c r="AJ1622"/>
      <c r="AK1622"/>
    </row>
    <row r="1623" spans="18:37" ht="14">
      <c r="R1623" s="14">
        <v>97121</v>
      </c>
      <c r="S1623" s="14" t="s">
        <v>883</v>
      </c>
      <c r="T1623" s="12" t="s">
        <v>556</v>
      </c>
      <c r="U1623" s="15" t="str">
        <f t="shared" si="37"/>
        <v>Project 80 - HRD</v>
      </c>
      <c r="V1623" s="12" t="s">
        <v>126</v>
      </c>
      <c r="W1623" s="12" t="s">
        <v>410</v>
      </c>
      <c r="X1623" s="12" t="s">
        <v>114</v>
      </c>
      <c r="Y1623" s="12" t="s">
        <v>1038</v>
      </c>
      <c r="AJ1623"/>
      <c r="AK1623"/>
    </row>
    <row r="1624" spans="18:37" ht="14">
      <c r="R1624" s="14">
        <v>97121</v>
      </c>
      <c r="S1624" s="14" t="s">
        <v>883</v>
      </c>
      <c r="T1624" s="12" t="s">
        <v>145</v>
      </c>
      <c r="U1624" s="15" t="str">
        <f t="shared" si="37"/>
        <v>Project 80 - SUP</v>
      </c>
      <c r="V1624" s="12" t="s">
        <v>126</v>
      </c>
      <c r="W1624" s="12" t="s">
        <v>410</v>
      </c>
      <c r="X1624" s="12" t="s">
        <v>114</v>
      </c>
      <c r="Y1624" s="12" t="s">
        <v>1038</v>
      </c>
      <c r="AJ1624"/>
      <c r="AK1624"/>
    </row>
    <row r="1625" spans="18:37" ht="14">
      <c r="R1625" s="14">
        <v>20718</v>
      </c>
      <c r="S1625" s="14" t="s">
        <v>644</v>
      </c>
      <c r="T1625" s="12" t="s">
        <v>185</v>
      </c>
      <c r="U1625" s="15" t="str">
        <f t="shared" si="37"/>
        <v>Protective CXAT Expansion - TPS</v>
      </c>
      <c r="V1625" s="12" t="s">
        <v>126</v>
      </c>
      <c r="W1625" s="12" t="s">
        <v>163</v>
      </c>
      <c r="X1625" s="12" t="s">
        <v>164</v>
      </c>
      <c r="Y1625" s="12" t="s">
        <v>1038</v>
      </c>
      <c r="AJ1625"/>
      <c r="AK1625"/>
    </row>
    <row r="1626" spans="18:37" ht="14">
      <c r="R1626" s="14">
        <v>10775</v>
      </c>
      <c r="S1626" s="14" t="s">
        <v>375</v>
      </c>
      <c r="T1626" s="12" t="s">
        <v>133</v>
      </c>
      <c r="U1626" s="15" t="str">
        <f t="shared" si="37"/>
        <v>Protective Life - AMG</v>
      </c>
      <c r="V1626" s="12" t="s">
        <v>126</v>
      </c>
      <c r="W1626" s="12" t="s">
        <v>163</v>
      </c>
      <c r="X1626" s="12" t="s">
        <v>164</v>
      </c>
      <c r="Y1626" s="12" t="s">
        <v>1038</v>
      </c>
      <c r="AJ1626"/>
      <c r="AK1626"/>
    </row>
    <row r="1627" spans="18:37" ht="14">
      <c r="R1627" s="14">
        <v>10775</v>
      </c>
      <c r="S1627" s="14" t="s">
        <v>375</v>
      </c>
      <c r="T1627" s="12" t="s">
        <v>433</v>
      </c>
      <c r="U1627" s="15" t="str">
        <f t="shared" si="37"/>
        <v>Protective Life - ANA</v>
      </c>
      <c r="V1627" s="12" t="s">
        <v>126</v>
      </c>
      <c r="W1627" s="12" t="s">
        <v>163</v>
      </c>
      <c r="X1627" s="12" t="s">
        <v>164</v>
      </c>
      <c r="Y1627" s="12" t="s">
        <v>1038</v>
      </c>
      <c r="AJ1627"/>
      <c r="AK1627"/>
    </row>
    <row r="1628" spans="18:37" ht="14">
      <c r="R1628" s="14">
        <v>10775</v>
      </c>
      <c r="S1628" s="14" t="s">
        <v>375</v>
      </c>
      <c r="T1628" s="12" t="s">
        <v>111</v>
      </c>
      <c r="U1628" s="15" t="str">
        <f t="shared" si="37"/>
        <v>Protective Life - QLY</v>
      </c>
      <c r="V1628" s="12" t="s">
        <v>112</v>
      </c>
      <c r="W1628" s="12" t="s">
        <v>113</v>
      </c>
      <c r="X1628" s="12" t="s">
        <v>114</v>
      </c>
      <c r="Y1628" s="12" t="s">
        <v>1038</v>
      </c>
      <c r="AJ1628"/>
      <c r="AK1628"/>
    </row>
    <row r="1629" spans="18:37" ht="14">
      <c r="R1629" s="14">
        <v>10775</v>
      </c>
      <c r="S1629" s="14" t="s">
        <v>375</v>
      </c>
      <c r="T1629" s="12" t="s">
        <v>119</v>
      </c>
      <c r="U1629" s="15" t="str">
        <f t="shared" si="37"/>
        <v>Protective Life - SQM</v>
      </c>
      <c r="V1629" s="12" t="s">
        <v>112</v>
      </c>
      <c r="W1629" s="12" t="s">
        <v>113</v>
      </c>
      <c r="X1629" s="12" t="s">
        <v>114</v>
      </c>
      <c r="Y1629" s="12" t="s">
        <v>1038</v>
      </c>
      <c r="AJ1629"/>
      <c r="AK1629"/>
    </row>
    <row r="1630" spans="18:37" ht="14">
      <c r="R1630" s="14">
        <v>10775</v>
      </c>
      <c r="S1630" s="14" t="s">
        <v>375</v>
      </c>
      <c r="T1630" s="12" t="s">
        <v>145</v>
      </c>
      <c r="U1630" s="15" t="str">
        <f t="shared" si="37"/>
        <v>Protective Life - SUP</v>
      </c>
      <c r="V1630" s="12" t="s">
        <v>126</v>
      </c>
      <c r="W1630" s="12" t="s">
        <v>163</v>
      </c>
      <c r="X1630" s="12" t="s">
        <v>164</v>
      </c>
      <c r="Y1630" s="12" t="s">
        <v>1038</v>
      </c>
      <c r="AJ1630"/>
      <c r="AK1630"/>
    </row>
    <row r="1631" spans="18:37" ht="14">
      <c r="R1631" s="14">
        <v>10775</v>
      </c>
      <c r="S1631" s="14" t="s">
        <v>375</v>
      </c>
      <c r="T1631" s="12" t="s">
        <v>196</v>
      </c>
      <c r="U1631" s="15" t="str">
        <f t="shared" si="37"/>
        <v>Protective Life - SUT</v>
      </c>
      <c r="V1631" s="12" t="s">
        <v>126</v>
      </c>
      <c r="W1631" s="12" t="s">
        <v>163</v>
      </c>
      <c r="X1631" s="12" t="s">
        <v>164</v>
      </c>
      <c r="Y1631" s="12" t="s">
        <v>1038</v>
      </c>
      <c r="AJ1631"/>
      <c r="AK1631"/>
    </row>
    <row r="1632" spans="18:37" ht="14">
      <c r="R1632" s="14">
        <v>10775</v>
      </c>
      <c r="S1632" s="14" t="s">
        <v>375</v>
      </c>
      <c r="T1632" s="12" t="s">
        <v>180</v>
      </c>
      <c r="U1632" s="15" t="str">
        <f t="shared" si="37"/>
        <v>Protective Life - TMG</v>
      </c>
      <c r="V1632" s="12" t="s">
        <v>126</v>
      </c>
      <c r="W1632" s="12" t="s">
        <v>163</v>
      </c>
      <c r="X1632" s="12" t="s">
        <v>164</v>
      </c>
      <c r="Y1632" s="12" t="s">
        <v>1038</v>
      </c>
      <c r="AJ1632"/>
      <c r="AK1632"/>
    </row>
    <row r="1633" spans="18:37" ht="14">
      <c r="R1633" s="14">
        <v>10775</v>
      </c>
      <c r="S1633" s="14" t="s">
        <v>375</v>
      </c>
      <c r="T1633" s="12" t="s">
        <v>185</v>
      </c>
      <c r="U1633" s="15" t="str">
        <f t="shared" si="37"/>
        <v>Protective Life - TPS</v>
      </c>
      <c r="V1633" s="12" t="s">
        <v>126</v>
      </c>
      <c r="W1633" s="12" t="s">
        <v>163</v>
      </c>
      <c r="X1633" s="12" t="s">
        <v>164</v>
      </c>
      <c r="Y1633" s="12" t="s">
        <v>1038</v>
      </c>
      <c r="AJ1633"/>
      <c r="AK1633"/>
    </row>
    <row r="1634" spans="18:37" ht="14">
      <c r="R1634" s="14">
        <v>10775</v>
      </c>
      <c r="S1634" s="14" t="s">
        <v>375</v>
      </c>
      <c r="T1634" s="12" t="s">
        <v>208</v>
      </c>
      <c r="U1634" s="15" t="str">
        <f t="shared" si="37"/>
        <v>Protective Life - TTR</v>
      </c>
      <c r="V1634" s="12" t="s">
        <v>112</v>
      </c>
      <c r="W1634" s="12" t="s">
        <v>204</v>
      </c>
      <c r="X1634" s="12" t="s">
        <v>205</v>
      </c>
      <c r="Y1634" s="12" t="s">
        <v>1038</v>
      </c>
      <c r="AJ1634"/>
      <c r="AK1634"/>
    </row>
    <row r="1635" spans="18:37" ht="14">
      <c r="R1635" s="14">
        <v>88136</v>
      </c>
      <c r="S1635" s="14" t="s">
        <v>887</v>
      </c>
      <c r="T1635" s="12" t="s">
        <v>116</v>
      </c>
      <c r="U1635" s="15" t="str">
        <f t="shared" si="37"/>
        <v>PY - Operational Mgmt (Payer) - PRD</v>
      </c>
      <c r="V1635" s="12" t="s">
        <v>126</v>
      </c>
      <c r="W1635" s="12" t="s">
        <v>163</v>
      </c>
      <c r="X1635" s="12" t="s">
        <v>164</v>
      </c>
      <c r="Y1635" s="12" t="s">
        <v>1038</v>
      </c>
      <c r="AJ1635"/>
      <c r="AK1635"/>
    </row>
    <row r="1636" spans="18:37" ht="14">
      <c r="R1636" s="14">
        <v>88136</v>
      </c>
      <c r="S1636" s="14" t="s">
        <v>887</v>
      </c>
      <c r="T1636" s="12" t="s">
        <v>230</v>
      </c>
      <c r="U1636" s="15" t="str">
        <f t="shared" si="37"/>
        <v>PY - Operational Mgmt (Payer) - PRSP</v>
      </c>
      <c r="V1636" s="12" t="s">
        <v>126</v>
      </c>
      <c r="W1636" s="12" t="s">
        <v>163</v>
      </c>
      <c r="X1636" s="12" t="s">
        <v>164</v>
      </c>
      <c r="Y1636" s="12" t="s">
        <v>1038</v>
      </c>
      <c r="AJ1636"/>
      <c r="AK1636"/>
    </row>
    <row r="1637" spans="18:37" ht="14">
      <c r="R1637" s="14">
        <v>88136</v>
      </c>
      <c r="S1637" s="14" t="s">
        <v>887</v>
      </c>
      <c r="T1637" s="12" t="s">
        <v>145</v>
      </c>
      <c r="U1637" s="15" t="str">
        <f t="shared" si="37"/>
        <v>PY - Operational Mgmt (Payer) - SUP</v>
      </c>
      <c r="V1637" s="12" t="s">
        <v>126</v>
      </c>
      <c r="W1637" s="12" t="s">
        <v>163</v>
      </c>
      <c r="X1637" s="12" t="s">
        <v>164</v>
      </c>
      <c r="Y1637" s="12" t="s">
        <v>1038</v>
      </c>
      <c r="AJ1637"/>
      <c r="AK1637"/>
    </row>
    <row r="1638" spans="18:37" ht="14">
      <c r="R1638" s="14">
        <v>88136</v>
      </c>
      <c r="S1638" s="14" t="s">
        <v>887</v>
      </c>
      <c r="T1638" s="12" t="s">
        <v>180</v>
      </c>
      <c r="U1638" s="15" t="str">
        <f t="shared" si="37"/>
        <v>PY - Operational Mgmt (Payer) - TMG</v>
      </c>
      <c r="V1638" s="12" t="s">
        <v>126</v>
      </c>
      <c r="W1638" s="12" t="s">
        <v>163</v>
      </c>
      <c r="X1638" s="12" t="s">
        <v>164</v>
      </c>
      <c r="Y1638" s="12" t="s">
        <v>1038</v>
      </c>
      <c r="AJ1638"/>
      <c r="AK1638"/>
    </row>
    <row r="1639" spans="18:37" ht="14">
      <c r="R1639" s="14">
        <v>88136</v>
      </c>
      <c r="S1639" s="14" t="s">
        <v>887</v>
      </c>
      <c r="T1639" s="12" t="s">
        <v>185</v>
      </c>
      <c r="U1639" s="15" t="str">
        <f t="shared" si="37"/>
        <v>PY - Operational Mgmt (Payer) - TPS</v>
      </c>
      <c r="V1639" s="12" t="s">
        <v>126</v>
      </c>
      <c r="W1639" s="12" t="s">
        <v>163</v>
      </c>
      <c r="X1639" s="12" t="s">
        <v>164</v>
      </c>
      <c r="Y1639" s="12" t="s">
        <v>1038</v>
      </c>
      <c r="AJ1639"/>
      <c r="AK1639"/>
    </row>
    <row r="1640" spans="18:37" ht="14">
      <c r="R1640" s="14">
        <v>88122</v>
      </c>
      <c r="S1640" s="14" t="s">
        <v>893</v>
      </c>
      <c r="T1640" s="12" t="s">
        <v>185</v>
      </c>
      <c r="U1640" s="15" t="str">
        <f t="shared" si="37"/>
        <v>PY-Others Support _Bench - TPS</v>
      </c>
      <c r="V1640" s="12" t="s">
        <v>126</v>
      </c>
      <c r="W1640" s="12" t="s">
        <v>163</v>
      </c>
      <c r="X1640" s="12" t="s">
        <v>164</v>
      </c>
      <c r="Y1640" s="12" t="s">
        <v>1038</v>
      </c>
      <c r="AJ1640"/>
      <c r="AK1640"/>
    </row>
    <row r="1641" spans="18:37" ht="14">
      <c r="R1641" s="14">
        <v>97313</v>
      </c>
      <c r="S1641" s="14" t="s">
        <v>896</v>
      </c>
      <c r="T1641" s="12" t="s">
        <v>129</v>
      </c>
      <c r="U1641" s="15" t="str">
        <f t="shared" si="37"/>
        <v>PY-Support Training - MGT</v>
      </c>
      <c r="V1641" s="12" t="s">
        <v>104</v>
      </c>
      <c r="W1641" s="12" t="s">
        <v>204</v>
      </c>
      <c r="X1641" s="12" t="s">
        <v>205</v>
      </c>
      <c r="Y1641" s="12" t="s">
        <v>1038</v>
      </c>
      <c r="AJ1641"/>
      <c r="AK1641"/>
    </row>
    <row r="1642" spans="18:37" ht="14">
      <c r="R1642" s="14">
        <v>97313</v>
      </c>
      <c r="S1642" s="14" t="s">
        <v>896</v>
      </c>
      <c r="T1642" s="12" t="s">
        <v>116</v>
      </c>
      <c r="U1642" s="15" t="str">
        <f t="shared" si="37"/>
        <v>PY-Support Training - PRD</v>
      </c>
      <c r="V1642" s="12" t="s">
        <v>104</v>
      </c>
      <c r="W1642" s="12" t="s">
        <v>204</v>
      </c>
      <c r="X1642" s="12" t="s">
        <v>205</v>
      </c>
      <c r="Y1642" s="12" t="s">
        <v>1038</v>
      </c>
      <c r="AJ1642"/>
      <c r="AK1642"/>
    </row>
    <row r="1643" spans="18:37" ht="14">
      <c r="R1643" s="14">
        <v>97313</v>
      </c>
      <c r="S1643" s="14" t="s">
        <v>896</v>
      </c>
      <c r="T1643" s="12" t="s">
        <v>145</v>
      </c>
      <c r="U1643" s="15" t="str">
        <f t="shared" si="37"/>
        <v>PY-Support Training - SUP</v>
      </c>
      <c r="V1643" s="12" t="s">
        <v>104</v>
      </c>
      <c r="W1643" s="12" t="s">
        <v>204</v>
      </c>
      <c r="X1643" s="12" t="s">
        <v>205</v>
      </c>
      <c r="Y1643" s="12" t="s">
        <v>1038</v>
      </c>
      <c r="AJ1643"/>
      <c r="AK1643"/>
    </row>
    <row r="1644" spans="18:37" ht="14">
      <c r="R1644" s="14">
        <v>97313</v>
      </c>
      <c r="S1644" s="14" t="s">
        <v>896</v>
      </c>
      <c r="T1644" s="12" t="s">
        <v>208</v>
      </c>
      <c r="U1644" s="15" t="str">
        <f t="shared" si="37"/>
        <v>PY-Support Training - TTR</v>
      </c>
      <c r="V1644" s="12" t="s">
        <v>104</v>
      </c>
      <c r="W1644" s="12" t="s">
        <v>204</v>
      </c>
      <c r="X1644" s="12" t="s">
        <v>205</v>
      </c>
      <c r="Y1644" s="12" t="s">
        <v>1038</v>
      </c>
      <c r="AJ1644"/>
      <c r="AK1644"/>
    </row>
    <row r="1645" spans="18:37" ht="14">
      <c r="R1645" s="14">
        <v>10821</v>
      </c>
      <c r="S1645" s="14" t="s">
        <v>403</v>
      </c>
      <c r="T1645" s="12" t="s">
        <v>150</v>
      </c>
      <c r="U1645" s="15" t="str">
        <f t="shared" si="37"/>
        <v>Q2 Holdings Inc - CCS</v>
      </c>
      <c r="V1645" s="12" t="s">
        <v>126</v>
      </c>
      <c r="W1645" s="12" t="s">
        <v>360</v>
      </c>
      <c r="X1645" s="12" t="s">
        <v>361</v>
      </c>
      <c r="Y1645" s="12" t="s">
        <v>1038</v>
      </c>
      <c r="AJ1645"/>
      <c r="AK1645"/>
    </row>
    <row r="1646" spans="18:37" ht="14">
      <c r="R1646" s="14">
        <v>10821</v>
      </c>
      <c r="S1646" s="14" t="s">
        <v>403</v>
      </c>
      <c r="T1646" s="12" t="s">
        <v>145</v>
      </c>
      <c r="U1646" s="15" t="str">
        <f t="shared" si="37"/>
        <v>Q2 Holdings Inc - SUP</v>
      </c>
      <c r="V1646" s="12" t="s">
        <v>126</v>
      </c>
      <c r="W1646" s="12" t="s">
        <v>360</v>
      </c>
      <c r="X1646" s="12" t="s">
        <v>361</v>
      </c>
      <c r="Y1646" s="12" t="s">
        <v>1038</v>
      </c>
      <c r="AJ1646"/>
      <c r="AK1646"/>
    </row>
    <row r="1647" spans="18:37" ht="14">
      <c r="R1647" s="14">
        <v>83002</v>
      </c>
      <c r="S1647" s="14" t="s">
        <v>880</v>
      </c>
      <c r="T1647" s="12" t="s">
        <v>145</v>
      </c>
      <c r="U1647" s="15" t="str">
        <f t="shared" si="37"/>
        <v>QA and testing - SUP</v>
      </c>
      <c r="V1647" s="12" t="s">
        <v>104</v>
      </c>
      <c r="W1647" s="12" t="s">
        <v>117</v>
      </c>
      <c r="X1647" s="12" t="s">
        <v>117</v>
      </c>
      <c r="Y1647" s="12" t="s">
        <v>1038</v>
      </c>
      <c r="AJ1647"/>
      <c r="AK1647"/>
    </row>
    <row r="1648" spans="18:37" ht="14">
      <c r="R1648" s="14">
        <v>40063</v>
      </c>
      <c r="S1648" s="14" t="s">
        <v>666</v>
      </c>
      <c r="T1648" s="12" t="s">
        <v>133</v>
      </c>
      <c r="U1648" s="15" t="str">
        <f t="shared" si="37"/>
        <v>Qatar CRA - AMG</v>
      </c>
      <c r="V1648" s="12" t="s">
        <v>126</v>
      </c>
      <c r="W1648" s="12" t="s">
        <v>163</v>
      </c>
      <c r="X1648" s="12" t="s">
        <v>164</v>
      </c>
      <c r="Y1648" s="12" t="s">
        <v>1038</v>
      </c>
      <c r="AJ1648"/>
      <c r="AK1648"/>
    </row>
    <row r="1649" spans="18:37" ht="14">
      <c r="R1649" s="14">
        <v>40063</v>
      </c>
      <c r="S1649" s="14" t="s">
        <v>666</v>
      </c>
      <c r="T1649" s="12" t="s">
        <v>116</v>
      </c>
      <c r="U1649" s="15" t="str">
        <f t="shared" si="37"/>
        <v>Qatar CRA - PRD</v>
      </c>
      <c r="V1649" s="12" t="s">
        <v>126</v>
      </c>
      <c r="W1649" s="12" t="s">
        <v>163</v>
      </c>
      <c r="X1649" s="12" t="s">
        <v>164</v>
      </c>
      <c r="Y1649" s="12" t="s">
        <v>1038</v>
      </c>
      <c r="AJ1649"/>
      <c r="AK1649"/>
    </row>
    <row r="1650" spans="18:37" ht="14">
      <c r="R1650" s="14">
        <v>40063</v>
      </c>
      <c r="S1650" s="14" t="s">
        <v>666</v>
      </c>
      <c r="T1650" s="12" t="s">
        <v>230</v>
      </c>
      <c r="U1650" s="15" t="str">
        <f t="shared" si="37"/>
        <v>Qatar CRA - PRSP</v>
      </c>
      <c r="V1650" s="12" t="s">
        <v>126</v>
      </c>
      <c r="W1650" s="12" t="s">
        <v>163</v>
      </c>
      <c r="X1650" s="12" t="s">
        <v>164</v>
      </c>
      <c r="Y1650" s="12" t="s">
        <v>1038</v>
      </c>
      <c r="AJ1650"/>
      <c r="AK1650"/>
    </row>
    <row r="1651" spans="18:37" ht="14">
      <c r="R1651" s="14">
        <v>40063</v>
      </c>
      <c r="S1651" s="14" t="s">
        <v>666</v>
      </c>
      <c r="T1651" s="12" t="s">
        <v>145</v>
      </c>
      <c r="U1651" s="15" t="str">
        <f t="shared" si="37"/>
        <v>Qatar CRA - SUP</v>
      </c>
      <c r="V1651" s="12" t="s">
        <v>126</v>
      </c>
      <c r="W1651" s="12" t="s">
        <v>163</v>
      </c>
      <c r="X1651" s="12" t="s">
        <v>164</v>
      </c>
      <c r="Y1651" s="12" t="s">
        <v>1038</v>
      </c>
      <c r="AJ1651"/>
      <c r="AK1651"/>
    </row>
    <row r="1652" spans="18:37" ht="14">
      <c r="R1652" s="14">
        <v>40063</v>
      </c>
      <c r="S1652" s="14" t="s">
        <v>666</v>
      </c>
      <c r="T1652" s="12" t="s">
        <v>180</v>
      </c>
      <c r="U1652" s="15" t="str">
        <f t="shared" si="37"/>
        <v>Qatar CRA - TMG</v>
      </c>
      <c r="V1652" s="12" t="s">
        <v>126</v>
      </c>
      <c r="W1652" s="12" t="s">
        <v>163</v>
      </c>
      <c r="X1652" s="12" t="s">
        <v>164</v>
      </c>
      <c r="Y1652" s="12" t="s">
        <v>1038</v>
      </c>
      <c r="AJ1652"/>
      <c r="AK1652"/>
    </row>
    <row r="1653" spans="18:37" ht="14">
      <c r="R1653" s="14">
        <v>40063</v>
      </c>
      <c r="S1653" s="14" t="s">
        <v>666</v>
      </c>
      <c r="T1653" s="12" t="s">
        <v>185</v>
      </c>
      <c r="U1653" s="15" t="str">
        <f t="shared" si="37"/>
        <v>Qatar CRA - TPS</v>
      </c>
      <c r="V1653" s="12" t="s">
        <v>126</v>
      </c>
      <c r="W1653" s="12" t="s">
        <v>163</v>
      </c>
      <c r="X1653" s="12" t="s">
        <v>164</v>
      </c>
      <c r="Y1653" s="12" t="s">
        <v>1038</v>
      </c>
      <c r="AJ1653"/>
      <c r="AK1653"/>
    </row>
    <row r="1654" spans="18:37" ht="14">
      <c r="R1654" s="14">
        <v>10822</v>
      </c>
      <c r="S1654" s="14" t="s">
        <v>406</v>
      </c>
      <c r="T1654" s="12" t="s">
        <v>185</v>
      </c>
      <c r="U1654" s="15" t="str">
        <f t="shared" si="37"/>
        <v>Qatar I2P - TPS</v>
      </c>
      <c r="V1654" s="12" t="s">
        <v>126</v>
      </c>
      <c r="W1654" s="12" t="s">
        <v>163</v>
      </c>
      <c r="X1654" s="12" t="s">
        <v>164</v>
      </c>
      <c r="Y1654" s="12" t="s">
        <v>1038</v>
      </c>
      <c r="AJ1654"/>
      <c r="AK1654"/>
    </row>
    <row r="1655" spans="18:37" ht="14">
      <c r="R1655" s="14">
        <v>40065</v>
      </c>
      <c r="S1655" s="14" t="s">
        <v>667</v>
      </c>
      <c r="T1655" s="12" t="s">
        <v>150</v>
      </c>
      <c r="U1655" s="15" t="str">
        <f t="shared" si="37"/>
        <v>Qatar Pax Audit - CCS</v>
      </c>
      <c r="V1655" s="12" t="s">
        <v>126</v>
      </c>
      <c r="W1655" s="12" t="s">
        <v>163</v>
      </c>
      <c r="X1655" s="12" t="s">
        <v>164</v>
      </c>
      <c r="Y1655" s="12" t="s">
        <v>1038</v>
      </c>
      <c r="AJ1655"/>
      <c r="AK1655"/>
    </row>
    <row r="1656" spans="18:37" ht="14">
      <c r="R1656" s="14">
        <v>40065</v>
      </c>
      <c r="S1656" s="14" t="s">
        <v>667</v>
      </c>
      <c r="T1656" s="12" t="s">
        <v>306</v>
      </c>
      <c r="U1656" s="15" t="str">
        <f t="shared" si="37"/>
        <v>Qatar Pax Audit - FAO</v>
      </c>
      <c r="V1656" s="12" t="s">
        <v>126</v>
      </c>
      <c r="W1656" s="12" t="s">
        <v>163</v>
      </c>
      <c r="X1656" s="12" t="s">
        <v>164</v>
      </c>
      <c r="Y1656" s="12" t="s">
        <v>1038</v>
      </c>
      <c r="AJ1656"/>
      <c r="AK1656"/>
    </row>
    <row r="1657" spans="18:37" ht="14">
      <c r="R1657" s="14">
        <v>40065</v>
      </c>
      <c r="S1657" s="14" t="s">
        <v>667</v>
      </c>
      <c r="T1657" s="12" t="s">
        <v>116</v>
      </c>
      <c r="U1657" s="15" t="str">
        <f t="shared" si="37"/>
        <v>Qatar Pax Audit - PRD</v>
      </c>
      <c r="V1657" s="12" t="s">
        <v>126</v>
      </c>
      <c r="W1657" s="12" t="s">
        <v>163</v>
      </c>
      <c r="X1657" s="12" t="s">
        <v>164</v>
      </c>
      <c r="Y1657" s="12" t="s">
        <v>1038</v>
      </c>
      <c r="AJ1657"/>
      <c r="AK1657"/>
    </row>
    <row r="1658" spans="18:37" ht="14">
      <c r="R1658" s="14">
        <v>40065</v>
      </c>
      <c r="S1658" s="14" t="s">
        <v>667</v>
      </c>
      <c r="T1658" s="12" t="s">
        <v>230</v>
      </c>
      <c r="U1658" s="15" t="str">
        <f t="shared" si="37"/>
        <v>Qatar Pax Audit - PRSP</v>
      </c>
      <c r="V1658" s="12" t="s">
        <v>126</v>
      </c>
      <c r="W1658" s="12" t="s">
        <v>163</v>
      </c>
      <c r="X1658" s="12" t="s">
        <v>164</v>
      </c>
      <c r="Y1658" s="12" t="s">
        <v>1038</v>
      </c>
      <c r="AJ1658"/>
      <c r="AK1658"/>
    </row>
    <row r="1659" spans="18:37" ht="14">
      <c r="R1659" s="14">
        <v>40065</v>
      </c>
      <c r="S1659" s="14" t="s">
        <v>667</v>
      </c>
      <c r="T1659" s="12" t="s">
        <v>145</v>
      </c>
      <c r="U1659" s="15" t="str">
        <f t="shared" si="37"/>
        <v>Qatar Pax Audit - SUP</v>
      </c>
      <c r="V1659" s="12" t="s">
        <v>126</v>
      </c>
      <c r="W1659" s="12" t="s">
        <v>163</v>
      </c>
      <c r="X1659" s="12" t="s">
        <v>164</v>
      </c>
      <c r="Y1659" s="12" t="s">
        <v>1038</v>
      </c>
      <c r="AJ1659"/>
      <c r="AK1659"/>
    </row>
    <row r="1660" spans="18:37" ht="14">
      <c r="R1660" s="14">
        <v>40065</v>
      </c>
      <c r="S1660" s="14" t="s">
        <v>667</v>
      </c>
      <c r="T1660" s="12" t="s">
        <v>180</v>
      </c>
      <c r="U1660" s="15" t="str">
        <f t="shared" si="37"/>
        <v>Qatar Pax Audit - TMG</v>
      </c>
      <c r="V1660" s="12" t="s">
        <v>126</v>
      </c>
      <c r="W1660" s="12" t="s">
        <v>163</v>
      </c>
      <c r="X1660" s="12" t="s">
        <v>164</v>
      </c>
      <c r="Y1660" s="12" t="s">
        <v>1038</v>
      </c>
      <c r="AJ1660"/>
      <c r="AK1660"/>
    </row>
    <row r="1661" spans="18:37" ht="14">
      <c r="R1661" s="14">
        <v>40065</v>
      </c>
      <c r="S1661" s="14" t="s">
        <v>667</v>
      </c>
      <c r="T1661" s="12" t="s">
        <v>185</v>
      </c>
      <c r="U1661" s="15" t="str">
        <f t="shared" si="37"/>
        <v>Qatar Pax Audit - TPS</v>
      </c>
      <c r="V1661" s="12" t="s">
        <v>126</v>
      </c>
      <c r="W1661" s="12" t="s">
        <v>163</v>
      </c>
      <c r="X1661" s="12" t="s">
        <v>164</v>
      </c>
      <c r="Y1661" s="12" t="s">
        <v>1038</v>
      </c>
      <c r="AJ1661"/>
      <c r="AK1661"/>
    </row>
    <row r="1662" spans="18:37" ht="14">
      <c r="R1662" s="14">
        <v>10841</v>
      </c>
      <c r="S1662" s="14" t="s">
        <v>425</v>
      </c>
      <c r="T1662" s="12" t="s">
        <v>185</v>
      </c>
      <c r="U1662" s="15" t="str">
        <f t="shared" si="37"/>
        <v>QR GST Support - TPS</v>
      </c>
      <c r="V1662" s="12" t="s">
        <v>126</v>
      </c>
      <c r="W1662" s="12" t="s">
        <v>163</v>
      </c>
      <c r="X1662" s="12" t="s">
        <v>164</v>
      </c>
      <c r="Y1662" s="12" t="s">
        <v>1038</v>
      </c>
      <c r="AJ1662"/>
      <c r="AK1662"/>
    </row>
    <row r="1663" spans="18:37" ht="14">
      <c r="R1663" s="14">
        <v>10777</v>
      </c>
      <c r="S1663" s="14" t="s">
        <v>376</v>
      </c>
      <c r="T1663" s="12" t="s">
        <v>185</v>
      </c>
      <c r="U1663" s="15" t="str">
        <f t="shared" si="37"/>
        <v>QR_PRA_altraPRA - TPS</v>
      </c>
      <c r="V1663" s="12" t="s">
        <v>104</v>
      </c>
      <c r="W1663" s="12" t="s">
        <v>117</v>
      </c>
      <c r="X1663" s="12" t="s">
        <v>117</v>
      </c>
      <c r="Y1663" s="12" t="s">
        <v>1038</v>
      </c>
      <c r="AJ1663"/>
      <c r="AK1663"/>
    </row>
    <row r="1664" spans="18:37" ht="14">
      <c r="R1664" s="14">
        <v>51220</v>
      </c>
      <c r="S1664" s="14" t="s">
        <v>738</v>
      </c>
      <c r="T1664" s="12" t="s">
        <v>116</v>
      </c>
      <c r="U1664" s="15" t="str">
        <f t="shared" si="37"/>
        <v>QUDNT-2206-2506-Cloudtestr-QEC - PRD</v>
      </c>
      <c r="V1664" s="12" t="s">
        <v>117</v>
      </c>
      <c r="W1664" s="12" t="s">
        <v>117</v>
      </c>
      <c r="X1664" s="12" t="s">
        <v>117</v>
      </c>
      <c r="Y1664" s="12" t="s">
        <v>1038</v>
      </c>
      <c r="AJ1664"/>
      <c r="AK1664"/>
    </row>
    <row r="1665" spans="18:37" ht="14">
      <c r="R1665" s="14">
        <v>12320</v>
      </c>
      <c r="S1665" s="14" t="s">
        <v>531</v>
      </c>
      <c r="T1665" s="12" t="s">
        <v>116</v>
      </c>
      <c r="U1665" s="15" t="str">
        <f t="shared" si="37"/>
        <v>Recondo - Maintenance - PRD</v>
      </c>
      <c r="V1665" s="12" t="s">
        <v>117</v>
      </c>
      <c r="W1665" s="12" t="s">
        <v>117</v>
      </c>
      <c r="X1665" s="12" t="s">
        <v>117</v>
      </c>
      <c r="Y1665" s="12" t="s">
        <v>1038</v>
      </c>
      <c r="AJ1665"/>
      <c r="AK1665"/>
    </row>
    <row r="1666" spans="18:37" ht="14">
      <c r="R1666" s="14">
        <v>97204</v>
      </c>
      <c r="S1666" s="14" t="s">
        <v>898</v>
      </c>
      <c r="T1666" s="12" t="s">
        <v>129</v>
      </c>
      <c r="U1666" s="15" t="str">
        <f t="shared" si="37"/>
        <v>Recruiting - Sourcing Team - MGT</v>
      </c>
      <c r="V1666" s="12" t="s">
        <v>104</v>
      </c>
      <c r="W1666" s="12" t="s">
        <v>512</v>
      </c>
      <c r="X1666" s="12" t="s">
        <v>114</v>
      </c>
      <c r="Y1666" s="12" t="s">
        <v>1038</v>
      </c>
      <c r="AJ1666"/>
      <c r="AK1666"/>
    </row>
    <row r="1667" spans="18:37" ht="14">
      <c r="R1667" s="14">
        <v>97204</v>
      </c>
      <c r="S1667" s="14" t="s">
        <v>898</v>
      </c>
      <c r="T1667" s="12" t="s">
        <v>514</v>
      </c>
      <c r="U1667" s="15" t="str">
        <f t="shared" ref="U1667:U1730" si="38">S1667&amp;" - "&amp;T1667</f>
        <v>Recruiting - Sourcing Team - REC</v>
      </c>
      <c r="V1667" s="12" t="s">
        <v>104</v>
      </c>
      <c r="W1667" s="12" t="s">
        <v>512</v>
      </c>
      <c r="X1667" s="12" t="s">
        <v>114</v>
      </c>
      <c r="Y1667" s="12" t="s">
        <v>1038</v>
      </c>
      <c r="AJ1667"/>
      <c r="AK1667"/>
    </row>
    <row r="1668" spans="18:37" ht="14">
      <c r="R1668" s="14">
        <v>97204</v>
      </c>
      <c r="S1668" s="14" t="s">
        <v>898</v>
      </c>
      <c r="T1668" s="12" t="s">
        <v>145</v>
      </c>
      <c r="U1668" s="15" t="str">
        <f t="shared" si="38"/>
        <v>Recruiting - Sourcing Team - SUP</v>
      </c>
      <c r="V1668" s="12" t="s">
        <v>104</v>
      </c>
      <c r="W1668" s="12" t="s">
        <v>512</v>
      </c>
      <c r="X1668" s="12" t="s">
        <v>114</v>
      </c>
      <c r="Y1668" s="12" t="s">
        <v>1038</v>
      </c>
      <c r="AJ1668"/>
      <c r="AK1668"/>
    </row>
    <row r="1669" spans="18:37" ht="14">
      <c r="R1669" s="14">
        <v>97223</v>
      </c>
      <c r="S1669" s="14" t="s">
        <v>900</v>
      </c>
      <c r="T1669" s="12" t="s">
        <v>133</v>
      </c>
      <c r="U1669" s="15" t="str">
        <f t="shared" si="38"/>
        <v>Recruitment - CLM - AMG</v>
      </c>
      <c r="V1669" s="12" t="s">
        <v>104</v>
      </c>
      <c r="W1669" s="12" t="s">
        <v>512</v>
      </c>
      <c r="X1669" s="12" t="s">
        <v>114</v>
      </c>
      <c r="Y1669" s="12" t="s">
        <v>1038</v>
      </c>
      <c r="AJ1669"/>
      <c r="AK1669"/>
    </row>
    <row r="1670" spans="18:37" ht="14">
      <c r="R1670" s="14">
        <v>97223</v>
      </c>
      <c r="S1670" s="14" t="s">
        <v>900</v>
      </c>
      <c r="T1670" s="12" t="s">
        <v>556</v>
      </c>
      <c r="U1670" s="15" t="str">
        <f t="shared" si="38"/>
        <v>Recruitment - CLM - HRD</v>
      </c>
      <c r="V1670" s="12" t="s">
        <v>104</v>
      </c>
      <c r="W1670" s="12" t="s">
        <v>512</v>
      </c>
      <c r="X1670" s="12" t="s">
        <v>114</v>
      </c>
      <c r="Y1670" s="12" t="s">
        <v>1038</v>
      </c>
      <c r="AJ1670"/>
      <c r="AK1670"/>
    </row>
    <row r="1671" spans="18:37" ht="14">
      <c r="R1671" s="14">
        <v>97223</v>
      </c>
      <c r="S1671" s="14" t="s">
        <v>900</v>
      </c>
      <c r="T1671" s="12" t="s">
        <v>129</v>
      </c>
      <c r="U1671" s="15" t="str">
        <f t="shared" si="38"/>
        <v>Recruitment - CLM - MGT</v>
      </c>
      <c r="V1671" s="12" t="s">
        <v>104</v>
      </c>
      <c r="W1671" s="12" t="s">
        <v>512</v>
      </c>
      <c r="X1671" s="12" t="s">
        <v>114</v>
      </c>
      <c r="Y1671" s="12" t="s">
        <v>1038</v>
      </c>
      <c r="AJ1671"/>
      <c r="AK1671"/>
    </row>
    <row r="1672" spans="18:37" ht="14">
      <c r="R1672" s="14">
        <v>97223</v>
      </c>
      <c r="S1672" s="14" t="s">
        <v>900</v>
      </c>
      <c r="T1672" s="12" t="s">
        <v>514</v>
      </c>
      <c r="U1672" s="15" t="str">
        <f t="shared" si="38"/>
        <v>Recruitment - CLM - REC</v>
      </c>
      <c r="V1672" s="12" t="s">
        <v>104</v>
      </c>
      <c r="W1672" s="12" t="s">
        <v>512</v>
      </c>
      <c r="X1672" s="12" t="s">
        <v>114</v>
      </c>
      <c r="Y1672" s="12" t="s">
        <v>1038</v>
      </c>
      <c r="AJ1672"/>
      <c r="AK1672"/>
    </row>
    <row r="1673" spans="18:37" ht="14">
      <c r="R1673" s="14">
        <v>97223</v>
      </c>
      <c r="S1673" s="14" t="s">
        <v>900</v>
      </c>
      <c r="T1673" s="12" t="s">
        <v>172</v>
      </c>
      <c r="U1673" s="15" t="str">
        <f t="shared" si="38"/>
        <v>Recruitment - CLM - SME</v>
      </c>
      <c r="V1673" s="12" t="s">
        <v>104</v>
      </c>
      <c r="W1673" s="12" t="s">
        <v>512</v>
      </c>
      <c r="X1673" s="12" t="s">
        <v>114</v>
      </c>
      <c r="Y1673" s="12" t="s">
        <v>1038</v>
      </c>
      <c r="AJ1673"/>
      <c r="AK1673"/>
    </row>
    <row r="1674" spans="18:37" ht="14">
      <c r="R1674" s="14">
        <v>97223</v>
      </c>
      <c r="S1674" s="14" t="s">
        <v>900</v>
      </c>
      <c r="T1674" s="12" t="s">
        <v>139</v>
      </c>
      <c r="U1674" s="15" t="str">
        <f t="shared" si="38"/>
        <v>Recruitment - CLM - SMGT</v>
      </c>
      <c r="V1674" s="12" t="s">
        <v>104</v>
      </c>
      <c r="W1674" s="12" t="s">
        <v>512</v>
      </c>
      <c r="X1674" s="12" t="s">
        <v>114</v>
      </c>
      <c r="Y1674" s="12" t="s">
        <v>1038</v>
      </c>
      <c r="AJ1674"/>
      <c r="AK1674"/>
    </row>
    <row r="1675" spans="18:37" ht="14">
      <c r="R1675" s="14">
        <v>97223</v>
      </c>
      <c r="S1675" s="14" t="s">
        <v>900</v>
      </c>
      <c r="T1675" s="12" t="s">
        <v>145</v>
      </c>
      <c r="U1675" s="15" t="str">
        <f t="shared" si="38"/>
        <v>Recruitment - CLM - SUP</v>
      </c>
      <c r="V1675" s="12" t="s">
        <v>104</v>
      </c>
      <c r="W1675" s="12" t="s">
        <v>512</v>
      </c>
      <c r="X1675" s="12" t="s">
        <v>114</v>
      </c>
      <c r="Y1675" s="12" t="s">
        <v>1038</v>
      </c>
      <c r="AJ1675"/>
      <c r="AK1675"/>
    </row>
    <row r="1676" spans="18:37" ht="14">
      <c r="R1676" s="14">
        <v>97223</v>
      </c>
      <c r="S1676" s="14" t="s">
        <v>900</v>
      </c>
      <c r="T1676" s="12" t="s">
        <v>180</v>
      </c>
      <c r="U1676" s="15" t="str">
        <f t="shared" si="38"/>
        <v>Recruitment - CLM - TMG</v>
      </c>
      <c r="V1676" s="12" t="s">
        <v>104</v>
      </c>
      <c r="W1676" s="12" t="s">
        <v>512</v>
      </c>
      <c r="X1676" s="12" t="s">
        <v>114</v>
      </c>
      <c r="Y1676" s="12" t="s">
        <v>1038</v>
      </c>
      <c r="AJ1676"/>
      <c r="AK1676"/>
    </row>
    <row r="1677" spans="18:37" ht="14">
      <c r="R1677" s="14">
        <v>97229</v>
      </c>
      <c r="S1677" s="14" t="s">
        <v>909</v>
      </c>
      <c r="T1677" s="12" t="s">
        <v>145</v>
      </c>
      <c r="U1677" s="15" t="str">
        <f t="shared" si="38"/>
        <v>Recruitment - GLA - SUP</v>
      </c>
      <c r="V1677" s="12" t="s">
        <v>104</v>
      </c>
      <c r="W1677" s="12" t="s">
        <v>512</v>
      </c>
      <c r="X1677" s="12" t="s">
        <v>114</v>
      </c>
      <c r="Y1677" s="12" t="s">
        <v>1038</v>
      </c>
      <c r="AJ1677"/>
      <c r="AK1677"/>
    </row>
    <row r="1678" spans="18:37" ht="14">
      <c r="R1678" s="14">
        <v>97229</v>
      </c>
      <c r="S1678" s="14" t="s">
        <v>909</v>
      </c>
      <c r="T1678" s="12" t="s">
        <v>203</v>
      </c>
      <c r="U1678" s="15" t="str">
        <f t="shared" si="38"/>
        <v>Recruitment - GLA - TRG</v>
      </c>
      <c r="V1678" s="12" t="s">
        <v>104</v>
      </c>
      <c r="W1678" s="12" t="s">
        <v>512</v>
      </c>
      <c r="X1678" s="12" t="s">
        <v>114</v>
      </c>
      <c r="Y1678" s="12" t="s">
        <v>1038</v>
      </c>
      <c r="AJ1678"/>
      <c r="AK1678"/>
    </row>
    <row r="1679" spans="18:37" ht="14">
      <c r="R1679" s="14">
        <v>97217</v>
      </c>
      <c r="S1679" s="14" t="s">
        <v>912</v>
      </c>
      <c r="T1679" s="12" t="s">
        <v>133</v>
      </c>
      <c r="U1679" s="15" t="str">
        <f t="shared" si="38"/>
        <v>Recruitment – Leadership - AMG</v>
      </c>
      <c r="V1679" s="12" t="s">
        <v>104</v>
      </c>
      <c r="W1679" s="12" t="s">
        <v>512</v>
      </c>
      <c r="X1679" s="12" t="s">
        <v>114</v>
      </c>
      <c r="Y1679" s="12" t="s">
        <v>1038</v>
      </c>
      <c r="AJ1679"/>
      <c r="AK1679"/>
    </row>
    <row r="1680" spans="18:37" ht="14">
      <c r="R1680" s="14">
        <v>97217</v>
      </c>
      <c r="S1680" s="14" t="s">
        <v>912</v>
      </c>
      <c r="T1680" s="12" t="s">
        <v>556</v>
      </c>
      <c r="U1680" s="15" t="str">
        <f t="shared" si="38"/>
        <v>Recruitment – Leadership - HRD</v>
      </c>
      <c r="V1680" s="12" t="s">
        <v>104</v>
      </c>
      <c r="W1680" s="12" t="s">
        <v>512</v>
      </c>
      <c r="X1680" s="12" t="s">
        <v>114</v>
      </c>
      <c r="Y1680" s="12" t="s">
        <v>1038</v>
      </c>
      <c r="AJ1680"/>
      <c r="AK1680"/>
    </row>
    <row r="1681" spans="18:37" ht="14">
      <c r="R1681" s="14">
        <v>97217</v>
      </c>
      <c r="S1681" s="14" t="s">
        <v>912</v>
      </c>
      <c r="T1681" s="12" t="s">
        <v>514</v>
      </c>
      <c r="U1681" s="15" t="str">
        <f t="shared" si="38"/>
        <v>Recruitment – Leadership - REC</v>
      </c>
      <c r="V1681" s="12" t="s">
        <v>104</v>
      </c>
      <c r="W1681" s="12" t="s">
        <v>512</v>
      </c>
      <c r="X1681" s="12" t="s">
        <v>114</v>
      </c>
      <c r="Y1681" s="12" t="s">
        <v>1038</v>
      </c>
      <c r="AJ1681"/>
      <c r="AK1681"/>
    </row>
    <row r="1682" spans="18:37" ht="14">
      <c r="R1682" s="14">
        <v>97217</v>
      </c>
      <c r="S1682" s="14" t="s">
        <v>912</v>
      </c>
      <c r="T1682" s="12" t="s">
        <v>172</v>
      </c>
      <c r="U1682" s="15" t="str">
        <f t="shared" si="38"/>
        <v>Recruitment – Leadership - SME</v>
      </c>
      <c r="V1682" s="12" t="s">
        <v>104</v>
      </c>
      <c r="W1682" s="12" t="s">
        <v>512</v>
      </c>
      <c r="X1682" s="12" t="s">
        <v>114</v>
      </c>
      <c r="Y1682" s="12" t="s">
        <v>1038</v>
      </c>
      <c r="AJ1682"/>
      <c r="AK1682"/>
    </row>
    <row r="1683" spans="18:37" ht="14">
      <c r="R1683" s="14">
        <v>97217</v>
      </c>
      <c r="S1683" s="14" t="s">
        <v>912</v>
      </c>
      <c r="T1683" s="12" t="s">
        <v>145</v>
      </c>
      <c r="U1683" s="15" t="str">
        <f t="shared" si="38"/>
        <v>Recruitment – Leadership - SUP</v>
      </c>
      <c r="V1683" s="12" t="s">
        <v>104</v>
      </c>
      <c r="W1683" s="12" t="s">
        <v>512</v>
      </c>
      <c r="X1683" s="12" t="s">
        <v>114</v>
      </c>
      <c r="Y1683" s="12" t="s">
        <v>1038</v>
      </c>
      <c r="AJ1683"/>
      <c r="AK1683"/>
    </row>
    <row r="1684" spans="18:37" ht="14">
      <c r="R1684" s="14">
        <v>97230</v>
      </c>
      <c r="S1684" s="14" t="s">
        <v>913</v>
      </c>
      <c r="T1684" s="12" t="s">
        <v>129</v>
      </c>
      <c r="U1684" s="15" t="str">
        <f t="shared" si="38"/>
        <v>Recruitment - Program SS - MGT</v>
      </c>
      <c r="V1684" s="12" t="s">
        <v>104</v>
      </c>
      <c r="W1684" s="12" t="s">
        <v>512</v>
      </c>
      <c r="X1684" s="12" t="s">
        <v>114</v>
      </c>
      <c r="Y1684" s="12" t="s">
        <v>1038</v>
      </c>
      <c r="AJ1684"/>
      <c r="AK1684"/>
    </row>
    <row r="1685" spans="18:37" ht="14">
      <c r="R1685" s="14">
        <v>97230</v>
      </c>
      <c r="S1685" s="14" t="s">
        <v>913</v>
      </c>
      <c r="T1685" s="12" t="s">
        <v>514</v>
      </c>
      <c r="U1685" s="15" t="str">
        <f t="shared" si="38"/>
        <v>Recruitment - Program SS - REC</v>
      </c>
      <c r="V1685" s="12" t="s">
        <v>104</v>
      </c>
      <c r="W1685" s="12" t="s">
        <v>512</v>
      </c>
      <c r="X1685" s="12" t="s">
        <v>114</v>
      </c>
      <c r="Y1685" s="12" t="s">
        <v>1038</v>
      </c>
      <c r="AJ1685"/>
      <c r="AK1685"/>
    </row>
    <row r="1686" spans="18:37" ht="14">
      <c r="R1686" s="14">
        <v>97230</v>
      </c>
      <c r="S1686" s="14" t="s">
        <v>913</v>
      </c>
      <c r="T1686" s="12" t="s">
        <v>145</v>
      </c>
      <c r="U1686" s="15" t="str">
        <f t="shared" si="38"/>
        <v>Recruitment - Program SS - SUP</v>
      </c>
      <c r="V1686" s="12" t="s">
        <v>104</v>
      </c>
      <c r="W1686" s="12" t="s">
        <v>512</v>
      </c>
      <c r="X1686" s="12" t="s">
        <v>114</v>
      </c>
      <c r="Y1686" s="12" t="s">
        <v>1038</v>
      </c>
      <c r="AJ1686"/>
      <c r="AK1686"/>
    </row>
    <row r="1687" spans="18:37" ht="14">
      <c r="R1687" s="14">
        <v>10657</v>
      </c>
      <c r="S1687" s="14" t="s">
        <v>291</v>
      </c>
      <c r="T1687" s="12" t="s">
        <v>133</v>
      </c>
      <c r="U1687" s="15" t="str">
        <f t="shared" si="38"/>
        <v>Remitly CET IS IND - AMG</v>
      </c>
      <c r="V1687" s="12" t="s">
        <v>126</v>
      </c>
      <c r="W1687" s="12" t="s">
        <v>178</v>
      </c>
      <c r="X1687" s="12" t="s">
        <v>128</v>
      </c>
      <c r="Y1687" s="12" t="s">
        <v>1038</v>
      </c>
      <c r="AJ1687"/>
      <c r="AK1687"/>
    </row>
    <row r="1688" spans="18:37" ht="14">
      <c r="R1688" s="14">
        <v>10657</v>
      </c>
      <c r="S1688" s="14" t="s">
        <v>291</v>
      </c>
      <c r="T1688" s="12" t="s">
        <v>150</v>
      </c>
      <c r="U1688" s="15" t="str">
        <f t="shared" si="38"/>
        <v>Remitly CET IS IND - CCS</v>
      </c>
      <c r="V1688" s="12" t="s">
        <v>126</v>
      </c>
      <c r="W1688" s="12" t="s">
        <v>178</v>
      </c>
      <c r="X1688" s="12" t="s">
        <v>128</v>
      </c>
      <c r="Y1688" s="12" t="s">
        <v>1038</v>
      </c>
      <c r="AJ1688"/>
      <c r="AK1688"/>
    </row>
    <row r="1689" spans="18:37" ht="14">
      <c r="R1689" s="14">
        <v>10657</v>
      </c>
      <c r="S1689" s="14" t="s">
        <v>291</v>
      </c>
      <c r="T1689" s="12" t="s">
        <v>177</v>
      </c>
      <c r="U1689" s="15" t="str">
        <f t="shared" si="38"/>
        <v>Remitly CET IS IND - OPS</v>
      </c>
      <c r="V1689" s="12" t="s">
        <v>126</v>
      </c>
      <c r="W1689" s="12" t="s">
        <v>178</v>
      </c>
      <c r="X1689" s="12" t="s">
        <v>128</v>
      </c>
      <c r="Y1689" s="12" t="s">
        <v>1038</v>
      </c>
      <c r="AJ1689"/>
      <c r="AK1689"/>
    </row>
    <row r="1690" spans="18:37" ht="14">
      <c r="R1690" s="14">
        <v>10657</v>
      </c>
      <c r="S1690" s="14" t="s">
        <v>291</v>
      </c>
      <c r="T1690" s="12" t="s">
        <v>116</v>
      </c>
      <c r="U1690" s="15" t="str">
        <f t="shared" si="38"/>
        <v>Remitly CET IS IND - PRD</v>
      </c>
      <c r="V1690" s="12" t="s">
        <v>126</v>
      </c>
      <c r="W1690" s="12" t="s">
        <v>178</v>
      </c>
      <c r="X1690" s="12" t="s">
        <v>128</v>
      </c>
      <c r="Y1690" s="12" t="s">
        <v>1038</v>
      </c>
      <c r="AJ1690"/>
      <c r="AK1690"/>
    </row>
    <row r="1691" spans="18:37" ht="14">
      <c r="R1691" s="14">
        <v>10657</v>
      </c>
      <c r="S1691" s="14" t="s">
        <v>291</v>
      </c>
      <c r="T1691" s="12" t="s">
        <v>172</v>
      </c>
      <c r="U1691" s="15" t="str">
        <f t="shared" si="38"/>
        <v>Remitly CET IS IND - SME</v>
      </c>
      <c r="V1691" s="12" t="s">
        <v>126</v>
      </c>
      <c r="W1691" s="12" t="s">
        <v>178</v>
      </c>
      <c r="X1691" s="12" t="s">
        <v>128</v>
      </c>
      <c r="Y1691" s="12" t="s">
        <v>1038</v>
      </c>
      <c r="AJ1691"/>
      <c r="AK1691"/>
    </row>
    <row r="1692" spans="18:37" ht="14">
      <c r="R1692" s="14">
        <v>10657</v>
      </c>
      <c r="S1692" s="14" t="s">
        <v>291</v>
      </c>
      <c r="T1692" s="12" t="s">
        <v>119</v>
      </c>
      <c r="U1692" s="15" t="str">
        <f t="shared" si="38"/>
        <v>Remitly CET IS IND - SQM</v>
      </c>
      <c r="V1692" s="12" t="s">
        <v>112</v>
      </c>
      <c r="W1692" s="12" t="s">
        <v>113</v>
      </c>
      <c r="X1692" s="12" t="s">
        <v>114</v>
      </c>
      <c r="Y1692" s="12" t="s">
        <v>1038</v>
      </c>
      <c r="AJ1692"/>
      <c r="AK1692"/>
    </row>
    <row r="1693" spans="18:37" ht="14">
      <c r="R1693" s="14">
        <v>10657</v>
      </c>
      <c r="S1693" s="14" t="s">
        <v>291</v>
      </c>
      <c r="T1693" s="12" t="s">
        <v>145</v>
      </c>
      <c r="U1693" s="15" t="str">
        <f t="shared" si="38"/>
        <v>Remitly CET IS IND - SUP</v>
      </c>
      <c r="V1693" s="12" t="s">
        <v>126</v>
      </c>
      <c r="W1693" s="12" t="s">
        <v>178</v>
      </c>
      <c r="X1693" s="12" t="s">
        <v>128</v>
      </c>
      <c r="Y1693" s="12" t="s">
        <v>1038</v>
      </c>
      <c r="AJ1693"/>
      <c r="AK1693"/>
    </row>
    <row r="1694" spans="18:37" ht="14">
      <c r="R1694" s="14">
        <v>10657</v>
      </c>
      <c r="S1694" s="14" t="s">
        <v>291</v>
      </c>
      <c r="T1694" s="12" t="s">
        <v>198</v>
      </c>
      <c r="U1694" s="15" t="str">
        <f t="shared" si="38"/>
        <v>Remitly CET IS IND - TEC</v>
      </c>
      <c r="V1694" s="12" t="s">
        <v>126</v>
      </c>
      <c r="W1694" s="12" t="s">
        <v>178</v>
      </c>
      <c r="X1694" s="12" t="s">
        <v>128</v>
      </c>
      <c r="Y1694" s="12" t="s">
        <v>1038</v>
      </c>
      <c r="AJ1694"/>
      <c r="AK1694"/>
    </row>
    <row r="1695" spans="18:37" ht="14">
      <c r="R1695" s="14">
        <v>10657</v>
      </c>
      <c r="S1695" s="14" t="s">
        <v>291</v>
      </c>
      <c r="T1695" s="12" t="s">
        <v>180</v>
      </c>
      <c r="U1695" s="15" t="str">
        <f t="shared" si="38"/>
        <v>Remitly CET IS IND - TMG</v>
      </c>
      <c r="V1695" s="12" t="s">
        <v>126</v>
      </c>
      <c r="W1695" s="12" t="s">
        <v>178</v>
      </c>
      <c r="X1695" s="12" t="s">
        <v>128</v>
      </c>
      <c r="Y1695" s="12" t="s">
        <v>1038</v>
      </c>
      <c r="AJ1695"/>
      <c r="AK1695"/>
    </row>
    <row r="1696" spans="18:37" ht="14">
      <c r="R1696" s="14">
        <v>10657</v>
      </c>
      <c r="S1696" s="14" t="s">
        <v>291</v>
      </c>
      <c r="T1696" s="12" t="s">
        <v>185</v>
      </c>
      <c r="U1696" s="15" t="str">
        <f t="shared" si="38"/>
        <v>Remitly CET IS IND - TPS</v>
      </c>
      <c r="V1696" s="12" t="s">
        <v>126</v>
      </c>
      <c r="W1696" s="12" t="s">
        <v>178</v>
      </c>
      <c r="X1696" s="12" t="s">
        <v>128</v>
      </c>
      <c r="Y1696" s="12" t="s">
        <v>1038</v>
      </c>
      <c r="AJ1696"/>
      <c r="AK1696"/>
    </row>
    <row r="1697" spans="18:37" ht="14">
      <c r="R1697" s="14">
        <v>10657</v>
      </c>
      <c r="S1697" s="14" t="s">
        <v>291</v>
      </c>
      <c r="T1697" s="12" t="s">
        <v>203</v>
      </c>
      <c r="U1697" s="15" t="str">
        <f t="shared" si="38"/>
        <v>Remitly CET IS IND - TRG</v>
      </c>
      <c r="V1697" s="12" t="s">
        <v>112</v>
      </c>
      <c r="W1697" s="12" t="s">
        <v>204</v>
      </c>
      <c r="X1697" s="12" t="s">
        <v>205</v>
      </c>
      <c r="Y1697" s="12" t="s">
        <v>1038</v>
      </c>
      <c r="AJ1697"/>
      <c r="AK1697"/>
    </row>
    <row r="1698" spans="18:37" ht="14">
      <c r="R1698" s="14">
        <v>10657</v>
      </c>
      <c r="S1698" s="14" t="s">
        <v>291</v>
      </c>
      <c r="T1698" s="12" t="s">
        <v>546</v>
      </c>
      <c r="U1698" s="15" t="str">
        <f t="shared" si="38"/>
        <v>Remitly CET IS IND - TRN</v>
      </c>
      <c r="V1698" s="12" t="s">
        <v>112</v>
      </c>
      <c r="W1698" s="12" t="s">
        <v>204</v>
      </c>
      <c r="X1698" s="12" t="s">
        <v>205</v>
      </c>
      <c r="Y1698" s="12" t="s">
        <v>1038</v>
      </c>
      <c r="AJ1698"/>
      <c r="AK1698"/>
    </row>
    <row r="1699" spans="18:37" ht="14">
      <c r="R1699" s="14">
        <v>90419</v>
      </c>
      <c r="S1699" s="14" t="s">
        <v>928</v>
      </c>
      <c r="T1699" s="12" t="s">
        <v>129</v>
      </c>
      <c r="U1699" s="15" t="str">
        <f t="shared" si="38"/>
        <v>Reporting - MGT</v>
      </c>
      <c r="V1699" s="12" t="s">
        <v>126</v>
      </c>
      <c r="W1699" s="12" t="s">
        <v>890</v>
      </c>
      <c r="X1699" s="12" t="s">
        <v>890</v>
      </c>
      <c r="Y1699" s="12" t="s">
        <v>1038</v>
      </c>
      <c r="AJ1699"/>
      <c r="AK1699"/>
    </row>
    <row r="1700" spans="18:37" ht="14">
      <c r="R1700" s="14">
        <v>90419</v>
      </c>
      <c r="S1700" s="14" t="s">
        <v>928</v>
      </c>
      <c r="T1700" s="12" t="s">
        <v>449</v>
      </c>
      <c r="U1700" s="15" t="str">
        <f t="shared" si="38"/>
        <v>Reporting - RPA</v>
      </c>
      <c r="V1700" s="12" t="s">
        <v>126</v>
      </c>
      <c r="W1700" s="12" t="s">
        <v>890</v>
      </c>
      <c r="X1700" s="12" t="s">
        <v>890</v>
      </c>
      <c r="Y1700" s="12" t="s">
        <v>1038</v>
      </c>
      <c r="AJ1700"/>
      <c r="AK1700"/>
    </row>
    <row r="1701" spans="18:37" ht="14">
      <c r="R1701" s="14">
        <v>90419</v>
      </c>
      <c r="S1701" s="14" t="s">
        <v>928</v>
      </c>
      <c r="T1701" s="12" t="s">
        <v>145</v>
      </c>
      <c r="U1701" s="15" t="str">
        <f t="shared" si="38"/>
        <v>Reporting - SUP</v>
      </c>
      <c r="V1701" s="12" t="s">
        <v>126</v>
      </c>
      <c r="W1701" s="12" t="s">
        <v>890</v>
      </c>
      <c r="X1701" s="12" t="s">
        <v>890</v>
      </c>
      <c r="Y1701" s="12" t="s">
        <v>1038</v>
      </c>
      <c r="AJ1701"/>
      <c r="AK1701"/>
    </row>
    <row r="1702" spans="18:37" ht="14">
      <c r="R1702" s="14">
        <v>90419</v>
      </c>
      <c r="S1702" s="14" t="s">
        <v>928</v>
      </c>
      <c r="T1702" s="12" t="s">
        <v>180</v>
      </c>
      <c r="U1702" s="15" t="str">
        <f t="shared" si="38"/>
        <v>Reporting - TMG</v>
      </c>
      <c r="V1702" s="12" t="s">
        <v>126</v>
      </c>
      <c r="W1702" s="12" t="s">
        <v>890</v>
      </c>
      <c r="X1702" s="12" t="s">
        <v>890</v>
      </c>
      <c r="Y1702" s="12" t="s">
        <v>1038</v>
      </c>
      <c r="AJ1702"/>
      <c r="AK1702"/>
    </row>
    <row r="1703" spans="18:37" ht="14">
      <c r="R1703" s="14">
        <v>95260</v>
      </c>
      <c r="S1703" s="14" t="s">
        <v>914</v>
      </c>
      <c r="T1703" s="12" t="s">
        <v>262</v>
      </c>
      <c r="U1703" s="15" t="str">
        <f t="shared" si="38"/>
        <v>Reporting - GSI - GSI</v>
      </c>
      <c r="V1703" s="12" t="s">
        <v>104</v>
      </c>
      <c r="W1703" s="12" t="s">
        <v>263</v>
      </c>
      <c r="X1703" s="12" t="s">
        <v>264</v>
      </c>
      <c r="Y1703" s="12" t="s">
        <v>1038</v>
      </c>
      <c r="AJ1703"/>
      <c r="AK1703"/>
    </row>
    <row r="1704" spans="18:37" ht="14">
      <c r="R1704" s="14">
        <v>95260</v>
      </c>
      <c r="S1704" s="14" t="s">
        <v>914</v>
      </c>
      <c r="T1704" s="12" t="s">
        <v>415</v>
      </c>
      <c r="U1704" s="15" t="str">
        <f t="shared" si="38"/>
        <v>Reporting - GSI - GTI</v>
      </c>
      <c r="V1704" s="12" t="s">
        <v>104</v>
      </c>
      <c r="W1704" s="12" t="s">
        <v>263</v>
      </c>
      <c r="X1704" s="12" t="s">
        <v>264</v>
      </c>
      <c r="Y1704" s="12" t="s">
        <v>1038</v>
      </c>
      <c r="AJ1704"/>
      <c r="AK1704"/>
    </row>
    <row r="1705" spans="18:37" ht="14">
      <c r="R1705" s="14">
        <v>95260</v>
      </c>
      <c r="S1705" s="14" t="s">
        <v>914</v>
      </c>
      <c r="T1705" s="12" t="s">
        <v>139</v>
      </c>
      <c r="U1705" s="15" t="str">
        <f t="shared" si="38"/>
        <v>Reporting - GSI - SMGT</v>
      </c>
      <c r="V1705" s="12" t="s">
        <v>104</v>
      </c>
      <c r="W1705" s="12" t="s">
        <v>263</v>
      </c>
      <c r="X1705" s="12" t="s">
        <v>264</v>
      </c>
      <c r="Y1705" s="12" t="s">
        <v>1038</v>
      </c>
      <c r="AJ1705"/>
      <c r="AK1705"/>
    </row>
    <row r="1706" spans="18:37" ht="14">
      <c r="R1706" s="14">
        <v>95260</v>
      </c>
      <c r="S1706" s="14" t="s">
        <v>914</v>
      </c>
      <c r="T1706" s="12" t="s">
        <v>145</v>
      </c>
      <c r="U1706" s="15" t="str">
        <f t="shared" si="38"/>
        <v>Reporting - GSI - SUP</v>
      </c>
      <c r="V1706" s="12" t="s">
        <v>104</v>
      </c>
      <c r="W1706" s="12" t="s">
        <v>263</v>
      </c>
      <c r="X1706" s="12" t="s">
        <v>264</v>
      </c>
      <c r="Y1706" s="12" t="s">
        <v>1038</v>
      </c>
      <c r="AJ1706"/>
      <c r="AK1706"/>
    </row>
    <row r="1707" spans="18:37" ht="14">
      <c r="R1707" s="14">
        <v>91419</v>
      </c>
      <c r="S1707" s="14" t="s">
        <v>944</v>
      </c>
      <c r="T1707" s="12" t="s">
        <v>145</v>
      </c>
      <c r="U1707" s="15" t="str">
        <f t="shared" si="38"/>
        <v>Reporting SD - SUP</v>
      </c>
      <c r="V1707" s="12" t="s">
        <v>126</v>
      </c>
      <c r="W1707" s="12" t="s">
        <v>890</v>
      </c>
      <c r="X1707" s="12" t="s">
        <v>890</v>
      </c>
      <c r="Y1707" s="12" t="s">
        <v>1038</v>
      </c>
      <c r="AJ1707"/>
      <c r="AK1707"/>
    </row>
    <row r="1708" spans="18:37" ht="14">
      <c r="R1708" s="14">
        <v>96210</v>
      </c>
      <c r="S1708" s="14" t="s">
        <v>1007</v>
      </c>
      <c r="T1708" s="12" t="s">
        <v>129</v>
      </c>
      <c r="U1708" s="15" t="str">
        <f t="shared" si="38"/>
        <v>Reporting Shared Services - MGT</v>
      </c>
      <c r="V1708" s="12" t="s">
        <v>104</v>
      </c>
      <c r="W1708" s="12" t="s">
        <v>867</v>
      </c>
      <c r="X1708" s="12" t="s">
        <v>114</v>
      </c>
      <c r="Y1708" s="12" t="s">
        <v>1038</v>
      </c>
      <c r="AJ1708"/>
      <c r="AK1708"/>
    </row>
    <row r="1709" spans="18:37" ht="14">
      <c r="R1709" s="14">
        <v>96210</v>
      </c>
      <c r="S1709" s="14" t="s">
        <v>1007</v>
      </c>
      <c r="T1709" s="12" t="s">
        <v>177</v>
      </c>
      <c r="U1709" s="15" t="str">
        <f t="shared" si="38"/>
        <v>Reporting Shared Services - OPS</v>
      </c>
      <c r="V1709" s="12" t="s">
        <v>104</v>
      </c>
      <c r="W1709" s="12" t="s">
        <v>867</v>
      </c>
      <c r="X1709" s="12" t="s">
        <v>114</v>
      </c>
      <c r="Y1709" s="12" t="s">
        <v>1038</v>
      </c>
      <c r="AJ1709"/>
      <c r="AK1709"/>
    </row>
    <row r="1710" spans="18:37" ht="14">
      <c r="R1710" s="14">
        <v>96210</v>
      </c>
      <c r="S1710" s="14" t="s">
        <v>1007</v>
      </c>
      <c r="T1710" s="12" t="s">
        <v>145</v>
      </c>
      <c r="U1710" s="15" t="str">
        <f t="shared" si="38"/>
        <v>Reporting Shared Services - SUP</v>
      </c>
      <c r="V1710" s="12" t="s">
        <v>104</v>
      </c>
      <c r="W1710" s="12" t="s">
        <v>867</v>
      </c>
      <c r="X1710" s="12" t="s">
        <v>114</v>
      </c>
      <c r="Y1710" s="12" t="s">
        <v>1038</v>
      </c>
      <c r="AJ1710"/>
      <c r="AK1710"/>
    </row>
    <row r="1711" spans="18:37" ht="14">
      <c r="R1711" s="14">
        <v>95220</v>
      </c>
      <c r="S1711" s="14" t="s">
        <v>915</v>
      </c>
      <c r="T1711" s="12" t="s">
        <v>262</v>
      </c>
      <c r="U1711" s="15" t="str">
        <f t="shared" si="38"/>
        <v>Requirements Team - GSI</v>
      </c>
      <c r="V1711" s="12" t="s">
        <v>104</v>
      </c>
      <c r="W1711" s="12" t="s">
        <v>263</v>
      </c>
      <c r="X1711" s="12" t="s">
        <v>264</v>
      </c>
      <c r="Y1711" s="12" t="s">
        <v>1038</v>
      </c>
      <c r="AJ1711"/>
      <c r="AK1711"/>
    </row>
    <row r="1712" spans="18:37" ht="14">
      <c r="R1712" s="14">
        <v>95220</v>
      </c>
      <c r="S1712" s="14" t="s">
        <v>915</v>
      </c>
      <c r="T1712" s="12" t="s">
        <v>129</v>
      </c>
      <c r="U1712" s="15" t="str">
        <f t="shared" si="38"/>
        <v>Requirements Team - MGT</v>
      </c>
      <c r="V1712" s="12" t="s">
        <v>104</v>
      </c>
      <c r="W1712" s="12" t="s">
        <v>263</v>
      </c>
      <c r="X1712" s="12" t="s">
        <v>264</v>
      </c>
      <c r="Y1712" s="12" t="s">
        <v>1038</v>
      </c>
      <c r="AJ1712"/>
      <c r="AK1712"/>
    </row>
    <row r="1713" spans="18:37" ht="14">
      <c r="R1713" s="14">
        <v>95220</v>
      </c>
      <c r="S1713" s="14" t="s">
        <v>915</v>
      </c>
      <c r="T1713" s="12" t="s">
        <v>139</v>
      </c>
      <c r="U1713" s="15" t="str">
        <f t="shared" si="38"/>
        <v>Requirements Team - SMGT</v>
      </c>
      <c r="V1713" s="12" t="s">
        <v>104</v>
      </c>
      <c r="W1713" s="12" t="s">
        <v>263</v>
      </c>
      <c r="X1713" s="12" t="s">
        <v>264</v>
      </c>
      <c r="Y1713" s="12" t="s">
        <v>1038</v>
      </c>
      <c r="AJ1713"/>
      <c r="AK1713"/>
    </row>
    <row r="1714" spans="18:37" ht="14">
      <c r="R1714" s="14">
        <v>95220</v>
      </c>
      <c r="S1714" s="14" t="s">
        <v>915</v>
      </c>
      <c r="T1714" s="12" t="s">
        <v>145</v>
      </c>
      <c r="U1714" s="15" t="str">
        <f t="shared" si="38"/>
        <v>Requirements Team - SUP</v>
      </c>
      <c r="V1714" s="12" t="s">
        <v>104</v>
      </c>
      <c r="W1714" s="12" t="s">
        <v>263</v>
      </c>
      <c r="X1714" s="12" t="s">
        <v>264</v>
      </c>
      <c r="Y1714" s="12" t="s">
        <v>1038</v>
      </c>
      <c r="AJ1714"/>
      <c r="AK1714"/>
    </row>
    <row r="1715" spans="18:37" ht="14">
      <c r="R1715" s="14">
        <v>88025</v>
      </c>
      <c r="S1715" s="14" t="s">
        <v>907</v>
      </c>
      <c r="T1715" s="12" t="s">
        <v>133</v>
      </c>
      <c r="U1715" s="15" t="str">
        <f t="shared" si="38"/>
        <v>Research Support - AMG</v>
      </c>
      <c r="V1715" s="12" t="s">
        <v>126</v>
      </c>
      <c r="W1715" s="12" t="s">
        <v>184</v>
      </c>
      <c r="X1715" s="12" t="s">
        <v>184</v>
      </c>
      <c r="Y1715" s="12" t="s">
        <v>1038</v>
      </c>
      <c r="AJ1715"/>
      <c r="AK1715"/>
    </row>
    <row r="1716" spans="18:37" ht="14">
      <c r="R1716" s="14">
        <v>88025</v>
      </c>
      <c r="S1716" s="14" t="s">
        <v>907</v>
      </c>
      <c r="T1716" s="12" t="s">
        <v>1020</v>
      </c>
      <c r="U1716" s="15" t="str">
        <f t="shared" si="38"/>
        <v>Research Support - CNS</v>
      </c>
      <c r="V1716" s="12" t="s">
        <v>126</v>
      </c>
      <c r="W1716" s="12" t="s">
        <v>184</v>
      </c>
      <c r="X1716" s="12" t="s">
        <v>184</v>
      </c>
      <c r="Y1716" s="12" t="s">
        <v>1038</v>
      </c>
      <c r="AJ1716"/>
      <c r="AK1716"/>
    </row>
    <row r="1717" spans="18:37" ht="14">
      <c r="R1717" s="14">
        <v>88025</v>
      </c>
      <c r="S1717" s="14" t="s">
        <v>907</v>
      </c>
      <c r="T1717" s="12" t="s">
        <v>116</v>
      </c>
      <c r="U1717" s="15" t="str">
        <f t="shared" si="38"/>
        <v>Research Support - PRD</v>
      </c>
      <c r="V1717" s="12" t="s">
        <v>126</v>
      </c>
      <c r="W1717" s="12" t="s">
        <v>184</v>
      </c>
      <c r="X1717" s="12" t="s">
        <v>184</v>
      </c>
      <c r="Y1717" s="12" t="s">
        <v>1038</v>
      </c>
      <c r="AJ1717"/>
      <c r="AK1717"/>
    </row>
    <row r="1718" spans="18:37" ht="14">
      <c r="R1718" s="14">
        <v>88025</v>
      </c>
      <c r="S1718" s="14" t="s">
        <v>907</v>
      </c>
      <c r="T1718" s="12" t="s">
        <v>510</v>
      </c>
      <c r="U1718" s="15" t="str">
        <f t="shared" si="38"/>
        <v>Research Support - RST</v>
      </c>
      <c r="V1718" s="12" t="s">
        <v>126</v>
      </c>
      <c r="W1718" s="12" t="s">
        <v>184</v>
      </c>
      <c r="X1718" s="12" t="s">
        <v>184</v>
      </c>
      <c r="Y1718" s="12" t="s">
        <v>1038</v>
      </c>
      <c r="AJ1718"/>
      <c r="AK1718"/>
    </row>
    <row r="1719" spans="18:37" ht="14">
      <c r="R1719" s="14">
        <v>88025</v>
      </c>
      <c r="S1719" s="14" t="s">
        <v>907</v>
      </c>
      <c r="T1719" s="12" t="s">
        <v>139</v>
      </c>
      <c r="U1719" s="15" t="str">
        <f t="shared" si="38"/>
        <v>Research Support - SMGT</v>
      </c>
      <c r="V1719" s="12" t="s">
        <v>126</v>
      </c>
      <c r="W1719" s="12" t="s">
        <v>184</v>
      </c>
      <c r="X1719" s="12" t="s">
        <v>184</v>
      </c>
      <c r="Y1719" s="12" t="s">
        <v>1038</v>
      </c>
      <c r="AJ1719"/>
      <c r="AK1719"/>
    </row>
    <row r="1720" spans="18:37" ht="14">
      <c r="R1720" s="14">
        <v>88025</v>
      </c>
      <c r="S1720" s="14" t="s">
        <v>907</v>
      </c>
      <c r="T1720" s="12" t="s">
        <v>145</v>
      </c>
      <c r="U1720" s="15" t="str">
        <f t="shared" si="38"/>
        <v>Research Support - SUP</v>
      </c>
      <c r="V1720" s="12" t="s">
        <v>126</v>
      </c>
      <c r="W1720" s="12" t="s">
        <v>184</v>
      </c>
      <c r="X1720" s="12" t="s">
        <v>184</v>
      </c>
      <c r="Y1720" s="12" t="s">
        <v>1038</v>
      </c>
      <c r="AJ1720"/>
      <c r="AK1720"/>
    </row>
    <row r="1721" spans="18:37" ht="14">
      <c r="R1721" s="14">
        <v>93005</v>
      </c>
      <c r="S1721" s="14" t="s">
        <v>953</v>
      </c>
      <c r="T1721" s="12" t="s">
        <v>116</v>
      </c>
      <c r="U1721" s="15" t="str">
        <f t="shared" si="38"/>
        <v>Research_Investment - PRD</v>
      </c>
      <c r="V1721" s="12" t="s">
        <v>126</v>
      </c>
      <c r="W1721" s="12" t="s">
        <v>184</v>
      </c>
      <c r="X1721" s="12" t="s">
        <v>184</v>
      </c>
      <c r="Y1721" s="12" t="s">
        <v>1038</v>
      </c>
      <c r="AJ1721"/>
      <c r="AK1721"/>
    </row>
    <row r="1722" spans="18:37" ht="14">
      <c r="R1722" s="14">
        <v>93005</v>
      </c>
      <c r="S1722" s="14" t="s">
        <v>953</v>
      </c>
      <c r="T1722" s="12" t="s">
        <v>145</v>
      </c>
      <c r="U1722" s="15" t="str">
        <f t="shared" si="38"/>
        <v>Research_Investment - SUP</v>
      </c>
      <c r="V1722" s="12" t="s">
        <v>126</v>
      </c>
      <c r="W1722" s="12" t="s">
        <v>184</v>
      </c>
      <c r="X1722" s="12" t="s">
        <v>184</v>
      </c>
      <c r="Y1722" s="12" t="s">
        <v>1038</v>
      </c>
      <c r="AJ1722"/>
      <c r="AK1722"/>
    </row>
    <row r="1723" spans="18:37" ht="14">
      <c r="R1723" s="14">
        <v>40097</v>
      </c>
      <c r="S1723" s="14" t="s">
        <v>670</v>
      </c>
      <c r="T1723" s="12" t="s">
        <v>597</v>
      </c>
      <c r="U1723" s="15" t="str">
        <f t="shared" si="38"/>
        <v>Research_Projects - BAS</v>
      </c>
      <c r="V1723" s="12" t="s">
        <v>126</v>
      </c>
      <c r="W1723" s="12" t="s">
        <v>184</v>
      </c>
      <c r="X1723" s="12" t="s">
        <v>184</v>
      </c>
      <c r="Y1723" s="12" t="s">
        <v>1038</v>
      </c>
      <c r="AJ1723"/>
      <c r="AK1723"/>
    </row>
    <row r="1724" spans="18:37" ht="14">
      <c r="R1724" s="14">
        <v>40097</v>
      </c>
      <c r="S1724" s="14" t="s">
        <v>670</v>
      </c>
      <c r="T1724" s="12" t="s">
        <v>1020</v>
      </c>
      <c r="U1724" s="15" t="str">
        <f t="shared" si="38"/>
        <v>Research_Projects - CNS</v>
      </c>
      <c r="V1724" s="12" t="s">
        <v>126</v>
      </c>
      <c r="W1724" s="12" t="s">
        <v>184</v>
      </c>
      <c r="X1724" s="12" t="s">
        <v>184</v>
      </c>
      <c r="Y1724" s="12" t="s">
        <v>1038</v>
      </c>
      <c r="AJ1724"/>
      <c r="AK1724"/>
    </row>
    <row r="1725" spans="18:37" ht="14">
      <c r="R1725" s="14">
        <v>40097</v>
      </c>
      <c r="S1725" s="14" t="s">
        <v>670</v>
      </c>
      <c r="T1725" s="12" t="s">
        <v>168</v>
      </c>
      <c r="U1725" s="15" t="str">
        <f t="shared" si="38"/>
        <v>Research_Projects - ESC</v>
      </c>
      <c r="V1725" s="12" t="s">
        <v>126</v>
      </c>
      <c r="W1725" s="12" t="s">
        <v>184</v>
      </c>
      <c r="X1725" s="12" t="s">
        <v>184</v>
      </c>
      <c r="Y1725" s="12" t="s">
        <v>1038</v>
      </c>
      <c r="AJ1725"/>
      <c r="AK1725"/>
    </row>
    <row r="1726" spans="18:37" ht="14">
      <c r="R1726" s="14">
        <v>40097</v>
      </c>
      <c r="S1726" s="14" t="s">
        <v>670</v>
      </c>
      <c r="T1726" s="12" t="s">
        <v>129</v>
      </c>
      <c r="U1726" s="15" t="str">
        <f t="shared" si="38"/>
        <v>Research_Projects - MGT</v>
      </c>
      <c r="V1726" s="12" t="s">
        <v>126</v>
      </c>
      <c r="W1726" s="12" t="s">
        <v>184</v>
      </c>
      <c r="X1726" s="12" t="s">
        <v>184</v>
      </c>
      <c r="Y1726" s="12" t="s">
        <v>1038</v>
      </c>
      <c r="AJ1726"/>
      <c r="AK1726"/>
    </row>
    <row r="1727" spans="18:37" ht="14">
      <c r="R1727" s="14">
        <v>40097</v>
      </c>
      <c r="S1727" s="14" t="s">
        <v>670</v>
      </c>
      <c r="T1727" s="12" t="s">
        <v>116</v>
      </c>
      <c r="U1727" s="15" t="str">
        <f t="shared" si="38"/>
        <v>Research_Projects - PRD</v>
      </c>
      <c r="V1727" s="12" t="s">
        <v>126</v>
      </c>
      <c r="W1727" s="12" t="s">
        <v>184</v>
      </c>
      <c r="X1727" s="12" t="s">
        <v>184</v>
      </c>
      <c r="Y1727" s="12" t="s">
        <v>1038</v>
      </c>
      <c r="AJ1727"/>
      <c r="AK1727"/>
    </row>
    <row r="1728" spans="18:37" ht="14">
      <c r="R1728" s="14">
        <v>40097</v>
      </c>
      <c r="S1728" s="14" t="s">
        <v>670</v>
      </c>
      <c r="T1728" s="12" t="s">
        <v>510</v>
      </c>
      <c r="U1728" s="15" t="str">
        <f t="shared" si="38"/>
        <v>Research_Projects - RST</v>
      </c>
      <c r="V1728" s="12" t="s">
        <v>126</v>
      </c>
      <c r="W1728" s="12" t="s">
        <v>184</v>
      </c>
      <c r="X1728" s="12" t="s">
        <v>184</v>
      </c>
      <c r="Y1728" s="12" t="s">
        <v>1038</v>
      </c>
      <c r="AJ1728"/>
      <c r="AK1728"/>
    </row>
    <row r="1729" spans="18:37" ht="14">
      <c r="R1729" s="14">
        <v>40097</v>
      </c>
      <c r="S1729" s="14" t="s">
        <v>670</v>
      </c>
      <c r="T1729" s="12" t="s">
        <v>145</v>
      </c>
      <c r="U1729" s="15" t="str">
        <f t="shared" si="38"/>
        <v>Research_Projects - SUP</v>
      </c>
      <c r="V1729" s="12" t="s">
        <v>126</v>
      </c>
      <c r="W1729" s="12" t="s">
        <v>184</v>
      </c>
      <c r="X1729" s="12" t="s">
        <v>184</v>
      </c>
      <c r="Y1729" s="12" t="s">
        <v>1038</v>
      </c>
      <c r="AJ1729"/>
      <c r="AK1729"/>
    </row>
    <row r="1730" spans="18:37" ht="14">
      <c r="R1730" s="14">
        <v>93221</v>
      </c>
      <c r="S1730" s="14" t="s">
        <v>958</v>
      </c>
      <c r="T1730" s="12" t="s">
        <v>129</v>
      </c>
      <c r="U1730" s="15" t="str">
        <f t="shared" si="38"/>
        <v>Retail - MGT</v>
      </c>
      <c r="V1730" s="12" t="s">
        <v>104</v>
      </c>
      <c r="W1730" s="12" t="s">
        <v>373</v>
      </c>
      <c r="X1730" s="12" t="s">
        <v>114</v>
      </c>
      <c r="Y1730" s="12" t="s">
        <v>1038</v>
      </c>
      <c r="AJ1730"/>
      <c r="AK1730"/>
    </row>
    <row r="1731" spans="18:37" ht="14">
      <c r="R1731" s="14">
        <v>95506</v>
      </c>
      <c r="S1731" s="14" t="s">
        <v>997</v>
      </c>
      <c r="T1731" s="12" t="s">
        <v>129</v>
      </c>
      <c r="U1731" s="15" t="str">
        <f t="shared" ref="U1731:U1794" si="39">S1731&amp;" - "&amp;T1731</f>
        <v>Risk and Compliance(SGS) - MGT</v>
      </c>
      <c r="V1731" s="12" t="s">
        <v>104</v>
      </c>
      <c r="W1731" s="12" t="s">
        <v>263</v>
      </c>
      <c r="X1731" s="12" t="s">
        <v>264</v>
      </c>
      <c r="Y1731" s="12" t="s">
        <v>1038</v>
      </c>
      <c r="AJ1731"/>
      <c r="AK1731"/>
    </row>
    <row r="1732" spans="18:37" ht="14">
      <c r="R1732" s="14">
        <v>95506</v>
      </c>
      <c r="S1732" s="14" t="s">
        <v>997</v>
      </c>
      <c r="T1732" s="12" t="s">
        <v>134</v>
      </c>
      <c r="U1732" s="15" t="str">
        <f t="shared" si="39"/>
        <v>Risk and Compliance(SGS) - SEC</v>
      </c>
      <c r="V1732" s="12" t="s">
        <v>104</v>
      </c>
      <c r="W1732" s="12" t="s">
        <v>263</v>
      </c>
      <c r="X1732" s="12" t="s">
        <v>264</v>
      </c>
      <c r="Y1732" s="12" t="s">
        <v>1038</v>
      </c>
      <c r="AJ1732"/>
      <c r="AK1732"/>
    </row>
    <row r="1733" spans="18:37" ht="14">
      <c r="R1733" s="14">
        <v>95506</v>
      </c>
      <c r="S1733" s="14" t="s">
        <v>997</v>
      </c>
      <c r="T1733" s="12" t="s">
        <v>145</v>
      </c>
      <c r="U1733" s="15" t="str">
        <f t="shared" si="39"/>
        <v>Risk and Compliance(SGS) - SUP</v>
      </c>
      <c r="V1733" s="12" t="s">
        <v>104</v>
      </c>
      <c r="W1733" s="12" t="s">
        <v>263</v>
      </c>
      <c r="X1733" s="12" t="s">
        <v>264</v>
      </c>
      <c r="Y1733" s="12" t="s">
        <v>1038</v>
      </c>
      <c r="AJ1733"/>
      <c r="AK1733"/>
    </row>
    <row r="1734" spans="18:37" ht="14">
      <c r="R1734" s="14">
        <v>95509</v>
      </c>
      <c r="S1734" s="14" t="s">
        <v>1001</v>
      </c>
      <c r="T1734" s="12" t="s">
        <v>177</v>
      </c>
      <c r="U1734" s="15" t="str">
        <f t="shared" si="39"/>
        <v>Risk and Compliance(SHS) - OPS</v>
      </c>
      <c r="V1734" s="12" t="s">
        <v>104</v>
      </c>
      <c r="W1734" s="12" t="s">
        <v>263</v>
      </c>
      <c r="X1734" s="12" t="s">
        <v>264</v>
      </c>
      <c r="Y1734" s="12" t="s">
        <v>1038</v>
      </c>
      <c r="AJ1734"/>
      <c r="AK1734"/>
    </row>
    <row r="1735" spans="18:37" ht="14">
      <c r="R1735" s="14">
        <v>10086</v>
      </c>
      <c r="S1735" s="14" t="s">
        <v>1042</v>
      </c>
      <c r="T1735" s="12" t="s">
        <v>185</v>
      </c>
      <c r="U1735" s="15" t="str">
        <f t="shared" si="39"/>
        <v>Robinson India BOL Pilot - TPS</v>
      </c>
      <c r="V1735" s="12" t="s">
        <v>126</v>
      </c>
      <c r="W1735" s="12" t="s">
        <v>163</v>
      </c>
      <c r="X1735" s="12" t="s">
        <v>164</v>
      </c>
      <c r="Y1735" s="12" t="s">
        <v>1038</v>
      </c>
      <c r="AJ1735"/>
      <c r="AK1735"/>
    </row>
    <row r="1736" spans="18:37" ht="14">
      <c r="R1736" s="14">
        <v>10708</v>
      </c>
      <c r="S1736" s="14" t="s">
        <v>327</v>
      </c>
      <c r="T1736" s="12" t="s">
        <v>262</v>
      </c>
      <c r="U1736" s="15" t="str">
        <f t="shared" si="39"/>
        <v>Robotics -Genesis - GSI</v>
      </c>
      <c r="V1736" s="12" t="s">
        <v>104</v>
      </c>
      <c r="W1736" s="12" t="s">
        <v>117</v>
      </c>
      <c r="X1736" s="12" t="s">
        <v>117</v>
      </c>
      <c r="Y1736" s="12" t="s">
        <v>1038</v>
      </c>
      <c r="AJ1736"/>
      <c r="AK1736"/>
    </row>
    <row r="1737" spans="18:37" ht="14">
      <c r="R1737" s="14">
        <v>10708</v>
      </c>
      <c r="S1737" s="14" t="s">
        <v>327</v>
      </c>
      <c r="T1737" s="12" t="s">
        <v>145</v>
      </c>
      <c r="U1737" s="15" t="str">
        <f t="shared" si="39"/>
        <v>Robotics -Genesis - SUP</v>
      </c>
      <c r="V1737" s="12" t="s">
        <v>104</v>
      </c>
      <c r="W1737" s="12" t="s">
        <v>117</v>
      </c>
      <c r="X1737" s="12" t="s">
        <v>117</v>
      </c>
      <c r="Y1737" s="12" t="s">
        <v>1038</v>
      </c>
      <c r="AJ1737"/>
      <c r="AK1737"/>
    </row>
    <row r="1738" spans="18:37" ht="14">
      <c r="R1738" s="14">
        <v>10820</v>
      </c>
      <c r="S1738" s="14" t="s">
        <v>402</v>
      </c>
      <c r="T1738" s="12" t="s">
        <v>116</v>
      </c>
      <c r="U1738" s="15" t="str">
        <f t="shared" si="39"/>
        <v>Royal Brunei Cargo Audit - PRD</v>
      </c>
      <c r="V1738" s="12" t="s">
        <v>126</v>
      </c>
      <c r="W1738" s="12" t="s">
        <v>163</v>
      </c>
      <c r="X1738" s="12" t="s">
        <v>164</v>
      </c>
      <c r="Y1738" s="12" t="s">
        <v>1038</v>
      </c>
      <c r="AJ1738"/>
      <c r="AK1738"/>
    </row>
    <row r="1739" spans="18:37" ht="14">
      <c r="R1739" s="14">
        <v>10820</v>
      </c>
      <c r="S1739" s="14" t="s">
        <v>402</v>
      </c>
      <c r="T1739" s="12" t="s">
        <v>185</v>
      </c>
      <c r="U1739" s="15" t="str">
        <f t="shared" si="39"/>
        <v>Royal Brunei Cargo Audit - TPS</v>
      </c>
      <c r="V1739" s="12" t="s">
        <v>126</v>
      </c>
      <c r="W1739" s="12" t="s">
        <v>163</v>
      </c>
      <c r="X1739" s="12" t="s">
        <v>164</v>
      </c>
      <c r="Y1739" s="12" t="s">
        <v>1038</v>
      </c>
      <c r="AJ1739"/>
      <c r="AK1739"/>
    </row>
    <row r="1740" spans="18:37" ht="14">
      <c r="R1740" s="14">
        <v>18070</v>
      </c>
      <c r="S1740" s="14" t="s">
        <v>631</v>
      </c>
      <c r="T1740" s="12" t="s">
        <v>185</v>
      </c>
      <c r="U1740" s="15" t="str">
        <f t="shared" si="39"/>
        <v>Sage residential -SAIF -India - TPS</v>
      </c>
      <c r="V1740" s="12" t="s">
        <v>126</v>
      </c>
      <c r="W1740" s="12" t="s">
        <v>163</v>
      </c>
      <c r="X1740" s="12" t="s">
        <v>164</v>
      </c>
      <c r="Y1740" s="12" t="s">
        <v>1038</v>
      </c>
      <c r="AJ1740"/>
      <c r="AK1740"/>
    </row>
    <row r="1741" spans="18:37" ht="14">
      <c r="R1741" s="14">
        <v>10871</v>
      </c>
      <c r="S1741" s="14" t="s">
        <v>432</v>
      </c>
      <c r="T1741" s="12" t="s">
        <v>150</v>
      </c>
      <c r="U1741" s="15" t="str">
        <f t="shared" si="39"/>
        <v>Saks Contact center Ind - CCS</v>
      </c>
      <c r="V1741" s="12" t="s">
        <v>126</v>
      </c>
      <c r="W1741" s="12" t="s">
        <v>127</v>
      </c>
      <c r="X1741" s="12" t="s">
        <v>128</v>
      </c>
      <c r="Y1741" s="12" t="s">
        <v>1038</v>
      </c>
      <c r="AJ1741"/>
      <c r="AK1741"/>
    </row>
    <row r="1742" spans="18:37" ht="14">
      <c r="R1742" s="14">
        <v>10910</v>
      </c>
      <c r="S1742" s="14" t="s">
        <v>453</v>
      </c>
      <c r="T1742" s="12" t="s">
        <v>193</v>
      </c>
      <c r="U1742" s="15" t="str">
        <f t="shared" si="39"/>
        <v>Saks Data and Appn Dvlpmt JC - DEV</v>
      </c>
      <c r="V1742" s="12" t="s">
        <v>117</v>
      </c>
      <c r="W1742" s="12" t="s">
        <v>117</v>
      </c>
      <c r="X1742" s="12" t="s">
        <v>117</v>
      </c>
      <c r="Y1742" s="12" t="s">
        <v>1038</v>
      </c>
      <c r="AJ1742"/>
      <c r="AK1742"/>
    </row>
    <row r="1743" spans="18:37" ht="14">
      <c r="R1743" s="14">
        <v>10824</v>
      </c>
      <c r="S1743" s="14" t="s">
        <v>411</v>
      </c>
      <c r="T1743" s="12" t="s">
        <v>193</v>
      </c>
      <c r="U1743" s="15" t="str">
        <f t="shared" si="39"/>
        <v>Saks-data engineering POD-Ind - DEV</v>
      </c>
      <c r="V1743" s="12" t="s">
        <v>117</v>
      </c>
      <c r="W1743" s="12" t="s">
        <v>117</v>
      </c>
      <c r="X1743" s="12" t="s">
        <v>117</v>
      </c>
      <c r="Y1743" s="12" t="s">
        <v>1038</v>
      </c>
      <c r="AJ1743"/>
      <c r="AK1743"/>
    </row>
    <row r="1744" spans="18:37" ht="14">
      <c r="R1744" s="14">
        <v>10824</v>
      </c>
      <c r="S1744" s="14" t="s">
        <v>411</v>
      </c>
      <c r="T1744" s="12" t="s">
        <v>129</v>
      </c>
      <c r="U1744" s="15" t="str">
        <f t="shared" si="39"/>
        <v>Saks-data engineering POD-Ind - MGT</v>
      </c>
      <c r="V1744" s="12" t="s">
        <v>117</v>
      </c>
      <c r="W1744" s="12" t="s">
        <v>117</v>
      </c>
      <c r="X1744" s="12" t="s">
        <v>117</v>
      </c>
      <c r="Y1744" s="12" t="s">
        <v>1038</v>
      </c>
      <c r="AJ1744"/>
      <c r="AK1744"/>
    </row>
    <row r="1745" spans="18:37" ht="14">
      <c r="R1745" s="14">
        <v>10824</v>
      </c>
      <c r="S1745" s="14" t="s">
        <v>411</v>
      </c>
      <c r="T1745" s="12" t="s">
        <v>145</v>
      </c>
      <c r="U1745" s="15" t="str">
        <f t="shared" si="39"/>
        <v>Saks-data engineering POD-Ind - SUP</v>
      </c>
      <c r="V1745" s="12" t="s">
        <v>117</v>
      </c>
      <c r="W1745" s="12" t="s">
        <v>117</v>
      </c>
      <c r="X1745" s="12" t="s">
        <v>117</v>
      </c>
      <c r="Y1745" s="12" t="s">
        <v>1038</v>
      </c>
      <c r="AJ1745"/>
      <c r="AK1745"/>
    </row>
    <row r="1746" spans="18:37" ht="14">
      <c r="R1746" s="14">
        <v>93686</v>
      </c>
      <c r="S1746" s="14" t="s">
        <v>968</v>
      </c>
      <c r="T1746" s="12" t="s">
        <v>145</v>
      </c>
      <c r="U1746" s="15" t="str">
        <f t="shared" si="39"/>
        <v>Sales Enablement - SUP</v>
      </c>
      <c r="V1746" s="12" t="s">
        <v>104</v>
      </c>
      <c r="W1746" s="12" t="s">
        <v>303</v>
      </c>
      <c r="X1746" s="12" t="s">
        <v>114</v>
      </c>
      <c r="Y1746" s="12" t="s">
        <v>1038</v>
      </c>
      <c r="AJ1746"/>
      <c r="AK1746"/>
    </row>
    <row r="1747" spans="18:37" ht="14">
      <c r="R1747" s="14">
        <v>10082</v>
      </c>
      <c r="S1747" s="14" t="s">
        <v>197</v>
      </c>
      <c r="T1747" s="12" t="s">
        <v>185</v>
      </c>
      <c r="U1747" s="15" t="str">
        <f t="shared" si="39"/>
        <v>SAP - Concur Invoice Pilot - TPS</v>
      </c>
      <c r="V1747" s="12" t="s">
        <v>126</v>
      </c>
      <c r="W1747" s="12" t="s">
        <v>163</v>
      </c>
      <c r="X1747" s="12" t="s">
        <v>164</v>
      </c>
      <c r="Y1747" s="12" t="s">
        <v>1038</v>
      </c>
      <c r="AJ1747"/>
      <c r="AK1747"/>
    </row>
    <row r="1748" spans="18:37" ht="14">
      <c r="R1748" s="14">
        <v>10999</v>
      </c>
      <c r="S1748" s="14" t="s">
        <v>503</v>
      </c>
      <c r="T1748" s="12" t="s">
        <v>150</v>
      </c>
      <c r="U1748" s="15" t="str">
        <f t="shared" si="39"/>
        <v>SAS - Customer Service - CCS</v>
      </c>
      <c r="V1748" s="12" t="s">
        <v>126</v>
      </c>
      <c r="W1748" s="12" t="s">
        <v>163</v>
      </c>
      <c r="X1748" s="12" t="s">
        <v>164</v>
      </c>
      <c r="Y1748" s="12" t="s">
        <v>1038</v>
      </c>
      <c r="AJ1748"/>
      <c r="AK1748"/>
    </row>
    <row r="1749" spans="18:37" ht="14">
      <c r="R1749" s="14">
        <v>10999</v>
      </c>
      <c r="S1749" s="14" t="s">
        <v>503</v>
      </c>
      <c r="T1749" s="12" t="s">
        <v>161</v>
      </c>
      <c r="U1749" s="15" t="str">
        <f t="shared" si="39"/>
        <v>SAS - Customer Service - ECC</v>
      </c>
      <c r="V1749" s="12" t="s">
        <v>126</v>
      </c>
      <c r="W1749" s="12" t="s">
        <v>163</v>
      </c>
      <c r="X1749" s="12" t="s">
        <v>164</v>
      </c>
      <c r="Y1749" s="12" t="s">
        <v>1038</v>
      </c>
      <c r="AJ1749"/>
      <c r="AK1749"/>
    </row>
    <row r="1750" spans="18:37" ht="14">
      <c r="R1750" s="14">
        <v>10999</v>
      </c>
      <c r="S1750" s="14" t="s">
        <v>503</v>
      </c>
      <c r="T1750" s="12" t="s">
        <v>177</v>
      </c>
      <c r="U1750" s="15" t="str">
        <f t="shared" si="39"/>
        <v>SAS - Customer Service - OPS</v>
      </c>
      <c r="V1750" s="12" t="s">
        <v>126</v>
      </c>
      <c r="W1750" s="12" t="s">
        <v>163</v>
      </c>
      <c r="X1750" s="12" t="s">
        <v>164</v>
      </c>
      <c r="Y1750" s="12" t="s">
        <v>1038</v>
      </c>
      <c r="AJ1750"/>
      <c r="AK1750"/>
    </row>
    <row r="1751" spans="18:37" ht="14">
      <c r="R1751" s="14">
        <v>10999</v>
      </c>
      <c r="S1751" s="14" t="s">
        <v>503</v>
      </c>
      <c r="T1751" s="12" t="s">
        <v>111</v>
      </c>
      <c r="U1751" s="15" t="str">
        <f t="shared" si="39"/>
        <v>SAS - Customer Service - QLY</v>
      </c>
      <c r="V1751" s="12" t="s">
        <v>112</v>
      </c>
      <c r="W1751" s="12" t="s">
        <v>113</v>
      </c>
      <c r="X1751" s="12" t="s">
        <v>114</v>
      </c>
      <c r="Y1751" s="12" t="s">
        <v>1038</v>
      </c>
      <c r="AJ1751"/>
      <c r="AK1751"/>
    </row>
    <row r="1752" spans="18:37" ht="14">
      <c r="R1752" s="14">
        <v>10999</v>
      </c>
      <c r="S1752" s="14" t="s">
        <v>503</v>
      </c>
      <c r="T1752" s="12" t="s">
        <v>180</v>
      </c>
      <c r="U1752" s="15" t="str">
        <f t="shared" si="39"/>
        <v>SAS - Customer Service - TMG</v>
      </c>
      <c r="V1752" s="12" t="s">
        <v>126</v>
      </c>
      <c r="W1752" s="12" t="s">
        <v>163</v>
      </c>
      <c r="X1752" s="12" t="s">
        <v>164</v>
      </c>
      <c r="Y1752" s="12" t="s">
        <v>1038</v>
      </c>
      <c r="AJ1752"/>
      <c r="AK1752"/>
    </row>
    <row r="1753" spans="18:37" ht="14">
      <c r="R1753" s="14">
        <v>10999</v>
      </c>
      <c r="S1753" s="14" t="s">
        <v>503</v>
      </c>
      <c r="T1753" s="12" t="s">
        <v>185</v>
      </c>
      <c r="U1753" s="15" t="str">
        <f t="shared" si="39"/>
        <v>SAS - Customer Service - TPS</v>
      </c>
      <c r="V1753" s="12" t="s">
        <v>126</v>
      </c>
      <c r="W1753" s="12" t="s">
        <v>163</v>
      </c>
      <c r="X1753" s="12" t="s">
        <v>164</v>
      </c>
      <c r="Y1753" s="12" t="s">
        <v>1038</v>
      </c>
      <c r="AJ1753"/>
      <c r="AK1753"/>
    </row>
    <row r="1754" spans="18:37" ht="14">
      <c r="R1754" s="14">
        <v>40073</v>
      </c>
      <c r="S1754" s="14" t="s">
        <v>668</v>
      </c>
      <c r="T1754" s="12" t="s">
        <v>116</v>
      </c>
      <c r="U1754" s="15" t="str">
        <f t="shared" si="39"/>
        <v>SAS FDS - PRD</v>
      </c>
      <c r="V1754" s="12" t="s">
        <v>126</v>
      </c>
      <c r="W1754" s="12" t="s">
        <v>163</v>
      </c>
      <c r="X1754" s="12" t="s">
        <v>164</v>
      </c>
      <c r="Y1754" s="12" t="s">
        <v>1038</v>
      </c>
      <c r="AJ1754"/>
      <c r="AK1754"/>
    </row>
    <row r="1755" spans="18:37" ht="14">
      <c r="R1755" s="14">
        <v>40073</v>
      </c>
      <c r="S1755" s="14" t="s">
        <v>668</v>
      </c>
      <c r="T1755" s="12" t="s">
        <v>230</v>
      </c>
      <c r="U1755" s="15" t="str">
        <f t="shared" si="39"/>
        <v>SAS FDS - PRSP</v>
      </c>
      <c r="V1755" s="12" t="s">
        <v>126</v>
      </c>
      <c r="W1755" s="12" t="s">
        <v>163</v>
      </c>
      <c r="X1755" s="12" t="s">
        <v>164</v>
      </c>
      <c r="Y1755" s="12" t="s">
        <v>1038</v>
      </c>
      <c r="AJ1755"/>
      <c r="AK1755"/>
    </row>
    <row r="1756" spans="18:37" ht="14">
      <c r="R1756" s="14">
        <v>40073</v>
      </c>
      <c r="S1756" s="14" t="s">
        <v>668</v>
      </c>
      <c r="T1756" s="12" t="s">
        <v>180</v>
      </c>
      <c r="U1756" s="15" t="str">
        <f t="shared" si="39"/>
        <v>SAS FDS - TMG</v>
      </c>
      <c r="V1756" s="12" t="s">
        <v>126</v>
      </c>
      <c r="W1756" s="12" t="s">
        <v>163</v>
      </c>
      <c r="X1756" s="12" t="s">
        <v>164</v>
      </c>
      <c r="Y1756" s="12" t="s">
        <v>1038</v>
      </c>
      <c r="AJ1756"/>
      <c r="AK1756"/>
    </row>
    <row r="1757" spans="18:37" ht="14">
      <c r="R1757" s="14">
        <v>40073</v>
      </c>
      <c r="S1757" s="14" t="s">
        <v>668</v>
      </c>
      <c r="T1757" s="12" t="s">
        <v>185</v>
      </c>
      <c r="U1757" s="15" t="str">
        <f t="shared" si="39"/>
        <v>SAS FDS - TPS</v>
      </c>
      <c r="V1757" s="12" t="s">
        <v>126</v>
      </c>
      <c r="W1757" s="12" t="s">
        <v>163</v>
      </c>
      <c r="X1757" s="12" t="s">
        <v>164</v>
      </c>
      <c r="Y1757" s="12" t="s">
        <v>1038</v>
      </c>
      <c r="AJ1757"/>
      <c r="AK1757"/>
    </row>
    <row r="1758" spans="18:37" ht="14">
      <c r="R1758" s="14">
        <v>10032</v>
      </c>
      <c r="S1758" s="14" t="s">
        <v>175</v>
      </c>
      <c r="T1758" s="12" t="s">
        <v>116</v>
      </c>
      <c r="U1758" s="15" t="str">
        <f t="shared" si="39"/>
        <v>Saxco - F and A - PRD</v>
      </c>
      <c r="V1758" s="12" t="s">
        <v>126</v>
      </c>
      <c r="W1758" s="12" t="s">
        <v>163</v>
      </c>
      <c r="X1758" s="12" t="s">
        <v>164</v>
      </c>
      <c r="Y1758" s="12" t="s">
        <v>1038</v>
      </c>
      <c r="AJ1758"/>
      <c r="AK1758"/>
    </row>
    <row r="1759" spans="18:37" ht="14">
      <c r="R1759" s="14">
        <v>40145</v>
      </c>
      <c r="S1759" s="14" t="s">
        <v>676</v>
      </c>
      <c r="T1759" s="12" t="s">
        <v>433</v>
      </c>
      <c r="U1759" s="15" t="str">
        <f t="shared" si="39"/>
        <v>Schlumberger_JMS - ANA</v>
      </c>
      <c r="V1759" s="12" t="s">
        <v>126</v>
      </c>
      <c r="W1759" s="12" t="s">
        <v>127</v>
      </c>
      <c r="X1759" s="12" t="s">
        <v>128</v>
      </c>
      <c r="Y1759" s="12" t="s">
        <v>1038</v>
      </c>
      <c r="AJ1759"/>
      <c r="AK1759"/>
    </row>
    <row r="1760" spans="18:37" ht="14">
      <c r="R1760" s="14">
        <v>40145</v>
      </c>
      <c r="S1760" s="14" t="s">
        <v>676</v>
      </c>
      <c r="T1760" s="12" t="s">
        <v>398</v>
      </c>
      <c r="U1760" s="15" t="str">
        <f t="shared" si="39"/>
        <v>Schlumberger_JMS - CBK</v>
      </c>
      <c r="V1760" s="12" t="s">
        <v>126</v>
      </c>
      <c r="W1760" s="12" t="s">
        <v>127</v>
      </c>
      <c r="X1760" s="12" t="s">
        <v>128</v>
      </c>
      <c r="Y1760" s="12" t="s">
        <v>1038</v>
      </c>
      <c r="AJ1760"/>
      <c r="AK1760"/>
    </row>
    <row r="1761" spans="18:37" ht="14">
      <c r="R1761" s="14">
        <v>40145</v>
      </c>
      <c r="S1761" s="14" t="s">
        <v>676</v>
      </c>
      <c r="T1761" s="12" t="s">
        <v>150</v>
      </c>
      <c r="U1761" s="15" t="str">
        <f t="shared" si="39"/>
        <v>Schlumberger_JMS - CCS</v>
      </c>
      <c r="V1761" s="12" t="s">
        <v>126</v>
      </c>
      <c r="W1761" s="12" t="s">
        <v>127</v>
      </c>
      <c r="X1761" s="12" t="s">
        <v>128</v>
      </c>
      <c r="Y1761" s="12" t="s">
        <v>1038</v>
      </c>
      <c r="AJ1761"/>
      <c r="AK1761"/>
    </row>
    <row r="1762" spans="18:37" ht="14">
      <c r="R1762" s="14">
        <v>40145</v>
      </c>
      <c r="S1762" s="14" t="s">
        <v>676</v>
      </c>
      <c r="T1762" s="12" t="s">
        <v>161</v>
      </c>
      <c r="U1762" s="15" t="str">
        <f t="shared" si="39"/>
        <v>Schlumberger_JMS - ECC</v>
      </c>
      <c r="V1762" s="12" t="s">
        <v>126</v>
      </c>
      <c r="W1762" s="12" t="s">
        <v>127</v>
      </c>
      <c r="X1762" s="12" t="s">
        <v>128</v>
      </c>
      <c r="Y1762" s="12" t="s">
        <v>1038</v>
      </c>
      <c r="AJ1762"/>
      <c r="AK1762"/>
    </row>
    <row r="1763" spans="18:37" ht="14">
      <c r="R1763" s="14">
        <v>40145</v>
      </c>
      <c r="S1763" s="14" t="s">
        <v>676</v>
      </c>
      <c r="T1763" s="12" t="s">
        <v>129</v>
      </c>
      <c r="U1763" s="15" t="str">
        <f t="shared" si="39"/>
        <v>Schlumberger_JMS - MGT</v>
      </c>
      <c r="V1763" s="12" t="s">
        <v>126</v>
      </c>
      <c r="W1763" s="12" t="s">
        <v>127</v>
      </c>
      <c r="X1763" s="12" t="s">
        <v>128</v>
      </c>
      <c r="Y1763" s="12" t="s">
        <v>1038</v>
      </c>
      <c r="AJ1763"/>
      <c r="AK1763"/>
    </row>
    <row r="1764" spans="18:37" ht="14">
      <c r="R1764" s="14">
        <v>40145</v>
      </c>
      <c r="S1764" s="14" t="s">
        <v>676</v>
      </c>
      <c r="T1764" s="12" t="s">
        <v>177</v>
      </c>
      <c r="U1764" s="15" t="str">
        <f t="shared" si="39"/>
        <v>Schlumberger_JMS - OPS</v>
      </c>
      <c r="V1764" s="12" t="s">
        <v>126</v>
      </c>
      <c r="W1764" s="12" t="s">
        <v>127</v>
      </c>
      <c r="X1764" s="12" t="s">
        <v>128</v>
      </c>
      <c r="Y1764" s="12" t="s">
        <v>1038</v>
      </c>
      <c r="AJ1764"/>
      <c r="AK1764"/>
    </row>
    <row r="1765" spans="18:37" ht="14">
      <c r="R1765" s="14">
        <v>40145</v>
      </c>
      <c r="S1765" s="14" t="s">
        <v>676</v>
      </c>
      <c r="T1765" s="12" t="s">
        <v>547</v>
      </c>
      <c r="U1765" s="15" t="str">
        <f t="shared" si="39"/>
        <v>Schlumberger_JMS - PHR</v>
      </c>
      <c r="V1765" s="12" t="s">
        <v>126</v>
      </c>
      <c r="W1765" s="12" t="s">
        <v>127</v>
      </c>
      <c r="X1765" s="12" t="s">
        <v>128</v>
      </c>
      <c r="Y1765" s="12" t="s">
        <v>1038</v>
      </c>
      <c r="AJ1765"/>
      <c r="AK1765"/>
    </row>
    <row r="1766" spans="18:37" ht="14">
      <c r="R1766" s="14">
        <v>40145</v>
      </c>
      <c r="S1766" s="14" t="s">
        <v>676</v>
      </c>
      <c r="T1766" s="12" t="s">
        <v>116</v>
      </c>
      <c r="U1766" s="15" t="str">
        <f t="shared" si="39"/>
        <v>Schlumberger_JMS - PRD</v>
      </c>
      <c r="V1766" s="12" t="s">
        <v>126</v>
      </c>
      <c r="W1766" s="12" t="s">
        <v>127</v>
      </c>
      <c r="X1766" s="12" t="s">
        <v>128</v>
      </c>
      <c r="Y1766" s="12" t="s">
        <v>1038</v>
      </c>
      <c r="AJ1766"/>
      <c r="AK1766"/>
    </row>
    <row r="1767" spans="18:37" ht="14">
      <c r="R1767" s="14">
        <v>40145</v>
      </c>
      <c r="S1767" s="14" t="s">
        <v>676</v>
      </c>
      <c r="T1767" s="12" t="s">
        <v>230</v>
      </c>
      <c r="U1767" s="15" t="str">
        <f t="shared" si="39"/>
        <v>Schlumberger_JMS - PRSP</v>
      </c>
      <c r="V1767" s="12" t="s">
        <v>126</v>
      </c>
      <c r="W1767" s="12" t="s">
        <v>127</v>
      </c>
      <c r="X1767" s="12" t="s">
        <v>128</v>
      </c>
      <c r="Y1767" s="12" t="s">
        <v>1038</v>
      </c>
      <c r="AJ1767"/>
      <c r="AK1767"/>
    </row>
    <row r="1768" spans="18:37" ht="14">
      <c r="R1768" s="14">
        <v>40145</v>
      </c>
      <c r="S1768" s="14" t="s">
        <v>676</v>
      </c>
      <c r="T1768" s="12" t="s">
        <v>418</v>
      </c>
      <c r="U1768" s="15" t="str">
        <f t="shared" si="39"/>
        <v>Schlumberger_JMS - QLC</v>
      </c>
      <c r="V1768" s="12" t="s">
        <v>112</v>
      </c>
      <c r="W1768" s="12" t="s">
        <v>113</v>
      </c>
      <c r="X1768" s="12" t="s">
        <v>114</v>
      </c>
      <c r="Y1768" s="12" t="s">
        <v>1038</v>
      </c>
      <c r="AJ1768"/>
      <c r="AK1768"/>
    </row>
    <row r="1769" spans="18:37" ht="14">
      <c r="R1769" s="14">
        <v>40145</v>
      </c>
      <c r="S1769" s="14" t="s">
        <v>676</v>
      </c>
      <c r="T1769" s="12" t="s">
        <v>111</v>
      </c>
      <c r="U1769" s="15" t="str">
        <f t="shared" si="39"/>
        <v>Schlumberger_JMS - QLY</v>
      </c>
      <c r="V1769" s="12" t="s">
        <v>112</v>
      </c>
      <c r="W1769" s="12" t="s">
        <v>113</v>
      </c>
      <c r="X1769" s="12" t="s">
        <v>114</v>
      </c>
      <c r="Y1769" s="12" t="s">
        <v>1038</v>
      </c>
      <c r="AJ1769"/>
      <c r="AK1769"/>
    </row>
    <row r="1770" spans="18:37" ht="14">
      <c r="R1770" s="14">
        <v>40145</v>
      </c>
      <c r="S1770" s="14" t="s">
        <v>676</v>
      </c>
      <c r="T1770" s="12" t="s">
        <v>119</v>
      </c>
      <c r="U1770" s="15" t="str">
        <f t="shared" si="39"/>
        <v>Schlumberger_JMS - SQM</v>
      </c>
      <c r="V1770" s="12" t="s">
        <v>112</v>
      </c>
      <c r="W1770" s="12" t="s">
        <v>113</v>
      </c>
      <c r="X1770" s="12" t="s">
        <v>114</v>
      </c>
      <c r="Y1770" s="12" t="s">
        <v>1038</v>
      </c>
      <c r="AJ1770"/>
      <c r="AK1770"/>
    </row>
    <row r="1771" spans="18:37" ht="14">
      <c r="R1771" s="14">
        <v>40145</v>
      </c>
      <c r="S1771" s="14" t="s">
        <v>676</v>
      </c>
      <c r="T1771" s="12" t="s">
        <v>145</v>
      </c>
      <c r="U1771" s="15" t="str">
        <f t="shared" si="39"/>
        <v>Schlumberger_JMS - SUP</v>
      </c>
      <c r="V1771" s="12" t="s">
        <v>126</v>
      </c>
      <c r="W1771" s="12" t="s">
        <v>127</v>
      </c>
      <c r="X1771" s="12" t="s">
        <v>128</v>
      </c>
      <c r="Y1771" s="12" t="s">
        <v>1038</v>
      </c>
      <c r="AJ1771"/>
      <c r="AK1771"/>
    </row>
    <row r="1772" spans="18:37" ht="14">
      <c r="R1772" s="14">
        <v>40145</v>
      </c>
      <c r="S1772" s="14" t="s">
        <v>676</v>
      </c>
      <c r="T1772" s="12" t="s">
        <v>180</v>
      </c>
      <c r="U1772" s="15" t="str">
        <f t="shared" si="39"/>
        <v>Schlumberger_JMS - TMG</v>
      </c>
      <c r="V1772" s="12" t="s">
        <v>126</v>
      </c>
      <c r="W1772" s="12" t="s">
        <v>127</v>
      </c>
      <c r="X1772" s="12" t="s">
        <v>128</v>
      </c>
      <c r="Y1772" s="12" t="s">
        <v>1038</v>
      </c>
      <c r="AJ1772"/>
      <c r="AK1772"/>
    </row>
    <row r="1773" spans="18:37" ht="14">
      <c r="R1773" s="14">
        <v>40145</v>
      </c>
      <c r="S1773" s="14" t="s">
        <v>676</v>
      </c>
      <c r="T1773" s="12" t="s">
        <v>657</v>
      </c>
      <c r="U1773" s="15" t="str">
        <f t="shared" si="39"/>
        <v>Schlumberger_JMS - TRAINR</v>
      </c>
      <c r="V1773" s="12" t="s">
        <v>112</v>
      </c>
      <c r="W1773" s="12" t="s">
        <v>204</v>
      </c>
      <c r="X1773" s="12" t="s">
        <v>205</v>
      </c>
      <c r="Y1773" s="12" t="s">
        <v>1038</v>
      </c>
      <c r="AJ1773"/>
      <c r="AK1773"/>
    </row>
    <row r="1774" spans="18:37" ht="14">
      <c r="R1774" s="14">
        <v>40145</v>
      </c>
      <c r="S1774" s="14" t="s">
        <v>676</v>
      </c>
      <c r="T1774" s="12" t="s">
        <v>203</v>
      </c>
      <c r="U1774" s="15" t="str">
        <f t="shared" si="39"/>
        <v>Schlumberger_JMS - TRG</v>
      </c>
      <c r="V1774" s="12" t="s">
        <v>112</v>
      </c>
      <c r="W1774" s="12" t="s">
        <v>204</v>
      </c>
      <c r="X1774" s="12" t="s">
        <v>205</v>
      </c>
      <c r="Y1774" s="12" t="s">
        <v>1038</v>
      </c>
      <c r="AJ1774"/>
      <c r="AK1774"/>
    </row>
    <row r="1775" spans="18:37" ht="14">
      <c r="R1775" s="14">
        <v>40145</v>
      </c>
      <c r="S1775" s="14" t="s">
        <v>676</v>
      </c>
      <c r="T1775" s="12" t="s">
        <v>208</v>
      </c>
      <c r="U1775" s="15" t="str">
        <f t="shared" si="39"/>
        <v>Schlumberger_JMS - TTR</v>
      </c>
      <c r="V1775" s="12" t="s">
        <v>112</v>
      </c>
      <c r="W1775" s="12" t="s">
        <v>204</v>
      </c>
      <c r="X1775" s="12" t="s">
        <v>205</v>
      </c>
      <c r="Y1775" s="12" t="s">
        <v>1038</v>
      </c>
      <c r="AJ1775"/>
      <c r="AK1775"/>
    </row>
    <row r="1776" spans="18:37" ht="14">
      <c r="R1776" s="14">
        <v>91077</v>
      </c>
      <c r="S1776" s="14" t="s">
        <v>934</v>
      </c>
      <c r="T1776" s="12" t="s">
        <v>145</v>
      </c>
      <c r="U1776" s="15" t="str">
        <f t="shared" si="39"/>
        <v>SD Insurance - SUP</v>
      </c>
      <c r="V1776" s="12" t="s">
        <v>104</v>
      </c>
      <c r="W1776" s="12" t="s">
        <v>163</v>
      </c>
      <c r="X1776" s="12" t="s">
        <v>164</v>
      </c>
      <c r="Y1776" s="12" t="s">
        <v>1038</v>
      </c>
      <c r="AJ1776"/>
      <c r="AK1776"/>
    </row>
    <row r="1777" spans="18:37" ht="14">
      <c r="R1777" s="14">
        <v>51571</v>
      </c>
      <c r="S1777" s="14" t="s">
        <v>1090</v>
      </c>
      <c r="T1777" s="12" t="s">
        <v>193</v>
      </c>
      <c r="U1777" s="15" t="str">
        <f t="shared" si="39"/>
        <v>SDS24012403ADMUTE - DEV</v>
      </c>
      <c r="V1777" s="12" t="s">
        <v>117</v>
      </c>
      <c r="W1777" s="12" t="s">
        <v>117</v>
      </c>
      <c r="X1777" s="12" t="s">
        <v>117</v>
      </c>
      <c r="Y1777" s="12" t="s">
        <v>1038</v>
      </c>
      <c r="AJ1777"/>
      <c r="AK1777"/>
    </row>
    <row r="1778" spans="18:37" ht="14">
      <c r="R1778" s="14">
        <v>51552</v>
      </c>
      <c r="S1778" s="14" t="s">
        <v>840</v>
      </c>
      <c r="T1778" s="12" t="s">
        <v>116</v>
      </c>
      <c r="U1778" s="15" t="str">
        <f t="shared" si="39"/>
        <v>SDS-2401-2412-SP-New-Addition - PRD</v>
      </c>
      <c r="V1778" s="12" t="s">
        <v>117</v>
      </c>
      <c r="W1778" s="12" t="s">
        <v>117</v>
      </c>
      <c r="X1778" s="12" t="s">
        <v>117</v>
      </c>
      <c r="Y1778" s="12" t="s">
        <v>1038</v>
      </c>
      <c r="AJ1778"/>
      <c r="AK1778"/>
    </row>
    <row r="1779" spans="18:37" ht="14">
      <c r="R1779" s="14">
        <v>51513</v>
      </c>
      <c r="S1779" s="14" t="s">
        <v>828</v>
      </c>
      <c r="T1779" s="12" t="s">
        <v>116</v>
      </c>
      <c r="U1779" s="15" t="str">
        <f t="shared" si="39"/>
        <v>SDS-Astec-2309-2401-OTBI-Repor - PRD</v>
      </c>
      <c r="V1779" s="12" t="s">
        <v>117</v>
      </c>
      <c r="W1779" s="12" t="s">
        <v>117</v>
      </c>
      <c r="X1779" s="12" t="s">
        <v>117</v>
      </c>
      <c r="Y1779" s="12" t="s">
        <v>1038</v>
      </c>
      <c r="AJ1779"/>
      <c r="AK1779"/>
    </row>
    <row r="1780" spans="18:37" ht="14">
      <c r="R1780" s="14">
        <v>51574</v>
      </c>
      <c r="S1780" s="14" t="s">
        <v>1091</v>
      </c>
      <c r="T1780" s="12" t="s">
        <v>116</v>
      </c>
      <c r="U1780" s="15" t="str">
        <f t="shared" si="39"/>
        <v>SDSASTEC24032406EnhacManRD - PRD</v>
      </c>
      <c r="V1780" s="12" t="s">
        <v>117</v>
      </c>
      <c r="W1780" s="12" t="s">
        <v>117</v>
      </c>
      <c r="X1780" s="12" t="s">
        <v>117</v>
      </c>
      <c r="Y1780" s="12" t="s">
        <v>1038</v>
      </c>
      <c r="AJ1780"/>
      <c r="AK1780"/>
    </row>
    <row r="1781" spans="18:37" ht="14">
      <c r="R1781" s="14">
        <v>51565</v>
      </c>
      <c r="S1781" s="14" t="s">
        <v>1088</v>
      </c>
      <c r="T1781" s="12" t="s">
        <v>116</v>
      </c>
      <c r="U1781" s="15" t="str">
        <f t="shared" si="39"/>
        <v>SDSCrompton24012412DTIDigi - PRD</v>
      </c>
      <c r="V1781" s="12" t="s">
        <v>117</v>
      </c>
      <c r="W1781" s="12" t="s">
        <v>117</v>
      </c>
      <c r="X1781" s="12" t="s">
        <v>117</v>
      </c>
      <c r="Y1781" s="12" t="s">
        <v>1038</v>
      </c>
      <c r="AJ1781"/>
      <c r="AK1781"/>
    </row>
    <row r="1782" spans="18:37" ht="14">
      <c r="R1782" s="14">
        <v>51534</v>
      </c>
      <c r="S1782" s="14" t="s">
        <v>838</v>
      </c>
      <c r="T1782" s="12" t="s">
        <v>116</v>
      </c>
      <c r="U1782" s="15" t="str">
        <f t="shared" si="39"/>
        <v>SDS-Deckers-2311-2402-EBSTech - PRD</v>
      </c>
      <c r="V1782" s="12" t="s">
        <v>117</v>
      </c>
      <c r="W1782" s="12" t="s">
        <v>117</v>
      </c>
      <c r="X1782" s="12" t="s">
        <v>117</v>
      </c>
      <c r="Y1782" s="12" t="s">
        <v>1038</v>
      </c>
      <c r="AJ1782"/>
      <c r="AK1782"/>
    </row>
    <row r="1783" spans="18:37" ht="14">
      <c r="R1783" s="14">
        <v>51569</v>
      </c>
      <c r="S1783" s="14" t="s">
        <v>1089</v>
      </c>
      <c r="T1783" s="12" t="s">
        <v>116</v>
      </c>
      <c r="U1783" s="15" t="str">
        <f t="shared" si="39"/>
        <v>SDSEmory24032702Automated - PRD</v>
      </c>
      <c r="V1783" s="12" t="s">
        <v>117</v>
      </c>
      <c r="W1783" s="12" t="s">
        <v>117</v>
      </c>
      <c r="X1783" s="12" t="s">
        <v>117</v>
      </c>
      <c r="Y1783" s="12" t="s">
        <v>1038</v>
      </c>
      <c r="AJ1783"/>
      <c r="AK1783"/>
    </row>
    <row r="1784" spans="18:37" ht="14">
      <c r="R1784" s="14">
        <v>51547</v>
      </c>
      <c r="S1784" s="14" t="s">
        <v>1085</v>
      </c>
      <c r="T1784" s="12" t="s">
        <v>116</v>
      </c>
      <c r="U1784" s="15" t="str">
        <f t="shared" si="39"/>
        <v>SDSGovtDC23122412ATaasImp - PRD</v>
      </c>
      <c r="V1784" s="12" t="s">
        <v>117</v>
      </c>
      <c r="W1784" s="12" t="s">
        <v>117</v>
      </c>
      <c r="X1784" s="12" t="s">
        <v>117</v>
      </c>
      <c r="Y1784" s="12" t="s">
        <v>1038</v>
      </c>
      <c r="AJ1784"/>
      <c r="AK1784"/>
    </row>
    <row r="1785" spans="18:37" ht="14">
      <c r="R1785" s="14">
        <v>51540</v>
      </c>
      <c r="S1785" s="14" t="s">
        <v>1084</v>
      </c>
      <c r="T1785" s="12" t="s">
        <v>116</v>
      </c>
      <c r="U1785" s="15" t="str">
        <f t="shared" si="39"/>
        <v>SDSMclane23112502TstngServ - PRD</v>
      </c>
      <c r="V1785" s="12" t="s">
        <v>117</v>
      </c>
      <c r="W1785" s="12" t="s">
        <v>117</v>
      </c>
      <c r="X1785" s="12" t="s">
        <v>117</v>
      </c>
      <c r="Y1785" s="12" t="s">
        <v>1038</v>
      </c>
      <c r="AJ1785"/>
      <c r="AK1785"/>
    </row>
    <row r="1786" spans="18:37" ht="14">
      <c r="R1786" s="14">
        <v>51537</v>
      </c>
      <c r="S1786" s="14" t="s">
        <v>839</v>
      </c>
      <c r="T1786" s="12" t="s">
        <v>145</v>
      </c>
      <c r="U1786" s="15" t="str">
        <f t="shared" si="39"/>
        <v>SDS-NRUCFC-2312-2405-Tester-R - SUP</v>
      </c>
      <c r="V1786" s="12" t="s">
        <v>117</v>
      </c>
      <c r="W1786" s="12" t="s">
        <v>117</v>
      </c>
      <c r="X1786" s="12" t="s">
        <v>117</v>
      </c>
      <c r="Y1786" s="12" t="s">
        <v>1038</v>
      </c>
      <c r="AJ1786"/>
      <c r="AK1786"/>
    </row>
    <row r="1787" spans="18:37" ht="14">
      <c r="R1787" s="14">
        <v>51510</v>
      </c>
      <c r="S1787" s="14" t="s">
        <v>826</v>
      </c>
      <c r="T1787" s="12" t="s">
        <v>116</v>
      </c>
      <c r="U1787" s="15" t="str">
        <f t="shared" si="39"/>
        <v>SDS-RAC-2310-2609-OnPrem-DCMig - PRD</v>
      </c>
      <c r="V1787" s="12" t="s">
        <v>117</v>
      </c>
      <c r="W1787" s="12" t="s">
        <v>117</v>
      </c>
      <c r="X1787" s="12" t="s">
        <v>117</v>
      </c>
      <c r="Y1787" s="12" t="s">
        <v>1038</v>
      </c>
      <c r="AJ1787"/>
      <c r="AK1787"/>
    </row>
    <row r="1788" spans="18:37" ht="14">
      <c r="R1788" s="14">
        <v>51564</v>
      </c>
      <c r="S1788" s="14" t="s">
        <v>1087</v>
      </c>
      <c r="T1788" s="12" t="s">
        <v>116</v>
      </c>
      <c r="U1788" s="15" t="str">
        <f t="shared" si="39"/>
        <v>SDSRTI24012701QAOracleERP - PRD</v>
      </c>
      <c r="V1788" s="12" t="s">
        <v>117</v>
      </c>
      <c r="W1788" s="12" t="s">
        <v>117</v>
      </c>
      <c r="X1788" s="12" t="s">
        <v>117</v>
      </c>
      <c r="Y1788" s="12" t="s">
        <v>1038</v>
      </c>
      <c r="AJ1788"/>
      <c r="AK1788"/>
    </row>
    <row r="1789" spans="18:37" ht="14">
      <c r="R1789" s="14">
        <v>51528</v>
      </c>
      <c r="S1789" s="14" t="s">
        <v>837</v>
      </c>
      <c r="T1789" s="12" t="s">
        <v>116</v>
      </c>
      <c r="U1789" s="15" t="str">
        <f t="shared" si="39"/>
        <v>SDS-SRP-2310-2402-OnpremMigOCI - PRD</v>
      </c>
      <c r="V1789" s="12" t="s">
        <v>117</v>
      </c>
      <c r="W1789" s="12" t="s">
        <v>117</v>
      </c>
      <c r="X1789" s="12" t="s">
        <v>117</v>
      </c>
      <c r="Y1789" s="12" t="s">
        <v>1038</v>
      </c>
      <c r="AJ1789"/>
      <c r="AK1789"/>
    </row>
    <row r="1790" spans="18:37" ht="14">
      <c r="R1790" s="14">
        <v>51572</v>
      </c>
      <c r="S1790" s="14" t="s">
        <v>852</v>
      </c>
      <c r="T1790" s="12" t="s">
        <v>116</v>
      </c>
      <c r="U1790" s="15" t="str">
        <f t="shared" si="39"/>
        <v>SDS-Stride-2303-2406-WordMigr - PRD</v>
      </c>
      <c r="V1790" s="12" t="s">
        <v>117</v>
      </c>
      <c r="W1790" s="12" t="s">
        <v>117</v>
      </c>
      <c r="X1790" s="12" t="s">
        <v>117</v>
      </c>
      <c r="Y1790" s="12" t="s">
        <v>1038</v>
      </c>
      <c r="AJ1790"/>
      <c r="AK1790"/>
    </row>
    <row r="1791" spans="18:37" ht="14">
      <c r="R1791" s="14">
        <v>51557</v>
      </c>
      <c r="S1791" s="14" t="s">
        <v>847</v>
      </c>
      <c r="T1791" s="12" t="s">
        <v>116</v>
      </c>
      <c r="U1791" s="15" t="str">
        <f t="shared" si="39"/>
        <v>SDS-TFW-2401-2403-AppSecPrev - PRD</v>
      </c>
      <c r="V1791" s="12" t="s">
        <v>117</v>
      </c>
      <c r="W1791" s="12" t="s">
        <v>117</v>
      </c>
      <c r="X1791" s="12" t="s">
        <v>117</v>
      </c>
      <c r="Y1791" s="12" t="s">
        <v>1038</v>
      </c>
      <c r="AJ1791"/>
      <c r="AK1791"/>
    </row>
    <row r="1792" spans="18:37" ht="14">
      <c r="R1792" s="14">
        <v>51561</v>
      </c>
      <c r="S1792" s="14" t="s">
        <v>1086</v>
      </c>
      <c r="T1792" s="12" t="s">
        <v>116</v>
      </c>
      <c r="U1792" s="15" t="str">
        <f t="shared" si="39"/>
        <v>SDSTFW24012403FireIce - PRD</v>
      </c>
      <c r="V1792" s="12" t="s">
        <v>117</v>
      </c>
      <c r="W1792" s="12" t="s">
        <v>117</v>
      </c>
      <c r="X1792" s="12" t="s">
        <v>117</v>
      </c>
      <c r="Y1792" s="12" t="s">
        <v>1038</v>
      </c>
      <c r="AJ1792"/>
      <c r="AK1792"/>
    </row>
    <row r="1793" spans="18:37" ht="14">
      <c r="R1793" s="14">
        <v>51560</v>
      </c>
      <c r="S1793" s="14" t="s">
        <v>850</v>
      </c>
      <c r="T1793" s="12" t="s">
        <v>116</v>
      </c>
      <c r="U1793" s="15" t="str">
        <f t="shared" si="39"/>
        <v>SDS-TFW-2401-2403-GatewayQE - PRD</v>
      </c>
      <c r="V1793" s="12" t="s">
        <v>117</v>
      </c>
      <c r="W1793" s="12" t="s">
        <v>117</v>
      </c>
      <c r="X1793" s="12" t="s">
        <v>117</v>
      </c>
      <c r="Y1793" s="12" t="s">
        <v>1038</v>
      </c>
      <c r="AJ1793"/>
      <c r="AK1793"/>
    </row>
    <row r="1794" spans="18:37" ht="14">
      <c r="R1794" s="14">
        <v>51554</v>
      </c>
      <c r="S1794" s="14" t="s">
        <v>842</v>
      </c>
      <c r="T1794" s="12" t="s">
        <v>116</v>
      </c>
      <c r="U1794" s="15" t="str">
        <f t="shared" si="39"/>
        <v>SDS-TFW-2401-2403-GDP24 - PRD</v>
      </c>
      <c r="V1794" s="12" t="s">
        <v>117</v>
      </c>
      <c r="W1794" s="12" t="s">
        <v>117</v>
      </c>
      <c r="X1794" s="12" t="s">
        <v>117</v>
      </c>
      <c r="Y1794" s="12" t="s">
        <v>1038</v>
      </c>
      <c r="AJ1794"/>
      <c r="AK1794"/>
    </row>
    <row r="1795" spans="18:37" ht="14">
      <c r="R1795" s="14">
        <v>51555</v>
      </c>
      <c r="S1795" s="14" t="s">
        <v>844</v>
      </c>
      <c r="T1795" s="12" t="s">
        <v>116</v>
      </c>
      <c r="U1795" s="15" t="str">
        <f t="shared" ref="U1795:U1858" si="40">S1795&amp;" - "&amp;T1795</f>
        <v>SDS-TFW-2401-2403-Omega - PRD</v>
      </c>
      <c r="V1795" s="12" t="s">
        <v>117</v>
      </c>
      <c r="W1795" s="12" t="s">
        <v>117</v>
      </c>
      <c r="X1795" s="12" t="s">
        <v>117</v>
      </c>
      <c r="Y1795" s="12" t="s">
        <v>1038</v>
      </c>
      <c r="AJ1795"/>
      <c r="AK1795"/>
    </row>
    <row r="1796" spans="18:37" ht="14">
      <c r="R1796" s="14">
        <v>51559</v>
      </c>
      <c r="S1796" s="14" t="s">
        <v>849</v>
      </c>
      <c r="T1796" s="12" t="s">
        <v>116</v>
      </c>
      <c r="U1796" s="15" t="str">
        <f t="shared" si="40"/>
        <v>SDS-TFW-2401-2403-QEServicePln - PRD</v>
      </c>
      <c r="V1796" s="12" t="s">
        <v>117</v>
      </c>
      <c r="W1796" s="12" t="s">
        <v>117</v>
      </c>
      <c r="X1796" s="12" t="s">
        <v>117</v>
      </c>
      <c r="Y1796" s="12" t="s">
        <v>1038</v>
      </c>
      <c r="AJ1796"/>
      <c r="AK1796"/>
    </row>
    <row r="1797" spans="18:37" ht="14">
      <c r="R1797" s="14">
        <v>51558</v>
      </c>
      <c r="S1797" s="14" t="s">
        <v>848</v>
      </c>
      <c r="T1797" s="12" t="s">
        <v>116</v>
      </c>
      <c r="U1797" s="15" t="str">
        <f t="shared" si="40"/>
        <v>SDS-TFW-2402-2403-QETaxEngine - PRD</v>
      </c>
      <c r="V1797" s="12" t="s">
        <v>117</v>
      </c>
      <c r="W1797" s="12" t="s">
        <v>117</v>
      </c>
      <c r="X1797" s="12" t="s">
        <v>117</v>
      </c>
      <c r="Y1797" s="12" t="s">
        <v>1038</v>
      </c>
      <c r="AJ1797"/>
      <c r="AK1797"/>
    </row>
    <row r="1798" spans="18:37" ht="14">
      <c r="R1798" s="14">
        <v>51553</v>
      </c>
      <c r="S1798" s="14" t="s">
        <v>841</v>
      </c>
      <c r="T1798" s="12" t="s">
        <v>116</v>
      </c>
      <c r="U1798" s="15" t="str">
        <f t="shared" si="40"/>
        <v>SDS-TFW-2402-2403-RevAlloction - PRD</v>
      </c>
      <c r="V1798" s="12" t="s">
        <v>117</v>
      </c>
      <c r="W1798" s="12" t="s">
        <v>117</v>
      </c>
      <c r="X1798" s="12" t="s">
        <v>117</v>
      </c>
      <c r="Y1798" s="12" t="s">
        <v>1038</v>
      </c>
      <c r="AJ1798"/>
      <c r="AK1798"/>
    </row>
    <row r="1799" spans="18:37" ht="14">
      <c r="R1799" s="14">
        <v>51556</v>
      </c>
      <c r="S1799" s="14" t="s">
        <v>845</v>
      </c>
      <c r="T1799" s="12" t="s">
        <v>116</v>
      </c>
      <c r="U1799" s="15" t="str">
        <f t="shared" si="40"/>
        <v>SDS-TFW-2402-2403-SecTstngQE - PRD</v>
      </c>
      <c r="V1799" s="12" t="s">
        <v>117</v>
      </c>
      <c r="W1799" s="12" t="s">
        <v>117</v>
      </c>
      <c r="X1799" s="12" t="s">
        <v>117</v>
      </c>
      <c r="Y1799" s="12" t="s">
        <v>1038</v>
      </c>
      <c r="AJ1799"/>
      <c r="AK1799"/>
    </row>
    <row r="1800" spans="18:37" ht="14">
      <c r="R1800" s="14">
        <v>51514</v>
      </c>
      <c r="S1800" s="14" t="s">
        <v>830</v>
      </c>
      <c r="T1800" s="12" t="s">
        <v>116</v>
      </c>
      <c r="U1800" s="15" t="str">
        <f t="shared" si="40"/>
        <v>SDS-WTW-2309-2402-OracleOTBI - PRD</v>
      </c>
      <c r="V1800" s="12" t="s">
        <v>117</v>
      </c>
      <c r="W1800" s="12" t="s">
        <v>117</v>
      </c>
      <c r="X1800" s="12" t="s">
        <v>117</v>
      </c>
      <c r="Y1800" s="12" t="s">
        <v>1038</v>
      </c>
      <c r="AJ1800"/>
      <c r="AK1800"/>
    </row>
    <row r="1801" spans="18:37" ht="14">
      <c r="R1801" s="14">
        <v>95503</v>
      </c>
      <c r="S1801" s="14" t="s">
        <v>917</v>
      </c>
      <c r="T1801" s="12" t="s">
        <v>415</v>
      </c>
      <c r="U1801" s="15" t="str">
        <f t="shared" si="40"/>
        <v>Security Engineering - GTI</v>
      </c>
      <c r="V1801" s="12" t="s">
        <v>104</v>
      </c>
      <c r="W1801" s="12" t="s">
        <v>263</v>
      </c>
      <c r="X1801" s="12" t="s">
        <v>264</v>
      </c>
      <c r="Y1801" s="12" t="s">
        <v>1038</v>
      </c>
      <c r="AJ1801"/>
      <c r="AK1801"/>
    </row>
    <row r="1802" spans="18:37" ht="14">
      <c r="R1802" s="14">
        <v>95503</v>
      </c>
      <c r="S1802" s="14" t="s">
        <v>917</v>
      </c>
      <c r="T1802" s="12" t="s">
        <v>145</v>
      </c>
      <c r="U1802" s="15" t="str">
        <f t="shared" si="40"/>
        <v>Security Engineering - SUP</v>
      </c>
      <c r="V1802" s="12" t="s">
        <v>104</v>
      </c>
      <c r="W1802" s="12" t="s">
        <v>263</v>
      </c>
      <c r="X1802" s="12" t="s">
        <v>264</v>
      </c>
      <c r="Y1802" s="12" t="s">
        <v>1038</v>
      </c>
      <c r="AJ1802"/>
      <c r="AK1802"/>
    </row>
    <row r="1803" spans="18:37" ht="14">
      <c r="R1803" s="14">
        <v>92104</v>
      </c>
      <c r="S1803" s="14" t="s">
        <v>919</v>
      </c>
      <c r="T1803" s="12" t="s">
        <v>920</v>
      </c>
      <c r="U1803" s="15" t="str">
        <f t="shared" si="40"/>
        <v>Security Management - GM - FSM</v>
      </c>
      <c r="V1803" s="12" t="s">
        <v>104</v>
      </c>
      <c r="W1803" s="12" t="s">
        <v>518</v>
      </c>
      <c r="X1803" s="12" t="s">
        <v>350</v>
      </c>
      <c r="Y1803" s="12" t="s">
        <v>1038</v>
      </c>
      <c r="AJ1803"/>
      <c r="AK1803"/>
    </row>
    <row r="1804" spans="18:37" ht="14">
      <c r="R1804" s="14">
        <v>92104</v>
      </c>
      <c r="S1804" s="14" t="s">
        <v>919</v>
      </c>
      <c r="T1804" s="12" t="s">
        <v>145</v>
      </c>
      <c r="U1804" s="15" t="str">
        <f t="shared" si="40"/>
        <v>Security Management - GM - SUP</v>
      </c>
      <c r="V1804" s="12" t="s">
        <v>104</v>
      </c>
      <c r="W1804" s="12" t="s">
        <v>518</v>
      </c>
      <c r="X1804" s="12" t="s">
        <v>350</v>
      </c>
      <c r="Y1804" s="12" t="s">
        <v>1038</v>
      </c>
      <c r="AJ1804"/>
      <c r="AK1804"/>
    </row>
    <row r="1805" spans="18:37" ht="14">
      <c r="R1805" s="14">
        <v>95106</v>
      </c>
      <c r="S1805" s="14" t="s">
        <v>921</v>
      </c>
      <c r="T1805" s="12" t="s">
        <v>415</v>
      </c>
      <c r="U1805" s="15" t="str">
        <f t="shared" si="40"/>
        <v>Server - GTI</v>
      </c>
      <c r="V1805" s="12" t="s">
        <v>104</v>
      </c>
      <c r="W1805" s="12" t="s">
        <v>263</v>
      </c>
      <c r="X1805" s="12" t="s">
        <v>264</v>
      </c>
      <c r="Y1805" s="12" t="s">
        <v>1038</v>
      </c>
      <c r="AJ1805"/>
      <c r="AK1805"/>
    </row>
    <row r="1806" spans="18:37" ht="14">
      <c r="R1806" s="14">
        <v>95106</v>
      </c>
      <c r="S1806" s="14" t="s">
        <v>921</v>
      </c>
      <c r="T1806" s="12" t="s">
        <v>129</v>
      </c>
      <c r="U1806" s="15" t="str">
        <f t="shared" si="40"/>
        <v>Server - MGT</v>
      </c>
      <c r="V1806" s="12" t="s">
        <v>104</v>
      </c>
      <c r="W1806" s="12" t="s">
        <v>263</v>
      </c>
      <c r="X1806" s="12" t="s">
        <v>264</v>
      </c>
      <c r="Y1806" s="12" t="s">
        <v>1038</v>
      </c>
      <c r="AJ1806"/>
      <c r="AK1806"/>
    </row>
    <row r="1807" spans="18:37" ht="14">
      <c r="R1807" s="14">
        <v>95106</v>
      </c>
      <c r="S1807" s="14" t="s">
        <v>921</v>
      </c>
      <c r="T1807" s="12" t="s">
        <v>145</v>
      </c>
      <c r="U1807" s="15" t="str">
        <f t="shared" si="40"/>
        <v>Server - SUP</v>
      </c>
      <c r="V1807" s="12" t="s">
        <v>104</v>
      </c>
      <c r="W1807" s="12" t="s">
        <v>263</v>
      </c>
      <c r="X1807" s="12" t="s">
        <v>264</v>
      </c>
      <c r="Y1807" s="12" t="s">
        <v>1038</v>
      </c>
      <c r="AJ1807"/>
      <c r="AK1807"/>
    </row>
    <row r="1808" spans="18:37" ht="14">
      <c r="R1808" s="14">
        <v>95106</v>
      </c>
      <c r="S1808" s="14" t="s">
        <v>921</v>
      </c>
      <c r="T1808" s="12" t="s">
        <v>180</v>
      </c>
      <c r="U1808" s="15" t="str">
        <f t="shared" si="40"/>
        <v>Server - TMG</v>
      </c>
      <c r="V1808" s="12" t="s">
        <v>104</v>
      </c>
      <c r="W1808" s="12" t="s">
        <v>263</v>
      </c>
      <c r="X1808" s="12" t="s">
        <v>264</v>
      </c>
      <c r="Y1808" s="12" t="s">
        <v>1038</v>
      </c>
      <c r="AJ1808"/>
      <c r="AK1808"/>
    </row>
    <row r="1809" spans="18:37" ht="14">
      <c r="R1809" s="14">
        <v>91004</v>
      </c>
      <c r="S1809" s="14" t="s">
        <v>923</v>
      </c>
      <c r="T1809" s="12" t="s">
        <v>133</v>
      </c>
      <c r="U1809" s="15" t="str">
        <f t="shared" si="40"/>
        <v>Service  Excellence - AMG</v>
      </c>
      <c r="V1809" s="12" t="s">
        <v>104</v>
      </c>
      <c r="W1809" s="12" t="s">
        <v>401</v>
      </c>
      <c r="X1809" s="12" t="s">
        <v>114</v>
      </c>
      <c r="Y1809" s="12" t="s">
        <v>1038</v>
      </c>
      <c r="AJ1809"/>
      <c r="AK1809"/>
    </row>
    <row r="1810" spans="18:37" ht="14">
      <c r="R1810" s="14">
        <v>91004</v>
      </c>
      <c r="S1810" s="14" t="s">
        <v>923</v>
      </c>
      <c r="T1810" s="12" t="s">
        <v>129</v>
      </c>
      <c r="U1810" s="15" t="str">
        <f t="shared" si="40"/>
        <v>Service  Excellence - MGT</v>
      </c>
      <c r="V1810" s="12" t="s">
        <v>104</v>
      </c>
      <c r="W1810" s="12" t="s">
        <v>401</v>
      </c>
      <c r="X1810" s="12" t="s">
        <v>114</v>
      </c>
      <c r="Y1810" s="12" t="s">
        <v>1038</v>
      </c>
      <c r="AJ1810"/>
      <c r="AK1810"/>
    </row>
    <row r="1811" spans="18:37" ht="14">
      <c r="R1811" s="14">
        <v>91004</v>
      </c>
      <c r="S1811" s="14" t="s">
        <v>923</v>
      </c>
      <c r="T1811" s="12" t="s">
        <v>177</v>
      </c>
      <c r="U1811" s="15" t="str">
        <f t="shared" si="40"/>
        <v>Service  Excellence - OPS</v>
      </c>
      <c r="V1811" s="12" t="s">
        <v>104</v>
      </c>
      <c r="W1811" s="12" t="s">
        <v>401</v>
      </c>
      <c r="X1811" s="12" t="s">
        <v>114</v>
      </c>
      <c r="Y1811" s="12" t="s">
        <v>1038</v>
      </c>
      <c r="AJ1811"/>
      <c r="AK1811"/>
    </row>
    <row r="1812" spans="18:37" ht="14">
      <c r="R1812" s="14">
        <v>91004</v>
      </c>
      <c r="S1812" s="14" t="s">
        <v>923</v>
      </c>
      <c r="T1812" s="12" t="s">
        <v>230</v>
      </c>
      <c r="U1812" s="15" t="str">
        <f t="shared" si="40"/>
        <v>Service  Excellence - PRSP</v>
      </c>
      <c r="V1812" s="12" t="s">
        <v>104</v>
      </c>
      <c r="W1812" s="12" t="s">
        <v>401</v>
      </c>
      <c r="X1812" s="12" t="s">
        <v>114</v>
      </c>
      <c r="Y1812" s="12" t="s">
        <v>1038</v>
      </c>
      <c r="AJ1812"/>
      <c r="AK1812"/>
    </row>
    <row r="1813" spans="18:37" ht="14">
      <c r="R1813" s="14">
        <v>91004</v>
      </c>
      <c r="S1813" s="14" t="s">
        <v>923</v>
      </c>
      <c r="T1813" s="12" t="s">
        <v>111</v>
      </c>
      <c r="U1813" s="15" t="str">
        <f t="shared" si="40"/>
        <v>Service  Excellence - QLY</v>
      </c>
      <c r="V1813" s="12" t="s">
        <v>104</v>
      </c>
      <c r="W1813" s="12" t="s">
        <v>401</v>
      </c>
      <c r="X1813" s="12" t="s">
        <v>114</v>
      </c>
      <c r="Y1813" s="12" t="s">
        <v>1038</v>
      </c>
      <c r="AJ1813"/>
      <c r="AK1813"/>
    </row>
    <row r="1814" spans="18:37" ht="14">
      <c r="R1814" s="14">
        <v>91004</v>
      </c>
      <c r="S1814" s="14" t="s">
        <v>923</v>
      </c>
      <c r="T1814" s="12" t="s">
        <v>139</v>
      </c>
      <c r="U1814" s="15" t="str">
        <f t="shared" si="40"/>
        <v>Service  Excellence - SMGT</v>
      </c>
      <c r="V1814" s="12" t="s">
        <v>104</v>
      </c>
      <c r="W1814" s="12" t="s">
        <v>401</v>
      </c>
      <c r="X1814" s="12" t="s">
        <v>114</v>
      </c>
      <c r="Y1814" s="12" t="s">
        <v>1038</v>
      </c>
      <c r="AJ1814"/>
      <c r="AK1814"/>
    </row>
    <row r="1815" spans="18:37" ht="14">
      <c r="R1815" s="14">
        <v>91004</v>
      </c>
      <c r="S1815" s="14" t="s">
        <v>923</v>
      </c>
      <c r="T1815" s="12" t="s">
        <v>145</v>
      </c>
      <c r="U1815" s="15" t="str">
        <f t="shared" si="40"/>
        <v>Service  Excellence - SUP</v>
      </c>
      <c r="V1815" s="12" t="s">
        <v>104</v>
      </c>
      <c r="W1815" s="12" t="s">
        <v>401</v>
      </c>
      <c r="X1815" s="12" t="s">
        <v>114</v>
      </c>
      <c r="Y1815" s="12" t="s">
        <v>1038</v>
      </c>
      <c r="AJ1815"/>
      <c r="AK1815"/>
    </row>
    <row r="1816" spans="18:37" ht="14">
      <c r="R1816" s="14">
        <v>91004</v>
      </c>
      <c r="S1816" s="14" t="s">
        <v>923</v>
      </c>
      <c r="T1816" s="12" t="s">
        <v>925</v>
      </c>
      <c r="U1816" s="15" t="str">
        <f t="shared" si="40"/>
        <v>Service  Excellence - SXL</v>
      </c>
      <c r="V1816" s="12" t="s">
        <v>104</v>
      </c>
      <c r="W1816" s="12" t="s">
        <v>401</v>
      </c>
      <c r="X1816" s="12" t="s">
        <v>114</v>
      </c>
      <c r="Y1816" s="12" t="s">
        <v>1038</v>
      </c>
      <c r="AJ1816"/>
      <c r="AK1816"/>
    </row>
    <row r="1817" spans="18:37" ht="14">
      <c r="R1817" s="14">
        <v>91004</v>
      </c>
      <c r="S1817" s="14" t="s">
        <v>923</v>
      </c>
      <c r="T1817" s="12" t="s">
        <v>180</v>
      </c>
      <c r="U1817" s="15" t="str">
        <f t="shared" si="40"/>
        <v>Service  Excellence - TMG</v>
      </c>
      <c r="V1817" s="12" t="s">
        <v>104</v>
      </c>
      <c r="W1817" s="12" t="s">
        <v>401</v>
      </c>
      <c r="X1817" s="12" t="s">
        <v>114</v>
      </c>
      <c r="Y1817" s="12" t="s">
        <v>1038</v>
      </c>
      <c r="AJ1817"/>
      <c r="AK1817"/>
    </row>
    <row r="1818" spans="18:37" ht="14">
      <c r="R1818" s="14">
        <v>91800</v>
      </c>
      <c r="S1818" s="14" t="s">
        <v>931</v>
      </c>
      <c r="T1818" s="12" t="s">
        <v>133</v>
      </c>
      <c r="U1818" s="15" t="str">
        <f t="shared" si="40"/>
        <v>Service Delivery - AMG</v>
      </c>
      <c r="V1818" s="12" t="s">
        <v>104</v>
      </c>
      <c r="W1818" s="12" t="s">
        <v>405</v>
      </c>
      <c r="X1818" s="12" t="s">
        <v>114</v>
      </c>
      <c r="Y1818" s="12" t="s">
        <v>1038</v>
      </c>
      <c r="AJ1818"/>
      <c r="AK1818"/>
    </row>
    <row r="1819" spans="18:37" ht="14">
      <c r="R1819" s="14">
        <v>91000</v>
      </c>
      <c r="S1819" s="14" t="s">
        <v>931</v>
      </c>
      <c r="T1819" s="12" t="s">
        <v>150</v>
      </c>
      <c r="U1819" s="15" t="str">
        <f t="shared" si="40"/>
        <v>Service Delivery - CCS</v>
      </c>
      <c r="V1819" s="12" t="s">
        <v>126</v>
      </c>
      <c r="W1819" s="12" t="s">
        <v>405</v>
      </c>
      <c r="X1819" s="12" t="s">
        <v>114</v>
      </c>
      <c r="Y1819" s="12" t="s">
        <v>1038</v>
      </c>
      <c r="AJ1819"/>
      <c r="AK1819"/>
    </row>
    <row r="1820" spans="18:37" ht="14">
      <c r="R1820" s="14">
        <v>91000</v>
      </c>
      <c r="S1820" s="14" t="s">
        <v>931</v>
      </c>
      <c r="T1820" s="12" t="s">
        <v>129</v>
      </c>
      <c r="U1820" s="15" t="str">
        <f t="shared" si="40"/>
        <v>Service Delivery - MGT</v>
      </c>
      <c r="V1820" s="12" t="s">
        <v>126</v>
      </c>
      <c r="W1820" s="12" t="s">
        <v>405</v>
      </c>
      <c r="X1820" s="12" t="s">
        <v>114</v>
      </c>
      <c r="Y1820" s="12" t="s">
        <v>1038</v>
      </c>
      <c r="AJ1820"/>
      <c r="AK1820"/>
    </row>
    <row r="1821" spans="18:37" ht="14">
      <c r="R1821" s="14">
        <v>91000</v>
      </c>
      <c r="S1821" s="14" t="s">
        <v>931</v>
      </c>
      <c r="T1821" s="12" t="s">
        <v>145</v>
      </c>
      <c r="U1821" s="15" t="str">
        <f t="shared" si="40"/>
        <v>Service Delivery - SUP</v>
      </c>
      <c r="V1821" s="12" t="s">
        <v>126</v>
      </c>
      <c r="W1821" s="12" t="s">
        <v>405</v>
      </c>
      <c r="X1821" s="12" t="s">
        <v>114</v>
      </c>
      <c r="Y1821" s="12" t="s">
        <v>1038</v>
      </c>
      <c r="AJ1821"/>
      <c r="AK1821"/>
    </row>
    <row r="1822" spans="18:37" ht="14">
      <c r="R1822" s="14">
        <v>91000</v>
      </c>
      <c r="S1822" s="14" t="s">
        <v>931</v>
      </c>
      <c r="T1822" s="12" t="s">
        <v>180</v>
      </c>
      <c r="U1822" s="15" t="str">
        <f t="shared" si="40"/>
        <v>Service Delivery - TMG</v>
      </c>
      <c r="V1822" s="12" t="s">
        <v>126</v>
      </c>
      <c r="W1822" s="12" t="s">
        <v>405</v>
      </c>
      <c r="X1822" s="12" t="s">
        <v>114</v>
      </c>
      <c r="Y1822" s="12" t="s">
        <v>1038</v>
      </c>
      <c r="AJ1822"/>
      <c r="AK1822"/>
    </row>
    <row r="1823" spans="18:37" ht="14">
      <c r="R1823" s="14">
        <v>91000</v>
      </c>
      <c r="S1823" s="14" t="s">
        <v>931</v>
      </c>
      <c r="T1823" s="12" t="s">
        <v>185</v>
      </c>
      <c r="U1823" s="15" t="str">
        <f t="shared" si="40"/>
        <v>Service Delivery - TPS</v>
      </c>
      <c r="V1823" s="12" t="s">
        <v>126</v>
      </c>
      <c r="W1823" s="12" t="s">
        <v>405</v>
      </c>
      <c r="X1823" s="12" t="s">
        <v>114</v>
      </c>
      <c r="Y1823" s="12" t="s">
        <v>1038</v>
      </c>
      <c r="AJ1823"/>
      <c r="AK1823"/>
    </row>
    <row r="1824" spans="18:37" ht="14">
      <c r="R1824" s="14">
        <v>91737</v>
      </c>
      <c r="S1824" s="14" t="s">
        <v>927</v>
      </c>
      <c r="T1824" s="12" t="s">
        <v>145</v>
      </c>
      <c r="U1824" s="15" t="str">
        <f t="shared" si="40"/>
        <v>Service Delivery - Healthcare - SUP</v>
      </c>
      <c r="V1824" s="12" t="s">
        <v>104</v>
      </c>
      <c r="W1824" s="12" t="s">
        <v>405</v>
      </c>
      <c r="X1824" s="12" t="s">
        <v>114</v>
      </c>
      <c r="Y1824" s="12" t="s">
        <v>1038</v>
      </c>
      <c r="AJ1824"/>
      <c r="AK1824"/>
    </row>
    <row r="1825" spans="18:37" ht="14">
      <c r="R1825" s="14">
        <v>97245</v>
      </c>
      <c r="S1825" s="14" t="s">
        <v>929</v>
      </c>
      <c r="T1825" s="12" t="s">
        <v>129</v>
      </c>
      <c r="U1825" s="15" t="str">
        <f t="shared" si="40"/>
        <v>SGS Digital Recruitment - MGT</v>
      </c>
      <c r="V1825" s="12" t="s">
        <v>104</v>
      </c>
      <c r="W1825" s="12" t="s">
        <v>512</v>
      </c>
      <c r="X1825" s="12" t="s">
        <v>114</v>
      </c>
      <c r="Y1825" s="12" t="s">
        <v>1038</v>
      </c>
      <c r="AJ1825"/>
      <c r="AK1825"/>
    </row>
    <row r="1826" spans="18:37" ht="14">
      <c r="R1826" s="14">
        <v>97245</v>
      </c>
      <c r="S1826" s="14" t="s">
        <v>929</v>
      </c>
      <c r="T1826" s="12" t="s">
        <v>514</v>
      </c>
      <c r="U1826" s="15" t="str">
        <f t="shared" si="40"/>
        <v>SGS Digital Recruitment - REC</v>
      </c>
      <c r="V1826" s="12" t="s">
        <v>104</v>
      </c>
      <c r="W1826" s="12" t="s">
        <v>512</v>
      </c>
      <c r="X1826" s="12" t="s">
        <v>114</v>
      </c>
      <c r="Y1826" s="12" t="s">
        <v>1038</v>
      </c>
      <c r="AJ1826"/>
      <c r="AK1826"/>
    </row>
    <row r="1827" spans="18:37" ht="14">
      <c r="R1827" s="14">
        <v>97245</v>
      </c>
      <c r="S1827" s="14" t="s">
        <v>929</v>
      </c>
      <c r="T1827" s="12" t="s">
        <v>145</v>
      </c>
      <c r="U1827" s="15" t="str">
        <f t="shared" si="40"/>
        <v>SGS Digital Recruitment - SUP</v>
      </c>
      <c r="V1827" s="12" t="s">
        <v>104</v>
      </c>
      <c r="W1827" s="12" t="s">
        <v>512</v>
      </c>
      <c r="X1827" s="12" t="s">
        <v>114</v>
      </c>
      <c r="Y1827" s="12" t="s">
        <v>1038</v>
      </c>
      <c r="AJ1827"/>
      <c r="AK1827"/>
    </row>
    <row r="1828" spans="18:37" ht="14">
      <c r="R1828" s="14">
        <v>98006</v>
      </c>
      <c r="S1828" s="14" t="s">
        <v>932</v>
      </c>
      <c r="T1828" s="12" t="s">
        <v>133</v>
      </c>
      <c r="U1828" s="15" t="str">
        <f t="shared" si="40"/>
        <v>SHARED SERVICES - TRAVEL - AMG</v>
      </c>
      <c r="V1828" s="12" t="s">
        <v>104</v>
      </c>
      <c r="W1828" s="12" t="s">
        <v>518</v>
      </c>
      <c r="X1828" s="12" t="s">
        <v>350</v>
      </c>
      <c r="Y1828" s="12" t="s">
        <v>1038</v>
      </c>
      <c r="AJ1828"/>
      <c r="AK1828"/>
    </row>
    <row r="1829" spans="18:37" ht="14">
      <c r="R1829" s="14">
        <v>98006</v>
      </c>
      <c r="S1829" s="14" t="s">
        <v>932</v>
      </c>
      <c r="T1829" s="12" t="s">
        <v>129</v>
      </c>
      <c r="U1829" s="15" t="str">
        <f t="shared" si="40"/>
        <v>SHARED SERVICES - TRAVEL - MGT</v>
      </c>
      <c r="V1829" s="12" t="s">
        <v>104</v>
      </c>
      <c r="W1829" s="12" t="s">
        <v>518</v>
      </c>
      <c r="X1829" s="12" t="s">
        <v>350</v>
      </c>
      <c r="Y1829" s="12" t="s">
        <v>1038</v>
      </c>
      <c r="AJ1829"/>
      <c r="AK1829"/>
    </row>
    <row r="1830" spans="18:37" ht="14">
      <c r="R1830" s="14">
        <v>98006</v>
      </c>
      <c r="S1830" s="14" t="s">
        <v>932</v>
      </c>
      <c r="T1830" s="12" t="s">
        <v>145</v>
      </c>
      <c r="U1830" s="15" t="str">
        <f t="shared" si="40"/>
        <v>SHARED SERVICES - TRAVEL - SUP</v>
      </c>
      <c r="V1830" s="12" t="s">
        <v>104</v>
      </c>
      <c r="W1830" s="12" t="s">
        <v>518</v>
      </c>
      <c r="X1830" s="12" t="s">
        <v>350</v>
      </c>
      <c r="Y1830" s="12" t="s">
        <v>1038</v>
      </c>
      <c r="AJ1830"/>
      <c r="AK1830"/>
    </row>
    <row r="1831" spans="18:37" ht="14">
      <c r="R1831" s="14">
        <v>98006</v>
      </c>
      <c r="S1831" s="14" t="s">
        <v>932</v>
      </c>
      <c r="T1831" s="12" t="s">
        <v>180</v>
      </c>
      <c r="U1831" s="15" t="str">
        <f t="shared" si="40"/>
        <v>SHARED SERVICES - TRAVEL - TMG</v>
      </c>
      <c r="V1831" s="12" t="s">
        <v>104</v>
      </c>
      <c r="W1831" s="12" t="s">
        <v>518</v>
      </c>
      <c r="X1831" s="12" t="s">
        <v>350</v>
      </c>
      <c r="Y1831" s="12" t="s">
        <v>1038</v>
      </c>
      <c r="AJ1831"/>
      <c r="AK1831"/>
    </row>
    <row r="1832" spans="18:37" ht="14">
      <c r="R1832" s="14">
        <v>95500</v>
      </c>
      <c r="S1832" s="14" t="s">
        <v>935</v>
      </c>
      <c r="T1832" s="12" t="s">
        <v>171</v>
      </c>
      <c r="U1832" s="15" t="str">
        <f t="shared" si="40"/>
        <v>SHD - ETE</v>
      </c>
      <c r="V1832" s="12" t="s">
        <v>104</v>
      </c>
      <c r="W1832" s="12" t="s">
        <v>263</v>
      </c>
      <c r="X1832" s="12" t="s">
        <v>264</v>
      </c>
      <c r="Y1832" s="12" t="s">
        <v>1038</v>
      </c>
      <c r="AJ1832"/>
      <c r="AK1832"/>
    </row>
    <row r="1833" spans="18:37" ht="14">
      <c r="R1833" s="14">
        <v>95500</v>
      </c>
      <c r="S1833" s="14" t="s">
        <v>935</v>
      </c>
      <c r="T1833" s="12" t="s">
        <v>139</v>
      </c>
      <c r="U1833" s="15" t="str">
        <f t="shared" si="40"/>
        <v>SHD - SMGT</v>
      </c>
      <c r="V1833" s="12" t="s">
        <v>104</v>
      </c>
      <c r="W1833" s="12" t="s">
        <v>263</v>
      </c>
      <c r="X1833" s="12" t="s">
        <v>264</v>
      </c>
      <c r="Y1833" s="12" t="s">
        <v>1038</v>
      </c>
      <c r="AJ1833"/>
      <c r="AK1833"/>
    </row>
    <row r="1834" spans="18:37" ht="14">
      <c r="R1834" s="14">
        <v>95500</v>
      </c>
      <c r="S1834" s="14" t="s">
        <v>935</v>
      </c>
      <c r="T1834" s="12" t="s">
        <v>119</v>
      </c>
      <c r="U1834" s="15" t="str">
        <f t="shared" si="40"/>
        <v>SHD - SQM</v>
      </c>
      <c r="V1834" s="12" t="s">
        <v>104</v>
      </c>
      <c r="W1834" s="12" t="s">
        <v>263</v>
      </c>
      <c r="X1834" s="12" t="s">
        <v>264</v>
      </c>
      <c r="Y1834" s="12" t="s">
        <v>1038</v>
      </c>
      <c r="AJ1834"/>
      <c r="AK1834"/>
    </row>
    <row r="1835" spans="18:37" ht="14">
      <c r="R1835" s="14">
        <v>95500</v>
      </c>
      <c r="S1835" s="14" t="s">
        <v>935</v>
      </c>
      <c r="T1835" s="12" t="s">
        <v>584</v>
      </c>
      <c r="U1835" s="15" t="str">
        <f t="shared" si="40"/>
        <v>SHD - STE</v>
      </c>
      <c r="V1835" s="12" t="s">
        <v>104</v>
      </c>
      <c r="W1835" s="12" t="s">
        <v>263</v>
      </c>
      <c r="X1835" s="12" t="s">
        <v>264</v>
      </c>
      <c r="Y1835" s="12" t="s">
        <v>1038</v>
      </c>
      <c r="AJ1835"/>
      <c r="AK1835"/>
    </row>
    <row r="1836" spans="18:37" ht="14">
      <c r="R1836" s="14">
        <v>95500</v>
      </c>
      <c r="S1836" s="14" t="s">
        <v>935</v>
      </c>
      <c r="T1836" s="12" t="s">
        <v>145</v>
      </c>
      <c r="U1836" s="15" t="str">
        <f t="shared" si="40"/>
        <v>SHD - SUP</v>
      </c>
      <c r="V1836" s="12" t="s">
        <v>104</v>
      </c>
      <c r="W1836" s="12" t="s">
        <v>263</v>
      </c>
      <c r="X1836" s="12" t="s">
        <v>264</v>
      </c>
      <c r="Y1836" s="12" t="s">
        <v>1038</v>
      </c>
      <c r="AJ1836"/>
      <c r="AK1836"/>
    </row>
    <row r="1837" spans="18:37" ht="14">
      <c r="R1837" s="14">
        <v>93808</v>
      </c>
      <c r="S1837" s="14" t="s">
        <v>937</v>
      </c>
      <c r="T1837" s="12" t="s">
        <v>835</v>
      </c>
      <c r="U1837" s="15" t="str">
        <f t="shared" si="40"/>
        <v>SHS Solutioning - TnT - BTG</v>
      </c>
      <c r="V1837" s="12" t="s">
        <v>104</v>
      </c>
      <c r="W1837" s="12" t="s">
        <v>938</v>
      </c>
      <c r="X1837" s="12" t="s">
        <v>114</v>
      </c>
      <c r="Y1837" s="12" t="s">
        <v>1038</v>
      </c>
      <c r="AJ1837"/>
      <c r="AK1837"/>
    </row>
    <row r="1838" spans="18:37" ht="14">
      <c r="R1838" s="14">
        <v>93808</v>
      </c>
      <c r="S1838" s="14" t="s">
        <v>937</v>
      </c>
      <c r="T1838" s="12" t="s">
        <v>145</v>
      </c>
      <c r="U1838" s="15" t="str">
        <f t="shared" si="40"/>
        <v>SHS Solutioning - TnT - SUP</v>
      </c>
      <c r="V1838" s="12" t="s">
        <v>104</v>
      </c>
      <c r="W1838" s="12" t="s">
        <v>938</v>
      </c>
      <c r="X1838" s="12" t="s">
        <v>114</v>
      </c>
      <c r="Y1838" s="12" t="s">
        <v>1038</v>
      </c>
      <c r="AJ1838"/>
      <c r="AK1838"/>
    </row>
    <row r="1839" spans="18:37" ht="14">
      <c r="R1839" s="14">
        <v>91082</v>
      </c>
      <c r="S1839" s="14" t="s">
        <v>936</v>
      </c>
      <c r="T1839" s="12" t="s">
        <v>129</v>
      </c>
      <c r="U1839" s="15" t="str">
        <f t="shared" si="40"/>
        <v>SHS-Organizational  Excellence - MGT</v>
      </c>
      <c r="V1839" s="12" t="s">
        <v>104</v>
      </c>
      <c r="W1839" s="12" t="s">
        <v>401</v>
      </c>
      <c r="X1839" s="12" t="s">
        <v>114</v>
      </c>
      <c r="Y1839" s="12" t="s">
        <v>1038</v>
      </c>
      <c r="AJ1839"/>
      <c r="AK1839"/>
    </row>
    <row r="1840" spans="18:37" ht="14">
      <c r="R1840" s="14">
        <v>91082</v>
      </c>
      <c r="S1840" s="14" t="s">
        <v>936</v>
      </c>
      <c r="T1840" s="12" t="s">
        <v>145</v>
      </c>
      <c r="U1840" s="15" t="str">
        <f t="shared" si="40"/>
        <v>SHS-Organizational  Excellence - SUP</v>
      </c>
      <c r="V1840" s="12" t="s">
        <v>104</v>
      </c>
      <c r="W1840" s="12" t="s">
        <v>401</v>
      </c>
      <c r="X1840" s="12" t="s">
        <v>114</v>
      </c>
      <c r="Y1840" s="12" t="s">
        <v>1038</v>
      </c>
      <c r="AJ1840"/>
      <c r="AK1840"/>
    </row>
    <row r="1841" spans="18:37" ht="14">
      <c r="R1841" s="14">
        <v>10869</v>
      </c>
      <c r="S1841" s="14" t="s">
        <v>429</v>
      </c>
      <c r="T1841" s="12" t="s">
        <v>150</v>
      </c>
      <c r="U1841" s="15" t="str">
        <f t="shared" si="40"/>
        <v>Shutterfly CS-Ind - CCS</v>
      </c>
      <c r="V1841" s="12" t="s">
        <v>126</v>
      </c>
      <c r="W1841" s="12" t="s">
        <v>178</v>
      </c>
      <c r="X1841" s="12" t="s">
        <v>128</v>
      </c>
      <c r="Y1841" s="12" t="s">
        <v>1038</v>
      </c>
      <c r="AJ1841"/>
      <c r="AK1841"/>
    </row>
    <row r="1842" spans="18:37" ht="14">
      <c r="R1842" s="14">
        <v>10484</v>
      </c>
      <c r="S1842" s="14" t="s">
        <v>244</v>
      </c>
      <c r="T1842" s="12" t="s">
        <v>224</v>
      </c>
      <c r="U1842" s="15" t="str">
        <f t="shared" si="40"/>
        <v>SIG FTP INDIA - ACM</v>
      </c>
      <c r="V1842" s="12" t="s">
        <v>126</v>
      </c>
      <c r="W1842" s="12" t="s">
        <v>163</v>
      </c>
      <c r="X1842" s="12" t="s">
        <v>164</v>
      </c>
      <c r="Y1842" s="12" t="s">
        <v>1038</v>
      </c>
      <c r="AJ1842"/>
      <c r="AK1842"/>
    </row>
    <row r="1843" spans="18:37" ht="14">
      <c r="R1843" s="14">
        <v>10484</v>
      </c>
      <c r="S1843" s="14" t="s">
        <v>244</v>
      </c>
      <c r="T1843" s="12" t="s">
        <v>138</v>
      </c>
      <c r="U1843" s="15" t="str">
        <f t="shared" si="40"/>
        <v>SIG FTP INDIA - BOS</v>
      </c>
      <c r="V1843" s="12" t="s">
        <v>126</v>
      </c>
      <c r="W1843" s="12" t="s">
        <v>163</v>
      </c>
      <c r="X1843" s="12" t="s">
        <v>164</v>
      </c>
      <c r="Y1843" s="12" t="s">
        <v>1038</v>
      </c>
      <c r="AJ1843"/>
      <c r="AK1843"/>
    </row>
    <row r="1844" spans="18:37" ht="14">
      <c r="R1844" s="14">
        <v>10484</v>
      </c>
      <c r="S1844" s="14" t="s">
        <v>244</v>
      </c>
      <c r="T1844" s="12" t="s">
        <v>504</v>
      </c>
      <c r="U1844" s="15" t="str">
        <f t="shared" si="40"/>
        <v>SIG FTP INDIA - CH AGT</v>
      </c>
      <c r="V1844" s="12" t="s">
        <v>126</v>
      </c>
      <c r="W1844" s="12" t="s">
        <v>163</v>
      </c>
      <c r="X1844" s="12" t="s">
        <v>164</v>
      </c>
      <c r="Y1844" s="12" t="s">
        <v>1038</v>
      </c>
      <c r="AJ1844"/>
      <c r="AK1844"/>
    </row>
    <row r="1845" spans="18:37" ht="14">
      <c r="R1845" s="14">
        <v>10484</v>
      </c>
      <c r="S1845" s="14" t="s">
        <v>244</v>
      </c>
      <c r="T1845" s="12" t="s">
        <v>121</v>
      </c>
      <c r="U1845" s="15" t="str">
        <f t="shared" si="40"/>
        <v>SIG FTP INDIA - F&amp;A</v>
      </c>
      <c r="V1845" s="12" t="s">
        <v>126</v>
      </c>
      <c r="W1845" s="12" t="s">
        <v>163</v>
      </c>
      <c r="X1845" s="12" t="s">
        <v>164</v>
      </c>
      <c r="Y1845" s="12" t="s">
        <v>1038</v>
      </c>
      <c r="AJ1845"/>
      <c r="AK1845"/>
    </row>
    <row r="1846" spans="18:37" ht="14">
      <c r="R1846" s="14">
        <v>10484</v>
      </c>
      <c r="S1846" s="14" t="s">
        <v>244</v>
      </c>
      <c r="T1846" s="12" t="s">
        <v>306</v>
      </c>
      <c r="U1846" s="15" t="str">
        <f t="shared" si="40"/>
        <v>SIG FTP INDIA - FAO</v>
      </c>
      <c r="V1846" s="12" t="s">
        <v>126</v>
      </c>
      <c r="W1846" s="12" t="s">
        <v>163</v>
      </c>
      <c r="X1846" s="12" t="s">
        <v>164</v>
      </c>
      <c r="Y1846" s="12" t="s">
        <v>1038</v>
      </c>
      <c r="AJ1846"/>
      <c r="AK1846"/>
    </row>
    <row r="1847" spans="18:37" ht="14">
      <c r="R1847" s="14">
        <v>10484</v>
      </c>
      <c r="S1847" s="14" t="s">
        <v>244</v>
      </c>
      <c r="T1847" s="12" t="s">
        <v>116</v>
      </c>
      <c r="U1847" s="15" t="str">
        <f t="shared" si="40"/>
        <v>SIG FTP INDIA - PRD</v>
      </c>
      <c r="V1847" s="12" t="s">
        <v>126</v>
      </c>
      <c r="W1847" s="12" t="s">
        <v>163</v>
      </c>
      <c r="X1847" s="12" t="s">
        <v>164</v>
      </c>
      <c r="Y1847" s="12" t="s">
        <v>1038</v>
      </c>
      <c r="AJ1847"/>
      <c r="AK1847"/>
    </row>
    <row r="1848" spans="18:37" ht="14">
      <c r="R1848" s="14">
        <v>10484</v>
      </c>
      <c r="S1848" s="14" t="s">
        <v>244</v>
      </c>
      <c r="T1848" s="12" t="s">
        <v>145</v>
      </c>
      <c r="U1848" s="15" t="str">
        <f t="shared" si="40"/>
        <v>SIG FTP INDIA - SUP</v>
      </c>
      <c r="V1848" s="12" t="s">
        <v>126</v>
      </c>
      <c r="W1848" s="12" t="s">
        <v>163</v>
      </c>
      <c r="X1848" s="12" t="s">
        <v>164</v>
      </c>
      <c r="Y1848" s="12" t="s">
        <v>1038</v>
      </c>
      <c r="AJ1848"/>
      <c r="AK1848"/>
    </row>
    <row r="1849" spans="18:37" ht="14">
      <c r="R1849" s="14">
        <v>10484</v>
      </c>
      <c r="S1849" s="14" t="s">
        <v>244</v>
      </c>
      <c r="T1849" s="12" t="s">
        <v>180</v>
      </c>
      <c r="U1849" s="15" t="str">
        <f t="shared" si="40"/>
        <v>SIG FTP INDIA - TMG</v>
      </c>
      <c r="V1849" s="12" t="s">
        <v>126</v>
      </c>
      <c r="W1849" s="12" t="s">
        <v>163</v>
      </c>
      <c r="X1849" s="12" t="s">
        <v>164</v>
      </c>
      <c r="Y1849" s="12" t="s">
        <v>1038</v>
      </c>
      <c r="AJ1849"/>
      <c r="AK1849"/>
    </row>
    <row r="1850" spans="18:37" ht="14">
      <c r="R1850" s="14">
        <v>10484</v>
      </c>
      <c r="S1850" s="14" t="s">
        <v>244</v>
      </c>
      <c r="T1850" s="12" t="s">
        <v>185</v>
      </c>
      <c r="U1850" s="15" t="str">
        <f t="shared" si="40"/>
        <v>SIG FTP INDIA - TPS</v>
      </c>
      <c r="V1850" s="12" t="s">
        <v>126</v>
      </c>
      <c r="W1850" s="12" t="s">
        <v>163</v>
      </c>
      <c r="X1850" s="12" t="s">
        <v>164</v>
      </c>
      <c r="Y1850" s="12" t="s">
        <v>1038</v>
      </c>
      <c r="AJ1850"/>
      <c r="AK1850"/>
    </row>
    <row r="1851" spans="18:37" ht="14">
      <c r="R1851" s="14">
        <v>82011</v>
      </c>
      <c r="S1851" s="14" t="s">
        <v>869</v>
      </c>
      <c r="T1851" s="12" t="s">
        <v>145</v>
      </c>
      <c r="U1851" s="15" t="str">
        <f t="shared" si="40"/>
        <v>Smartleap - SUP</v>
      </c>
      <c r="V1851" s="12" t="s">
        <v>104</v>
      </c>
      <c r="W1851" s="12" t="s">
        <v>117</v>
      </c>
      <c r="X1851" s="12" t="s">
        <v>117</v>
      </c>
      <c r="Y1851" s="12" t="s">
        <v>1038</v>
      </c>
      <c r="AJ1851"/>
      <c r="AK1851"/>
    </row>
    <row r="1852" spans="18:37" ht="14">
      <c r="R1852" s="14">
        <v>20717</v>
      </c>
      <c r="S1852" s="14" t="s">
        <v>643</v>
      </c>
      <c r="T1852" s="12" t="s">
        <v>145</v>
      </c>
      <c r="U1852" s="15" t="str">
        <f t="shared" si="40"/>
        <v>SmartLeap Translation Tool-DR - SUP</v>
      </c>
      <c r="V1852" s="12" t="s">
        <v>104</v>
      </c>
      <c r="W1852" s="12" t="s">
        <v>117</v>
      </c>
      <c r="X1852" s="12" t="s">
        <v>117</v>
      </c>
      <c r="Y1852" s="12" t="s">
        <v>1038</v>
      </c>
      <c r="AJ1852"/>
      <c r="AK1852"/>
    </row>
    <row r="1853" spans="18:37" ht="14">
      <c r="R1853" s="14">
        <v>10784</v>
      </c>
      <c r="S1853" s="14" t="s">
        <v>382</v>
      </c>
      <c r="T1853" s="12" t="s">
        <v>138</v>
      </c>
      <c r="U1853" s="15" t="str">
        <f t="shared" si="40"/>
        <v>Snapchat CoMo IND - BOS</v>
      </c>
      <c r="V1853" s="12" t="s">
        <v>126</v>
      </c>
      <c r="W1853" s="12" t="s">
        <v>178</v>
      </c>
      <c r="X1853" s="12" t="s">
        <v>128</v>
      </c>
      <c r="Y1853" s="12" t="s">
        <v>1038</v>
      </c>
      <c r="AJ1853"/>
      <c r="AK1853"/>
    </row>
    <row r="1854" spans="18:37" ht="14">
      <c r="R1854" s="14">
        <v>10784</v>
      </c>
      <c r="S1854" s="14" t="s">
        <v>382</v>
      </c>
      <c r="T1854" s="12" t="s">
        <v>150</v>
      </c>
      <c r="U1854" s="15" t="str">
        <f t="shared" si="40"/>
        <v>Snapchat CoMo IND - CCS</v>
      </c>
      <c r="V1854" s="12" t="s">
        <v>126</v>
      </c>
      <c r="W1854" s="12" t="s">
        <v>178</v>
      </c>
      <c r="X1854" s="12" t="s">
        <v>128</v>
      </c>
      <c r="Y1854" s="12" t="s">
        <v>1038</v>
      </c>
      <c r="AJ1854"/>
      <c r="AK1854"/>
    </row>
    <row r="1855" spans="18:37" ht="14">
      <c r="R1855" s="14">
        <v>10784</v>
      </c>
      <c r="S1855" s="14" t="s">
        <v>382</v>
      </c>
      <c r="T1855" s="12" t="s">
        <v>116</v>
      </c>
      <c r="U1855" s="15" t="str">
        <f t="shared" si="40"/>
        <v>Snapchat CoMo IND - PRD</v>
      </c>
      <c r="V1855" s="12" t="s">
        <v>126</v>
      </c>
      <c r="W1855" s="12" t="s">
        <v>178</v>
      </c>
      <c r="X1855" s="12" t="s">
        <v>128</v>
      </c>
      <c r="Y1855" s="12" t="s">
        <v>1038</v>
      </c>
      <c r="AJ1855"/>
      <c r="AK1855"/>
    </row>
    <row r="1856" spans="18:37" ht="14">
      <c r="R1856" s="14">
        <v>10784</v>
      </c>
      <c r="S1856" s="14" t="s">
        <v>382</v>
      </c>
      <c r="T1856" s="12" t="s">
        <v>111</v>
      </c>
      <c r="U1856" s="15" t="str">
        <f t="shared" si="40"/>
        <v>Snapchat CoMo IND - QLY</v>
      </c>
      <c r="V1856" s="12" t="s">
        <v>112</v>
      </c>
      <c r="W1856" s="12" t="s">
        <v>113</v>
      </c>
      <c r="X1856" s="12" t="s">
        <v>114</v>
      </c>
      <c r="Y1856" s="12" t="s">
        <v>1038</v>
      </c>
      <c r="AJ1856"/>
      <c r="AK1856"/>
    </row>
    <row r="1857" spans="18:37" ht="14">
      <c r="R1857" s="14">
        <v>10784</v>
      </c>
      <c r="S1857" s="14" t="s">
        <v>382</v>
      </c>
      <c r="T1857" s="12" t="s">
        <v>180</v>
      </c>
      <c r="U1857" s="15" t="str">
        <f t="shared" si="40"/>
        <v>Snapchat CoMo IND - TMG</v>
      </c>
      <c r="V1857" s="12" t="s">
        <v>126</v>
      </c>
      <c r="W1857" s="12" t="s">
        <v>178</v>
      </c>
      <c r="X1857" s="12" t="s">
        <v>128</v>
      </c>
      <c r="Y1857" s="12" t="s">
        <v>1038</v>
      </c>
      <c r="AJ1857"/>
      <c r="AK1857"/>
    </row>
    <row r="1858" spans="18:37" ht="14">
      <c r="R1858" s="14">
        <v>10784</v>
      </c>
      <c r="S1858" s="14" t="s">
        <v>382</v>
      </c>
      <c r="T1858" s="12" t="s">
        <v>203</v>
      </c>
      <c r="U1858" s="15" t="str">
        <f t="shared" si="40"/>
        <v>Snapchat CoMo IND - TRG</v>
      </c>
      <c r="V1858" s="12" t="s">
        <v>112</v>
      </c>
      <c r="W1858" s="12" t="s">
        <v>204</v>
      </c>
      <c r="X1858" s="12" t="s">
        <v>205</v>
      </c>
      <c r="Y1858" s="12" t="s">
        <v>1038</v>
      </c>
      <c r="AJ1858"/>
      <c r="AK1858"/>
    </row>
    <row r="1859" spans="18:37" ht="14">
      <c r="R1859" s="14">
        <v>51231</v>
      </c>
      <c r="S1859" s="14" t="s">
        <v>1076</v>
      </c>
      <c r="T1859" s="12" t="s">
        <v>116</v>
      </c>
      <c r="U1859" s="15" t="str">
        <f t="shared" ref="U1859:U1922" si="41">S1859&amp;" - "&amp;T1859</f>
        <v>SNC22012412EBSEnhancements - PRD</v>
      </c>
      <c r="V1859" s="12" t="s">
        <v>117</v>
      </c>
      <c r="W1859" s="12" t="s">
        <v>117</v>
      </c>
      <c r="X1859" s="12" t="s">
        <v>117</v>
      </c>
      <c r="Y1859" s="12" t="s">
        <v>1038</v>
      </c>
      <c r="AJ1859"/>
      <c r="AK1859"/>
    </row>
    <row r="1860" spans="18:37" ht="14">
      <c r="R1860" s="14">
        <v>51233</v>
      </c>
      <c r="S1860" s="14" t="s">
        <v>739</v>
      </c>
      <c r="T1860" s="12" t="s">
        <v>116</v>
      </c>
      <c r="U1860" s="15" t="str">
        <f t="shared" si="41"/>
        <v>SNC-2210-2310-KofaxImplementat - PRD</v>
      </c>
      <c r="V1860" s="12" t="s">
        <v>117</v>
      </c>
      <c r="W1860" s="12" t="s">
        <v>117</v>
      </c>
      <c r="X1860" s="12" t="s">
        <v>117</v>
      </c>
      <c r="Y1860" s="12" t="s">
        <v>1038</v>
      </c>
      <c r="AJ1860"/>
      <c r="AK1860"/>
    </row>
    <row r="1861" spans="18:37" ht="14">
      <c r="R1861" s="14">
        <v>51236</v>
      </c>
      <c r="S1861" s="14" t="s">
        <v>740</v>
      </c>
      <c r="T1861" s="12" t="s">
        <v>116</v>
      </c>
      <c r="U1861" s="15" t="str">
        <f t="shared" si="41"/>
        <v>SNC-2305-2805-OracleEBSOneERPS - PRD</v>
      </c>
      <c r="V1861" s="12" t="s">
        <v>117</v>
      </c>
      <c r="W1861" s="12" t="s">
        <v>117</v>
      </c>
      <c r="X1861" s="12" t="s">
        <v>117</v>
      </c>
      <c r="Y1861" s="12" t="s">
        <v>1038</v>
      </c>
      <c r="AJ1861"/>
      <c r="AK1861"/>
    </row>
    <row r="1862" spans="18:37" ht="14">
      <c r="R1862" s="14">
        <v>51237</v>
      </c>
      <c r="S1862" s="14" t="s">
        <v>1077</v>
      </c>
      <c r="T1862" s="12" t="s">
        <v>116</v>
      </c>
      <c r="U1862" s="15" t="str">
        <f t="shared" si="41"/>
        <v>SNCUpgradeandMigration - PRD</v>
      </c>
      <c r="V1862" s="12" t="s">
        <v>117</v>
      </c>
      <c r="W1862" s="12" t="s">
        <v>117</v>
      </c>
      <c r="X1862" s="12" t="s">
        <v>117</v>
      </c>
      <c r="Y1862" s="12" t="s">
        <v>1038</v>
      </c>
      <c r="AJ1862"/>
      <c r="AK1862"/>
    </row>
    <row r="1863" spans="18:37" ht="14">
      <c r="R1863" s="14">
        <v>93801</v>
      </c>
      <c r="S1863" s="14" t="s">
        <v>942</v>
      </c>
      <c r="T1863" s="12" t="s">
        <v>145</v>
      </c>
      <c r="U1863" s="15" t="str">
        <f t="shared" si="41"/>
        <v>Solutioning - Bid Proposal - SUP</v>
      </c>
      <c r="V1863" s="12" t="s">
        <v>104</v>
      </c>
      <c r="W1863" s="12" t="s">
        <v>938</v>
      </c>
      <c r="X1863" s="12" t="s">
        <v>114</v>
      </c>
      <c r="Y1863" s="12" t="s">
        <v>1038</v>
      </c>
      <c r="AJ1863"/>
      <c r="AK1863"/>
    </row>
    <row r="1864" spans="18:37" ht="14">
      <c r="R1864" s="14">
        <v>93806</v>
      </c>
      <c r="S1864" s="14" t="s">
        <v>943</v>
      </c>
      <c r="T1864" s="12" t="s">
        <v>129</v>
      </c>
      <c r="U1864" s="15" t="str">
        <f t="shared" si="41"/>
        <v>Solutioning - BPT - FTP - MGT</v>
      </c>
      <c r="V1864" s="12" t="s">
        <v>104</v>
      </c>
      <c r="W1864" s="12" t="s">
        <v>938</v>
      </c>
      <c r="X1864" s="12" t="s">
        <v>114</v>
      </c>
      <c r="Y1864" s="12" t="s">
        <v>1038</v>
      </c>
      <c r="AJ1864"/>
      <c r="AK1864"/>
    </row>
    <row r="1865" spans="18:37" ht="14">
      <c r="R1865" s="14">
        <v>93806</v>
      </c>
      <c r="S1865" s="14" t="s">
        <v>943</v>
      </c>
      <c r="T1865" s="12" t="s">
        <v>139</v>
      </c>
      <c r="U1865" s="15" t="str">
        <f t="shared" si="41"/>
        <v>Solutioning - BPT - FTP - SMGT</v>
      </c>
      <c r="V1865" s="12" t="s">
        <v>104</v>
      </c>
      <c r="W1865" s="12" t="s">
        <v>938</v>
      </c>
      <c r="X1865" s="12" t="s">
        <v>114</v>
      </c>
      <c r="Y1865" s="12" t="s">
        <v>1038</v>
      </c>
      <c r="AJ1865"/>
      <c r="AK1865"/>
    </row>
    <row r="1866" spans="18:37" ht="14">
      <c r="R1866" s="14">
        <v>93806</v>
      </c>
      <c r="S1866" s="14" t="s">
        <v>943</v>
      </c>
      <c r="T1866" s="12" t="s">
        <v>145</v>
      </c>
      <c r="U1866" s="15" t="str">
        <f t="shared" si="41"/>
        <v>Solutioning - BPT - FTP - SUP</v>
      </c>
      <c r="V1866" s="12" t="s">
        <v>104</v>
      </c>
      <c r="W1866" s="12" t="s">
        <v>938</v>
      </c>
      <c r="X1866" s="12" t="s">
        <v>114</v>
      </c>
      <c r="Y1866" s="12" t="s">
        <v>1038</v>
      </c>
      <c r="AJ1866"/>
      <c r="AK1866"/>
    </row>
    <row r="1867" spans="18:37" ht="14">
      <c r="R1867" s="14">
        <v>93807</v>
      </c>
      <c r="S1867" s="14" t="s">
        <v>947</v>
      </c>
      <c r="T1867" s="12" t="s">
        <v>129</v>
      </c>
      <c r="U1867" s="15" t="str">
        <f t="shared" si="41"/>
        <v>Solutioning - CET - MGT</v>
      </c>
      <c r="V1867" s="12" t="s">
        <v>104</v>
      </c>
      <c r="W1867" s="12" t="s">
        <v>938</v>
      </c>
      <c r="X1867" s="12" t="s">
        <v>114</v>
      </c>
      <c r="Y1867" s="12" t="s">
        <v>1038</v>
      </c>
      <c r="AJ1867"/>
      <c r="AK1867"/>
    </row>
    <row r="1868" spans="18:37" ht="14">
      <c r="R1868" s="14">
        <v>93807</v>
      </c>
      <c r="S1868" s="14" t="s">
        <v>947</v>
      </c>
      <c r="T1868" s="12" t="s">
        <v>139</v>
      </c>
      <c r="U1868" s="15" t="str">
        <f t="shared" si="41"/>
        <v>Solutioning - CET - SMGT</v>
      </c>
      <c r="V1868" s="12" t="s">
        <v>104</v>
      </c>
      <c r="W1868" s="12" t="s">
        <v>938</v>
      </c>
      <c r="X1868" s="12" t="s">
        <v>114</v>
      </c>
      <c r="Y1868" s="12" t="s">
        <v>1038</v>
      </c>
      <c r="AJ1868"/>
      <c r="AK1868"/>
    </row>
    <row r="1869" spans="18:37" ht="14">
      <c r="R1869" s="14">
        <v>93807</v>
      </c>
      <c r="S1869" s="14" t="s">
        <v>947</v>
      </c>
      <c r="T1869" s="12" t="s">
        <v>145</v>
      </c>
      <c r="U1869" s="15" t="str">
        <f t="shared" si="41"/>
        <v>Solutioning - CET - SUP</v>
      </c>
      <c r="V1869" s="12" t="s">
        <v>104</v>
      </c>
      <c r="W1869" s="12" t="s">
        <v>938</v>
      </c>
      <c r="X1869" s="12" t="s">
        <v>114</v>
      </c>
      <c r="Y1869" s="12" t="s">
        <v>1038</v>
      </c>
      <c r="AJ1869"/>
      <c r="AK1869"/>
    </row>
    <row r="1870" spans="18:37" ht="14">
      <c r="R1870" s="14">
        <v>93802</v>
      </c>
      <c r="S1870" s="14" t="s">
        <v>949</v>
      </c>
      <c r="T1870" s="12" t="s">
        <v>121</v>
      </c>
      <c r="U1870" s="15" t="str">
        <f t="shared" si="41"/>
        <v>Solutioning - Pricing - F&amp;A</v>
      </c>
      <c r="V1870" s="12" t="s">
        <v>104</v>
      </c>
      <c r="W1870" s="12" t="s">
        <v>938</v>
      </c>
      <c r="X1870" s="12" t="s">
        <v>114</v>
      </c>
      <c r="Y1870" s="12" t="s">
        <v>1038</v>
      </c>
      <c r="AJ1870"/>
      <c r="AK1870"/>
    </row>
    <row r="1871" spans="18:37" ht="14">
      <c r="R1871" s="14">
        <v>93802</v>
      </c>
      <c r="S1871" s="14" t="s">
        <v>949</v>
      </c>
      <c r="T1871" s="12" t="s">
        <v>129</v>
      </c>
      <c r="U1871" s="15" t="str">
        <f t="shared" si="41"/>
        <v>Solutioning - Pricing - MGT</v>
      </c>
      <c r="V1871" s="12" t="s">
        <v>104</v>
      </c>
      <c r="W1871" s="12" t="s">
        <v>938</v>
      </c>
      <c r="X1871" s="12" t="s">
        <v>114</v>
      </c>
      <c r="Y1871" s="12" t="s">
        <v>1038</v>
      </c>
      <c r="AJ1871"/>
      <c r="AK1871"/>
    </row>
    <row r="1872" spans="18:37" ht="14">
      <c r="R1872" s="14">
        <v>93802</v>
      </c>
      <c r="S1872" s="14" t="s">
        <v>949</v>
      </c>
      <c r="T1872" s="12" t="s">
        <v>139</v>
      </c>
      <c r="U1872" s="15" t="str">
        <f t="shared" si="41"/>
        <v>Solutioning - Pricing - SMGT</v>
      </c>
      <c r="V1872" s="12" t="s">
        <v>104</v>
      </c>
      <c r="W1872" s="12" t="s">
        <v>938</v>
      </c>
      <c r="X1872" s="12" t="s">
        <v>114</v>
      </c>
      <c r="Y1872" s="12" t="s">
        <v>1038</v>
      </c>
      <c r="AJ1872"/>
      <c r="AK1872"/>
    </row>
    <row r="1873" spans="18:37" ht="14">
      <c r="R1873" s="14">
        <v>93802</v>
      </c>
      <c r="S1873" s="14" t="s">
        <v>949</v>
      </c>
      <c r="T1873" s="12" t="s">
        <v>145</v>
      </c>
      <c r="U1873" s="15" t="str">
        <f t="shared" si="41"/>
        <v>Solutioning - Pricing - SUP</v>
      </c>
      <c r="V1873" s="12" t="s">
        <v>104</v>
      </c>
      <c r="W1873" s="12" t="s">
        <v>938</v>
      </c>
      <c r="X1873" s="12" t="s">
        <v>114</v>
      </c>
      <c r="Y1873" s="12" t="s">
        <v>1038</v>
      </c>
      <c r="AJ1873"/>
      <c r="AK1873"/>
    </row>
    <row r="1874" spans="18:37" ht="14">
      <c r="R1874" s="14">
        <v>93803</v>
      </c>
      <c r="S1874" s="14" t="s">
        <v>951</v>
      </c>
      <c r="T1874" s="12" t="s">
        <v>835</v>
      </c>
      <c r="U1874" s="15" t="str">
        <f t="shared" si="41"/>
        <v>Solutioning - TnT - BTG</v>
      </c>
      <c r="V1874" s="12" t="s">
        <v>104</v>
      </c>
      <c r="W1874" s="12" t="s">
        <v>938</v>
      </c>
      <c r="X1874" s="12" t="s">
        <v>114</v>
      </c>
      <c r="Y1874" s="12" t="s">
        <v>1038</v>
      </c>
      <c r="AJ1874"/>
      <c r="AK1874"/>
    </row>
    <row r="1875" spans="18:37" ht="14">
      <c r="R1875" s="14">
        <v>93803</v>
      </c>
      <c r="S1875" s="14" t="s">
        <v>951</v>
      </c>
      <c r="T1875" s="12" t="s">
        <v>129</v>
      </c>
      <c r="U1875" s="15" t="str">
        <f t="shared" si="41"/>
        <v>Solutioning - TnT - MGT</v>
      </c>
      <c r="V1875" s="12" t="s">
        <v>104</v>
      </c>
      <c r="W1875" s="12" t="s">
        <v>938</v>
      </c>
      <c r="X1875" s="12" t="s">
        <v>114</v>
      </c>
      <c r="Y1875" s="12" t="s">
        <v>1038</v>
      </c>
      <c r="AJ1875"/>
      <c r="AK1875"/>
    </row>
    <row r="1876" spans="18:37" ht="14">
      <c r="R1876" s="14">
        <v>93803</v>
      </c>
      <c r="S1876" s="14" t="s">
        <v>951</v>
      </c>
      <c r="T1876" s="12" t="s">
        <v>145</v>
      </c>
      <c r="U1876" s="15" t="str">
        <f t="shared" si="41"/>
        <v>Solutioning - TnT - SUP</v>
      </c>
      <c r="V1876" s="12" t="s">
        <v>104</v>
      </c>
      <c r="W1876" s="12" t="s">
        <v>938</v>
      </c>
      <c r="X1876" s="12" t="s">
        <v>114</v>
      </c>
      <c r="Y1876" s="12" t="s">
        <v>1038</v>
      </c>
      <c r="AJ1876"/>
      <c r="AK1876"/>
    </row>
    <row r="1877" spans="18:37" ht="14">
      <c r="R1877" s="14">
        <v>93899</v>
      </c>
      <c r="S1877" s="14" t="s">
        <v>952</v>
      </c>
      <c r="T1877" s="12" t="s">
        <v>352</v>
      </c>
      <c r="U1877" s="15" t="str">
        <f t="shared" si="41"/>
        <v>Solutioning Common - EAT</v>
      </c>
      <c r="V1877" s="12" t="s">
        <v>104</v>
      </c>
      <c r="W1877" s="12" t="s">
        <v>938</v>
      </c>
      <c r="X1877" s="12" t="s">
        <v>114</v>
      </c>
      <c r="Y1877" s="12" t="s">
        <v>1038</v>
      </c>
      <c r="AJ1877"/>
      <c r="AK1877"/>
    </row>
    <row r="1878" spans="18:37" ht="14">
      <c r="R1878" s="14">
        <v>93899</v>
      </c>
      <c r="S1878" s="14" t="s">
        <v>952</v>
      </c>
      <c r="T1878" s="12" t="s">
        <v>145</v>
      </c>
      <c r="U1878" s="15" t="str">
        <f t="shared" si="41"/>
        <v>Solutioning Common - SUP</v>
      </c>
      <c r="V1878" s="12" t="s">
        <v>104</v>
      </c>
      <c r="W1878" s="12" t="s">
        <v>938</v>
      </c>
      <c r="X1878" s="12" t="s">
        <v>114</v>
      </c>
      <c r="Y1878" s="12" t="s">
        <v>1038</v>
      </c>
      <c r="AJ1878"/>
      <c r="AK1878"/>
    </row>
    <row r="1879" spans="18:37" ht="14">
      <c r="R1879" s="14">
        <v>93822</v>
      </c>
      <c r="S1879" s="14" t="s">
        <v>972</v>
      </c>
      <c r="T1879" s="12" t="s">
        <v>129</v>
      </c>
      <c r="U1879" s="15" t="str">
        <f t="shared" si="41"/>
        <v>Solutions - Banking &amp; Finance - MGT</v>
      </c>
      <c r="V1879" s="12" t="s">
        <v>104</v>
      </c>
      <c r="W1879" s="12" t="s">
        <v>938</v>
      </c>
      <c r="X1879" s="12" t="s">
        <v>114</v>
      </c>
      <c r="Y1879" s="12" t="s">
        <v>1038</v>
      </c>
      <c r="AJ1879"/>
      <c r="AK1879"/>
    </row>
    <row r="1880" spans="18:37" ht="14">
      <c r="R1880" s="14">
        <v>93823</v>
      </c>
      <c r="S1880" s="14" t="s">
        <v>973</v>
      </c>
      <c r="T1880" s="12" t="s">
        <v>145</v>
      </c>
      <c r="U1880" s="15" t="str">
        <f t="shared" si="41"/>
        <v>Solutions – CME - SUP</v>
      </c>
      <c r="V1880" s="12" t="s">
        <v>104</v>
      </c>
      <c r="W1880" s="12" t="s">
        <v>938</v>
      </c>
      <c r="X1880" s="12" t="s">
        <v>114</v>
      </c>
      <c r="Y1880" s="12" t="s">
        <v>1038</v>
      </c>
      <c r="AJ1880"/>
      <c r="AK1880"/>
    </row>
    <row r="1881" spans="18:37" ht="14">
      <c r="R1881" s="14">
        <v>93824</v>
      </c>
      <c r="S1881" s="14" t="s">
        <v>975</v>
      </c>
      <c r="T1881" s="12" t="s">
        <v>139</v>
      </c>
      <c r="U1881" s="15" t="str">
        <f t="shared" si="41"/>
        <v>Solutions - Enterprise - SMGT</v>
      </c>
      <c r="V1881" s="12" t="s">
        <v>104</v>
      </c>
      <c r="W1881" s="12" t="s">
        <v>938</v>
      </c>
      <c r="X1881" s="12" t="s">
        <v>114</v>
      </c>
      <c r="Y1881" s="12" t="s">
        <v>1038</v>
      </c>
      <c r="AJ1881"/>
      <c r="AK1881"/>
    </row>
    <row r="1882" spans="18:37" ht="14">
      <c r="R1882" s="14">
        <v>93832</v>
      </c>
      <c r="S1882" s="14" t="s">
        <v>979</v>
      </c>
      <c r="T1882" s="12" t="s">
        <v>129</v>
      </c>
      <c r="U1882" s="15" t="str">
        <f t="shared" si="41"/>
        <v>Solutions - IA - MGT</v>
      </c>
      <c r="V1882" s="12" t="s">
        <v>117</v>
      </c>
      <c r="W1882" s="12" t="s">
        <v>117</v>
      </c>
      <c r="X1882" s="12" t="s">
        <v>117</v>
      </c>
      <c r="Y1882" s="12" t="s">
        <v>1038</v>
      </c>
      <c r="AJ1882"/>
      <c r="AK1882"/>
    </row>
    <row r="1883" spans="18:37" ht="14">
      <c r="R1883" s="14">
        <v>93826</v>
      </c>
      <c r="S1883" s="14" t="s">
        <v>976</v>
      </c>
      <c r="T1883" s="12" t="s">
        <v>129</v>
      </c>
      <c r="U1883" s="15" t="str">
        <f t="shared" si="41"/>
        <v>Solutions - Insurance - MGT</v>
      </c>
      <c r="V1883" s="12" t="s">
        <v>104</v>
      </c>
      <c r="W1883" s="12" t="s">
        <v>938</v>
      </c>
      <c r="X1883" s="12" t="s">
        <v>114</v>
      </c>
      <c r="Y1883" s="12" t="s">
        <v>1038</v>
      </c>
      <c r="AJ1883"/>
      <c r="AK1883"/>
    </row>
    <row r="1884" spans="18:37" ht="14">
      <c r="R1884" s="14">
        <v>93827</v>
      </c>
      <c r="S1884" s="14" t="s">
        <v>977</v>
      </c>
      <c r="T1884" s="12" t="s">
        <v>145</v>
      </c>
      <c r="U1884" s="15" t="str">
        <f t="shared" si="41"/>
        <v>Solutions - Mortgage - SUP</v>
      </c>
      <c r="V1884" s="12" t="s">
        <v>104</v>
      </c>
      <c r="W1884" s="12" t="s">
        <v>938</v>
      </c>
      <c r="X1884" s="12" t="s">
        <v>114</v>
      </c>
      <c r="Y1884" s="12" t="s">
        <v>1038</v>
      </c>
      <c r="AJ1884"/>
      <c r="AK1884"/>
    </row>
    <row r="1885" spans="18:37" ht="14">
      <c r="R1885" s="14">
        <v>93829</v>
      </c>
      <c r="S1885" s="14" t="s">
        <v>978</v>
      </c>
      <c r="T1885" s="12" t="s">
        <v>129</v>
      </c>
      <c r="U1885" s="15" t="str">
        <f t="shared" si="41"/>
        <v>Solutions – Technology - MGT</v>
      </c>
      <c r="V1885" s="12" t="s">
        <v>104</v>
      </c>
      <c r="W1885" s="12" t="s">
        <v>938</v>
      </c>
      <c r="X1885" s="12" t="s">
        <v>114</v>
      </c>
      <c r="Y1885" s="12" t="s">
        <v>1038</v>
      </c>
      <c r="AJ1885"/>
      <c r="AK1885"/>
    </row>
    <row r="1886" spans="18:37" ht="14">
      <c r="R1886" s="14">
        <v>93814</v>
      </c>
      <c r="S1886" s="14" t="s">
        <v>970</v>
      </c>
      <c r="T1886" s="12" t="s">
        <v>145</v>
      </c>
      <c r="U1886" s="15" t="str">
        <f t="shared" si="41"/>
        <v>Solutions Insights - SUP</v>
      </c>
      <c r="V1886" s="12" t="s">
        <v>104</v>
      </c>
      <c r="W1886" s="12" t="s">
        <v>938</v>
      </c>
      <c r="X1886" s="12" t="s">
        <v>114</v>
      </c>
      <c r="Y1886" s="12" t="s">
        <v>1038</v>
      </c>
      <c r="AJ1886"/>
      <c r="AK1886"/>
    </row>
    <row r="1887" spans="18:37" ht="14">
      <c r="R1887" s="14">
        <v>93821</v>
      </c>
      <c r="S1887" s="14" t="s">
        <v>971</v>
      </c>
      <c r="T1887" s="12" t="s">
        <v>145</v>
      </c>
      <c r="U1887" s="15" t="str">
        <f t="shared" si="41"/>
        <v>Solutions Travel - SUP</v>
      </c>
      <c r="V1887" s="12" t="s">
        <v>104</v>
      </c>
      <c r="W1887" s="12" t="s">
        <v>938</v>
      </c>
      <c r="X1887" s="12" t="s">
        <v>114</v>
      </c>
      <c r="Y1887" s="12" t="s">
        <v>1038</v>
      </c>
      <c r="AJ1887"/>
      <c r="AK1887"/>
    </row>
    <row r="1888" spans="18:37" ht="14">
      <c r="R1888" s="14">
        <v>51239</v>
      </c>
      <c r="S1888" s="14" t="s">
        <v>1078</v>
      </c>
      <c r="T1888" s="12" t="s">
        <v>116</v>
      </c>
      <c r="U1888" s="15" t="str">
        <f t="shared" si="41"/>
        <v>SouthwestGasCloudtestr - PRD</v>
      </c>
      <c r="V1888" s="12" t="s">
        <v>117</v>
      </c>
      <c r="W1888" s="12" t="s">
        <v>117</v>
      </c>
      <c r="X1888" s="12" t="s">
        <v>117</v>
      </c>
      <c r="Y1888" s="12" t="s">
        <v>1038</v>
      </c>
      <c r="AJ1888"/>
      <c r="AK1888"/>
    </row>
    <row r="1889" spans="18:37" ht="14">
      <c r="R1889" s="14">
        <v>51041</v>
      </c>
      <c r="S1889" s="14" t="s">
        <v>690</v>
      </c>
      <c r="T1889" s="12" t="s">
        <v>116</v>
      </c>
      <c r="U1889" s="15" t="str">
        <f t="shared" si="41"/>
        <v>SOXComplianceExtendedTeam - PRD</v>
      </c>
      <c r="V1889" s="12" t="s">
        <v>117</v>
      </c>
      <c r="W1889" s="12" t="s">
        <v>117</v>
      </c>
      <c r="X1889" s="12" t="s">
        <v>117</v>
      </c>
      <c r="Y1889" s="12" t="s">
        <v>1038</v>
      </c>
      <c r="AJ1889"/>
      <c r="AK1889"/>
    </row>
    <row r="1890" spans="18:37" ht="14">
      <c r="R1890" s="14">
        <v>10666</v>
      </c>
      <c r="S1890" s="14" t="s">
        <v>297</v>
      </c>
      <c r="T1890" s="12" t="s">
        <v>116</v>
      </c>
      <c r="U1890" s="15" t="str">
        <f t="shared" si="41"/>
        <v>SpiceJet - PRA - PRD</v>
      </c>
      <c r="V1890" s="12" t="s">
        <v>126</v>
      </c>
      <c r="W1890" s="12" t="s">
        <v>127</v>
      </c>
      <c r="X1890" s="12" t="s">
        <v>128</v>
      </c>
      <c r="Y1890" s="12" t="s">
        <v>1038</v>
      </c>
      <c r="AJ1890"/>
      <c r="AK1890"/>
    </row>
    <row r="1891" spans="18:37" ht="14">
      <c r="R1891" s="14">
        <v>10947</v>
      </c>
      <c r="S1891" s="14" t="s">
        <v>485</v>
      </c>
      <c r="T1891" s="12" t="s">
        <v>116</v>
      </c>
      <c r="U1891" s="15" t="str">
        <f t="shared" si="41"/>
        <v>Spotify DES Cust Cost JC - PRD</v>
      </c>
      <c r="V1891" s="12" t="s">
        <v>117</v>
      </c>
      <c r="W1891" s="12" t="s">
        <v>117</v>
      </c>
      <c r="X1891" s="12" t="s">
        <v>117</v>
      </c>
      <c r="Y1891" s="12" t="s">
        <v>1038</v>
      </c>
      <c r="AJ1891"/>
      <c r="AK1891"/>
    </row>
    <row r="1892" spans="18:37" ht="14">
      <c r="R1892" s="14">
        <v>10735</v>
      </c>
      <c r="S1892" s="14" t="s">
        <v>346</v>
      </c>
      <c r="T1892" s="12" t="s">
        <v>133</v>
      </c>
      <c r="U1892" s="15" t="str">
        <f t="shared" si="41"/>
        <v>SPOTIFY HYD - AMG</v>
      </c>
      <c r="V1892" s="12" t="s">
        <v>126</v>
      </c>
      <c r="W1892" s="12" t="s">
        <v>127</v>
      </c>
      <c r="X1892" s="12" t="s">
        <v>128</v>
      </c>
      <c r="Y1892" s="12" t="s">
        <v>1038</v>
      </c>
      <c r="AJ1892"/>
      <c r="AK1892"/>
    </row>
    <row r="1893" spans="18:37" ht="14">
      <c r="R1893" s="14">
        <v>10735</v>
      </c>
      <c r="S1893" s="14" t="s">
        <v>346</v>
      </c>
      <c r="T1893" s="12" t="s">
        <v>150</v>
      </c>
      <c r="U1893" s="15" t="str">
        <f t="shared" si="41"/>
        <v>SPOTIFY HYD - CCS</v>
      </c>
      <c r="V1893" s="12" t="s">
        <v>126</v>
      </c>
      <c r="W1893" s="12" t="s">
        <v>127</v>
      </c>
      <c r="X1893" s="12" t="s">
        <v>128</v>
      </c>
      <c r="Y1893" s="12" t="s">
        <v>1038</v>
      </c>
      <c r="AJ1893"/>
      <c r="AK1893"/>
    </row>
    <row r="1894" spans="18:37" ht="14">
      <c r="R1894" s="14">
        <v>10735</v>
      </c>
      <c r="S1894" s="14" t="s">
        <v>346</v>
      </c>
      <c r="T1894" s="12" t="s">
        <v>161</v>
      </c>
      <c r="U1894" s="15" t="str">
        <f t="shared" si="41"/>
        <v>SPOTIFY HYD - ECC</v>
      </c>
      <c r="V1894" s="12" t="s">
        <v>126</v>
      </c>
      <c r="W1894" s="12" t="s">
        <v>127</v>
      </c>
      <c r="X1894" s="12" t="s">
        <v>128</v>
      </c>
      <c r="Y1894" s="12" t="s">
        <v>1038</v>
      </c>
      <c r="AJ1894"/>
      <c r="AK1894"/>
    </row>
    <row r="1895" spans="18:37" ht="14">
      <c r="R1895" s="14">
        <v>10735</v>
      </c>
      <c r="S1895" s="14" t="s">
        <v>346</v>
      </c>
      <c r="T1895" s="12" t="s">
        <v>129</v>
      </c>
      <c r="U1895" s="15" t="str">
        <f t="shared" si="41"/>
        <v>SPOTIFY HYD - MGT</v>
      </c>
      <c r="V1895" s="12" t="s">
        <v>126</v>
      </c>
      <c r="W1895" s="12" t="s">
        <v>127</v>
      </c>
      <c r="X1895" s="12" t="s">
        <v>128</v>
      </c>
      <c r="Y1895" s="12" t="s">
        <v>1038</v>
      </c>
      <c r="AJ1895"/>
      <c r="AK1895"/>
    </row>
    <row r="1896" spans="18:37" ht="14">
      <c r="R1896" s="14">
        <v>10735</v>
      </c>
      <c r="S1896" s="14" t="s">
        <v>346</v>
      </c>
      <c r="T1896" s="12" t="s">
        <v>116</v>
      </c>
      <c r="U1896" s="15" t="str">
        <f t="shared" si="41"/>
        <v>SPOTIFY HYD - PRD</v>
      </c>
      <c r="V1896" s="12" t="s">
        <v>126</v>
      </c>
      <c r="W1896" s="12" t="s">
        <v>127</v>
      </c>
      <c r="X1896" s="12" t="s">
        <v>128</v>
      </c>
      <c r="Y1896" s="12" t="s">
        <v>1038</v>
      </c>
      <c r="AJ1896"/>
      <c r="AK1896"/>
    </row>
    <row r="1897" spans="18:37" ht="14">
      <c r="R1897" s="14">
        <v>10735</v>
      </c>
      <c r="S1897" s="14" t="s">
        <v>346</v>
      </c>
      <c r="T1897" s="12" t="s">
        <v>111</v>
      </c>
      <c r="U1897" s="15" t="str">
        <f t="shared" si="41"/>
        <v>SPOTIFY HYD - QLY</v>
      </c>
      <c r="V1897" s="12" t="s">
        <v>112</v>
      </c>
      <c r="W1897" s="12" t="s">
        <v>113</v>
      </c>
      <c r="X1897" s="12" t="s">
        <v>114</v>
      </c>
      <c r="Y1897" s="12" t="s">
        <v>1038</v>
      </c>
      <c r="AJ1897"/>
      <c r="AK1897"/>
    </row>
    <row r="1898" spans="18:37" ht="14">
      <c r="R1898" s="14">
        <v>10735</v>
      </c>
      <c r="S1898" s="14" t="s">
        <v>346</v>
      </c>
      <c r="T1898" s="12" t="s">
        <v>119</v>
      </c>
      <c r="U1898" s="15" t="str">
        <f t="shared" si="41"/>
        <v>SPOTIFY HYD - SQM</v>
      </c>
      <c r="V1898" s="12" t="s">
        <v>112</v>
      </c>
      <c r="W1898" s="12" t="s">
        <v>113</v>
      </c>
      <c r="X1898" s="12" t="s">
        <v>114</v>
      </c>
      <c r="Y1898" s="12" t="s">
        <v>1038</v>
      </c>
      <c r="AJ1898"/>
      <c r="AK1898"/>
    </row>
    <row r="1899" spans="18:37" ht="14">
      <c r="R1899" s="14">
        <v>10735</v>
      </c>
      <c r="S1899" s="14" t="s">
        <v>346</v>
      </c>
      <c r="T1899" s="12" t="s">
        <v>145</v>
      </c>
      <c r="U1899" s="15" t="str">
        <f t="shared" si="41"/>
        <v>SPOTIFY HYD - SUP</v>
      </c>
      <c r="V1899" s="12" t="s">
        <v>126</v>
      </c>
      <c r="W1899" s="12" t="s">
        <v>127</v>
      </c>
      <c r="X1899" s="12" t="s">
        <v>128</v>
      </c>
      <c r="Y1899" s="12" t="s">
        <v>1038</v>
      </c>
      <c r="AJ1899"/>
      <c r="AK1899"/>
    </row>
    <row r="1900" spans="18:37" ht="14">
      <c r="R1900" s="14">
        <v>10735</v>
      </c>
      <c r="S1900" s="14" t="s">
        <v>346</v>
      </c>
      <c r="T1900" s="12" t="s">
        <v>180</v>
      </c>
      <c r="U1900" s="15" t="str">
        <f t="shared" si="41"/>
        <v>SPOTIFY HYD - TMG</v>
      </c>
      <c r="V1900" s="12" t="s">
        <v>126</v>
      </c>
      <c r="W1900" s="12" t="s">
        <v>127</v>
      </c>
      <c r="X1900" s="12" t="s">
        <v>128</v>
      </c>
      <c r="Y1900" s="12" t="s">
        <v>1038</v>
      </c>
      <c r="AJ1900"/>
      <c r="AK1900"/>
    </row>
    <row r="1901" spans="18:37" ht="14">
      <c r="R1901" s="14">
        <v>10735</v>
      </c>
      <c r="S1901" s="14" t="s">
        <v>346</v>
      </c>
      <c r="T1901" s="12" t="s">
        <v>185</v>
      </c>
      <c r="U1901" s="15" t="str">
        <f t="shared" si="41"/>
        <v>SPOTIFY HYD - TPS</v>
      </c>
      <c r="V1901" s="12" t="s">
        <v>126</v>
      </c>
      <c r="W1901" s="12" t="s">
        <v>127</v>
      </c>
      <c r="X1901" s="12" t="s">
        <v>128</v>
      </c>
      <c r="Y1901" s="12" t="s">
        <v>1038</v>
      </c>
      <c r="AJ1901"/>
      <c r="AK1901"/>
    </row>
    <row r="1902" spans="18:37" ht="14">
      <c r="R1902" s="14">
        <v>10735</v>
      </c>
      <c r="S1902" s="14" t="s">
        <v>346</v>
      </c>
      <c r="T1902" s="12" t="s">
        <v>203</v>
      </c>
      <c r="U1902" s="15" t="str">
        <f t="shared" si="41"/>
        <v>SPOTIFY HYD - TRG</v>
      </c>
      <c r="V1902" s="12" t="s">
        <v>112</v>
      </c>
      <c r="W1902" s="12" t="s">
        <v>204</v>
      </c>
      <c r="X1902" s="12" t="s">
        <v>205</v>
      </c>
      <c r="Y1902" s="12" t="s">
        <v>1038</v>
      </c>
      <c r="AJ1902"/>
      <c r="AK1902"/>
    </row>
    <row r="1903" spans="18:37" ht="14">
      <c r="R1903" s="14">
        <v>10735</v>
      </c>
      <c r="S1903" s="14" t="s">
        <v>346</v>
      </c>
      <c r="T1903" s="12" t="s">
        <v>208</v>
      </c>
      <c r="U1903" s="15" t="str">
        <f t="shared" si="41"/>
        <v>SPOTIFY HYD - TTR</v>
      </c>
      <c r="V1903" s="12" t="s">
        <v>112</v>
      </c>
      <c r="W1903" s="12" t="s">
        <v>204</v>
      </c>
      <c r="X1903" s="12" t="s">
        <v>205</v>
      </c>
      <c r="Y1903" s="12" t="s">
        <v>1038</v>
      </c>
      <c r="AJ1903"/>
      <c r="AK1903"/>
    </row>
    <row r="1904" spans="18:37" ht="14">
      <c r="R1904" s="14">
        <v>25308</v>
      </c>
      <c r="S1904" s="14" t="s">
        <v>648</v>
      </c>
      <c r="T1904" s="12" t="s">
        <v>230</v>
      </c>
      <c r="U1904" s="15" t="str">
        <f t="shared" si="41"/>
        <v>Spotify PHL Eng Email Support - PRSP</v>
      </c>
      <c r="V1904" s="12" t="s">
        <v>112</v>
      </c>
      <c r="W1904" s="12" t="s">
        <v>1006</v>
      </c>
      <c r="X1904" s="12" t="s">
        <v>114</v>
      </c>
      <c r="Y1904" s="12" t="s">
        <v>1038</v>
      </c>
      <c r="AJ1904"/>
      <c r="AK1904"/>
    </row>
    <row r="1905" spans="18:37" ht="14">
      <c r="R1905" s="14">
        <v>86223</v>
      </c>
      <c r="S1905" s="14" t="s">
        <v>891</v>
      </c>
      <c r="T1905" s="12" t="s">
        <v>129</v>
      </c>
      <c r="U1905" s="15" t="str">
        <f t="shared" si="41"/>
        <v>SQMS - PH Quality - MGT</v>
      </c>
      <c r="V1905" s="12" t="s">
        <v>112</v>
      </c>
      <c r="W1905" s="12" t="s">
        <v>113</v>
      </c>
      <c r="X1905" s="12" t="s">
        <v>114</v>
      </c>
      <c r="Y1905" s="12" t="s">
        <v>1038</v>
      </c>
      <c r="AJ1905"/>
      <c r="AK1905"/>
    </row>
    <row r="1906" spans="18:37" ht="14">
      <c r="R1906" s="14">
        <v>86223</v>
      </c>
      <c r="S1906" s="14" t="s">
        <v>891</v>
      </c>
      <c r="T1906" s="12" t="s">
        <v>111</v>
      </c>
      <c r="U1906" s="15" t="str">
        <f t="shared" si="41"/>
        <v>SQMS - PH Quality - QLY</v>
      </c>
      <c r="V1906" s="12" t="s">
        <v>112</v>
      </c>
      <c r="W1906" s="12" t="s">
        <v>113</v>
      </c>
      <c r="X1906" s="12" t="s">
        <v>114</v>
      </c>
      <c r="Y1906" s="12" t="s">
        <v>1038</v>
      </c>
      <c r="AJ1906"/>
      <c r="AK1906"/>
    </row>
    <row r="1907" spans="18:37" ht="14">
      <c r="R1907" s="14">
        <v>86223</v>
      </c>
      <c r="S1907" s="14" t="s">
        <v>891</v>
      </c>
      <c r="T1907" s="12" t="s">
        <v>145</v>
      </c>
      <c r="U1907" s="15" t="str">
        <f t="shared" si="41"/>
        <v>SQMS - PH Quality - SUP</v>
      </c>
      <c r="V1907" s="12" t="s">
        <v>112</v>
      </c>
      <c r="W1907" s="12" t="s">
        <v>113</v>
      </c>
      <c r="X1907" s="12" t="s">
        <v>114</v>
      </c>
      <c r="Y1907" s="12" t="s">
        <v>1038</v>
      </c>
      <c r="AJ1907"/>
      <c r="AK1907"/>
    </row>
    <row r="1908" spans="18:37" ht="14">
      <c r="R1908" s="14">
        <v>86224</v>
      </c>
      <c r="S1908" s="14" t="s">
        <v>892</v>
      </c>
      <c r="T1908" s="12" t="s">
        <v>129</v>
      </c>
      <c r="U1908" s="15" t="str">
        <f t="shared" si="41"/>
        <v>SQMS - PP Quality - MGT</v>
      </c>
      <c r="V1908" s="12" t="s">
        <v>112</v>
      </c>
      <c r="W1908" s="12" t="s">
        <v>113</v>
      </c>
      <c r="X1908" s="12" t="s">
        <v>114</v>
      </c>
      <c r="Y1908" s="12" t="s">
        <v>1038</v>
      </c>
      <c r="AJ1908"/>
      <c r="AK1908"/>
    </row>
    <row r="1909" spans="18:37" ht="14">
      <c r="R1909" s="14">
        <v>86224</v>
      </c>
      <c r="S1909" s="14" t="s">
        <v>892</v>
      </c>
      <c r="T1909" s="12" t="s">
        <v>111</v>
      </c>
      <c r="U1909" s="15" t="str">
        <f t="shared" si="41"/>
        <v>SQMS - PP Quality - QLY</v>
      </c>
      <c r="V1909" s="12" t="s">
        <v>112</v>
      </c>
      <c r="W1909" s="12" t="s">
        <v>113</v>
      </c>
      <c r="X1909" s="12" t="s">
        <v>114</v>
      </c>
      <c r="Y1909" s="12" t="s">
        <v>1038</v>
      </c>
      <c r="AJ1909"/>
      <c r="AK1909"/>
    </row>
    <row r="1910" spans="18:37" ht="14">
      <c r="R1910" s="14">
        <v>86224</v>
      </c>
      <c r="S1910" s="14" t="s">
        <v>892</v>
      </c>
      <c r="T1910" s="12" t="s">
        <v>119</v>
      </c>
      <c r="U1910" s="15" t="str">
        <f t="shared" si="41"/>
        <v>SQMS - PP Quality - SQM</v>
      </c>
      <c r="V1910" s="12" t="s">
        <v>112</v>
      </c>
      <c r="W1910" s="12" t="s">
        <v>113</v>
      </c>
      <c r="X1910" s="12" t="s">
        <v>114</v>
      </c>
      <c r="Y1910" s="12" t="s">
        <v>1038</v>
      </c>
      <c r="AJ1910"/>
      <c r="AK1910"/>
    </row>
    <row r="1911" spans="18:37" ht="14">
      <c r="R1911" s="14">
        <v>86224</v>
      </c>
      <c r="S1911" s="14" t="s">
        <v>892</v>
      </c>
      <c r="T1911" s="12" t="s">
        <v>145</v>
      </c>
      <c r="U1911" s="15" t="str">
        <f t="shared" si="41"/>
        <v>SQMS - PP Quality - SUP</v>
      </c>
      <c r="V1911" s="12" t="s">
        <v>112</v>
      </c>
      <c r="W1911" s="12" t="s">
        <v>113</v>
      </c>
      <c r="X1911" s="12" t="s">
        <v>114</v>
      </c>
      <c r="Y1911" s="12" t="s">
        <v>1038</v>
      </c>
      <c r="AJ1911"/>
      <c r="AK1911"/>
    </row>
    <row r="1912" spans="18:37" ht="14">
      <c r="R1912" s="14">
        <v>86225</v>
      </c>
      <c r="S1912" s="14" t="s">
        <v>894</v>
      </c>
      <c r="T1912" s="12" t="s">
        <v>129</v>
      </c>
      <c r="U1912" s="15" t="str">
        <f t="shared" si="41"/>
        <v>SQMS - PY Quality BLM - MGT</v>
      </c>
      <c r="V1912" s="12" t="s">
        <v>104</v>
      </c>
      <c r="W1912" s="12" t="s">
        <v>113</v>
      </c>
      <c r="X1912" s="12" t="s">
        <v>114</v>
      </c>
      <c r="Y1912" s="12" t="s">
        <v>1038</v>
      </c>
      <c r="AJ1912"/>
      <c r="AK1912"/>
    </row>
    <row r="1913" spans="18:37" ht="14">
      <c r="R1913" s="14">
        <v>86225</v>
      </c>
      <c r="S1913" s="14" t="s">
        <v>894</v>
      </c>
      <c r="T1913" s="12" t="s">
        <v>116</v>
      </c>
      <c r="U1913" s="15" t="str">
        <f t="shared" si="41"/>
        <v>SQMS - PY Quality BLM - PRD</v>
      </c>
      <c r="V1913" s="12" t="s">
        <v>104</v>
      </c>
      <c r="W1913" s="12" t="s">
        <v>113</v>
      </c>
      <c r="X1913" s="12" t="s">
        <v>114</v>
      </c>
      <c r="Y1913" s="12" t="s">
        <v>1038</v>
      </c>
      <c r="AJ1913"/>
      <c r="AK1913"/>
    </row>
    <row r="1914" spans="18:37" ht="14">
      <c r="R1914" s="14">
        <v>86225</v>
      </c>
      <c r="S1914" s="14" t="s">
        <v>894</v>
      </c>
      <c r="T1914" s="12" t="s">
        <v>111</v>
      </c>
      <c r="U1914" s="15" t="str">
        <f t="shared" si="41"/>
        <v>SQMS - PY Quality BLM - QLY</v>
      </c>
      <c r="V1914" s="12" t="s">
        <v>104</v>
      </c>
      <c r="W1914" s="12" t="s">
        <v>113</v>
      </c>
      <c r="X1914" s="12" t="s">
        <v>114</v>
      </c>
      <c r="Y1914" s="12" t="s">
        <v>1038</v>
      </c>
      <c r="AJ1914"/>
      <c r="AK1914"/>
    </row>
    <row r="1915" spans="18:37" ht="14">
      <c r="R1915" s="14">
        <v>86225</v>
      </c>
      <c r="S1915" s="14" t="s">
        <v>894</v>
      </c>
      <c r="T1915" s="12" t="s">
        <v>145</v>
      </c>
      <c r="U1915" s="15" t="str">
        <f t="shared" si="41"/>
        <v>SQMS - PY Quality BLM - SUP</v>
      </c>
      <c r="V1915" s="12" t="s">
        <v>104</v>
      </c>
      <c r="W1915" s="12" t="s">
        <v>113</v>
      </c>
      <c r="X1915" s="12" t="s">
        <v>114</v>
      </c>
      <c r="Y1915" s="12" t="s">
        <v>1038</v>
      </c>
      <c r="AJ1915"/>
      <c r="AK1915"/>
    </row>
    <row r="1916" spans="18:37" ht="14">
      <c r="R1916" s="14">
        <v>86225</v>
      </c>
      <c r="S1916" s="14" t="s">
        <v>894</v>
      </c>
      <c r="T1916" s="12" t="s">
        <v>180</v>
      </c>
      <c r="U1916" s="15" t="str">
        <f t="shared" si="41"/>
        <v>SQMS - PY Quality BLM - TMG</v>
      </c>
      <c r="V1916" s="12" t="s">
        <v>104</v>
      </c>
      <c r="W1916" s="12" t="s">
        <v>113</v>
      </c>
      <c r="X1916" s="12" t="s">
        <v>114</v>
      </c>
      <c r="Y1916" s="12" t="s">
        <v>1038</v>
      </c>
      <c r="AJ1916"/>
      <c r="AK1916"/>
    </row>
    <row r="1917" spans="18:37" ht="14">
      <c r="R1917" s="14">
        <v>86225</v>
      </c>
      <c r="S1917" s="14" t="s">
        <v>894</v>
      </c>
      <c r="T1917" s="12" t="s">
        <v>185</v>
      </c>
      <c r="U1917" s="15" t="str">
        <f t="shared" si="41"/>
        <v>SQMS - PY Quality BLM - TPS</v>
      </c>
      <c r="V1917" s="12" t="s">
        <v>104</v>
      </c>
      <c r="W1917" s="12" t="s">
        <v>113</v>
      </c>
      <c r="X1917" s="12" t="s">
        <v>114</v>
      </c>
      <c r="Y1917" s="12" t="s">
        <v>1038</v>
      </c>
      <c r="AJ1917"/>
      <c r="AK1917"/>
    </row>
    <row r="1918" spans="18:37" ht="14">
      <c r="R1918" s="14">
        <v>86226</v>
      </c>
      <c r="S1918" s="14" t="s">
        <v>895</v>
      </c>
      <c r="T1918" s="12" t="s">
        <v>129</v>
      </c>
      <c r="U1918" s="15" t="str">
        <f t="shared" si="41"/>
        <v>SQMS - PY Quality CLM - MGT</v>
      </c>
      <c r="V1918" s="12" t="s">
        <v>112</v>
      </c>
      <c r="W1918" s="12" t="s">
        <v>113</v>
      </c>
      <c r="X1918" s="12" t="s">
        <v>114</v>
      </c>
      <c r="Y1918" s="12" t="s">
        <v>1038</v>
      </c>
      <c r="AJ1918"/>
      <c r="AK1918"/>
    </row>
    <row r="1919" spans="18:37" ht="14">
      <c r="R1919" s="14">
        <v>86226</v>
      </c>
      <c r="S1919" s="14" t="s">
        <v>895</v>
      </c>
      <c r="T1919" s="12" t="s">
        <v>116</v>
      </c>
      <c r="U1919" s="15" t="str">
        <f t="shared" si="41"/>
        <v>SQMS - PY Quality CLM - PRD</v>
      </c>
      <c r="V1919" s="12" t="s">
        <v>112</v>
      </c>
      <c r="W1919" s="12" t="s">
        <v>113</v>
      </c>
      <c r="X1919" s="12" t="s">
        <v>114</v>
      </c>
      <c r="Y1919" s="12" t="s">
        <v>1038</v>
      </c>
      <c r="AJ1919"/>
      <c r="AK1919"/>
    </row>
    <row r="1920" spans="18:37" ht="14">
      <c r="R1920" s="14">
        <v>86226</v>
      </c>
      <c r="S1920" s="14" t="s">
        <v>895</v>
      </c>
      <c r="T1920" s="12" t="s">
        <v>111</v>
      </c>
      <c r="U1920" s="15" t="str">
        <f t="shared" si="41"/>
        <v>SQMS - PY Quality CLM - QLY</v>
      </c>
      <c r="V1920" s="12" t="s">
        <v>112</v>
      </c>
      <c r="W1920" s="12" t="s">
        <v>113</v>
      </c>
      <c r="X1920" s="12" t="s">
        <v>114</v>
      </c>
      <c r="Y1920" s="12" t="s">
        <v>1038</v>
      </c>
      <c r="AJ1920"/>
      <c r="AK1920"/>
    </row>
    <row r="1921" spans="18:37" ht="14">
      <c r="R1921" s="14">
        <v>86226</v>
      </c>
      <c r="S1921" s="14" t="s">
        <v>895</v>
      </c>
      <c r="T1921" s="12" t="s">
        <v>145</v>
      </c>
      <c r="U1921" s="15" t="str">
        <f t="shared" si="41"/>
        <v>SQMS - PY Quality CLM - SUP</v>
      </c>
      <c r="V1921" s="12" t="s">
        <v>112</v>
      </c>
      <c r="W1921" s="12" t="s">
        <v>113</v>
      </c>
      <c r="X1921" s="12" t="s">
        <v>114</v>
      </c>
      <c r="Y1921" s="12" t="s">
        <v>1038</v>
      </c>
      <c r="AJ1921"/>
      <c r="AK1921"/>
    </row>
    <row r="1922" spans="18:37" ht="14">
      <c r="R1922" s="14">
        <v>86226</v>
      </c>
      <c r="S1922" s="14" t="s">
        <v>895</v>
      </c>
      <c r="T1922" s="12" t="s">
        <v>185</v>
      </c>
      <c r="U1922" s="15" t="str">
        <f t="shared" si="41"/>
        <v>SQMS - PY Quality CLM - TPS</v>
      </c>
      <c r="V1922" s="12" t="s">
        <v>112</v>
      </c>
      <c r="W1922" s="12" t="s">
        <v>113</v>
      </c>
      <c r="X1922" s="12" t="s">
        <v>114</v>
      </c>
      <c r="Y1922" s="12" t="s">
        <v>1038</v>
      </c>
      <c r="AJ1922"/>
      <c r="AK1922"/>
    </row>
    <row r="1923" spans="18:37" ht="14">
      <c r="R1923" s="14">
        <v>86228</v>
      </c>
      <c r="S1923" s="14" t="s">
        <v>897</v>
      </c>
      <c r="T1923" s="12" t="s">
        <v>129</v>
      </c>
      <c r="U1923" s="15" t="str">
        <f t="shared" ref="U1923:U1986" si="42">S1923&amp;" - "&amp;T1923</f>
        <v>SQMS – Quality (SHS) - MGT</v>
      </c>
      <c r="V1923" s="12" t="s">
        <v>112</v>
      </c>
      <c r="W1923" s="12" t="s">
        <v>113</v>
      </c>
      <c r="X1923" s="12" t="s">
        <v>114</v>
      </c>
      <c r="Y1923" s="12" t="s">
        <v>1038</v>
      </c>
      <c r="AJ1923"/>
      <c r="AK1923"/>
    </row>
    <row r="1924" spans="18:37" ht="14">
      <c r="R1924" s="14">
        <v>86228</v>
      </c>
      <c r="S1924" s="14" t="s">
        <v>897</v>
      </c>
      <c r="T1924" s="12" t="s">
        <v>111</v>
      </c>
      <c r="U1924" s="15" t="str">
        <f t="shared" si="42"/>
        <v>SQMS – Quality (SHS) - QLY</v>
      </c>
      <c r="V1924" s="12" t="s">
        <v>112</v>
      </c>
      <c r="W1924" s="12" t="s">
        <v>113</v>
      </c>
      <c r="X1924" s="12" t="s">
        <v>114</v>
      </c>
      <c r="Y1924" s="12" t="s">
        <v>1038</v>
      </c>
      <c r="AJ1924"/>
      <c r="AK1924"/>
    </row>
    <row r="1925" spans="18:37" ht="14">
      <c r="R1925" s="14">
        <v>86228</v>
      </c>
      <c r="S1925" s="14" t="s">
        <v>897</v>
      </c>
      <c r="T1925" s="12" t="s">
        <v>145</v>
      </c>
      <c r="U1925" s="15" t="str">
        <f t="shared" si="42"/>
        <v>SQMS – Quality (SHS) - SUP</v>
      </c>
      <c r="V1925" s="12" t="s">
        <v>112</v>
      </c>
      <c r="W1925" s="12" t="s">
        <v>113</v>
      </c>
      <c r="X1925" s="12" t="s">
        <v>114</v>
      </c>
      <c r="Y1925" s="12" t="s">
        <v>1038</v>
      </c>
      <c r="AJ1925"/>
      <c r="AK1925"/>
    </row>
    <row r="1926" spans="18:37" ht="14">
      <c r="R1926" s="14">
        <v>12642</v>
      </c>
      <c r="S1926" s="14" t="s">
        <v>1061</v>
      </c>
      <c r="T1926" s="12" t="s">
        <v>116</v>
      </c>
      <c r="U1926" s="15" t="str">
        <f t="shared" si="42"/>
        <v>Steris  Captive BOT - PRD</v>
      </c>
      <c r="V1926" s="12" t="s">
        <v>117</v>
      </c>
      <c r="W1926" s="12" t="s">
        <v>117</v>
      </c>
      <c r="X1926" s="12" t="s">
        <v>117</v>
      </c>
      <c r="Y1926" s="12" t="s">
        <v>1038</v>
      </c>
      <c r="AJ1926"/>
      <c r="AK1926"/>
    </row>
    <row r="1927" spans="18:37" ht="14">
      <c r="R1927" s="14">
        <v>12637</v>
      </c>
      <c r="S1927" s="14" t="s">
        <v>610</v>
      </c>
      <c r="T1927" s="12" t="s">
        <v>116</v>
      </c>
      <c r="U1927" s="15" t="str">
        <f t="shared" si="42"/>
        <v>Steris - Quick Quote App - PRD</v>
      </c>
      <c r="V1927" s="12" t="s">
        <v>117</v>
      </c>
      <c r="W1927" s="12" t="s">
        <v>117</v>
      </c>
      <c r="X1927" s="12" t="s">
        <v>117</v>
      </c>
      <c r="Y1927" s="12" t="s">
        <v>1038</v>
      </c>
      <c r="AJ1927"/>
      <c r="AK1927"/>
    </row>
    <row r="1928" spans="18:37" ht="14">
      <c r="R1928" s="14">
        <v>12636</v>
      </c>
      <c r="S1928" s="14" t="s">
        <v>1059</v>
      </c>
      <c r="T1928" s="12" t="s">
        <v>193</v>
      </c>
      <c r="U1928" s="15" t="str">
        <f t="shared" si="42"/>
        <v>Steris  SharePoint Customized - DEV</v>
      </c>
      <c r="V1928" s="12" t="s">
        <v>117</v>
      </c>
      <c r="W1928" s="12" t="s">
        <v>117</v>
      </c>
      <c r="X1928" s="12" t="s">
        <v>117</v>
      </c>
      <c r="Y1928" s="12" t="s">
        <v>1038</v>
      </c>
      <c r="AJ1928"/>
      <c r="AK1928"/>
    </row>
    <row r="1929" spans="18:37" ht="14">
      <c r="R1929" s="14">
        <v>12569</v>
      </c>
      <c r="S1929" s="14" t="s">
        <v>589</v>
      </c>
      <c r="T1929" s="12" t="s">
        <v>145</v>
      </c>
      <c r="U1929" s="15" t="str">
        <f t="shared" si="42"/>
        <v>Steris IMS Development Project - SUP</v>
      </c>
      <c r="V1929" s="12" t="s">
        <v>117</v>
      </c>
      <c r="W1929" s="12" t="s">
        <v>117</v>
      </c>
      <c r="X1929" s="12" t="s">
        <v>117</v>
      </c>
      <c r="Y1929" s="12" t="s">
        <v>1038</v>
      </c>
      <c r="AJ1929"/>
      <c r="AK1929"/>
    </row>
    <row r="1930" spans="18:37" ht="14">
      <c r="R1930" s="14">
        <v>12596</v>
      </c>
      <c r="S1930" s="14" t="s">
        <v>595</v>
      </c>
      <c r="T1930" s="12" t="s">
        <v>116</v>
      </c>
      <c r="U1930" s="15" t="str">
        <f t="shared" si="42"/>
        <v>Steris SIC Development - PRD</v>
      </c>
      <c r="V1930" s="12" t="s">
        <v>117</v>
      </c>
      <c r="W1930" s="12" t="s">
        <v>117</v>
      </c>
      <c r="X1930" s="12" t="s">
        <v>117</v>
      </c>
      <c r="Y1930" s="12" t="s">
        <v>1038</v>
      </c>
      <c r="AJ1930"/>
      <c r="AK1930"/>
    </row>
    <row r="1931" spans="18:37" ht="14">
      <c r="R1931" s="14">
        <v>12573</v>
      </c>
      <c r="S1931" s="14" t="s">
        <v>590</v>
      </c>
      <c r="T1931" s="12" t="s">
        <v>116</v>
      </c>
      <c r="U1931" s="15" t="str">
        <f t="shared" si="42"/>
        <v>Steris Summit Development - PRD</v>
      </c>
      <c r="V1931" s="12" t="s">
        <v>117</v>
      </c>
      <c r="W1931" s="12" t="s">
        <v>117</v>
      </c>
      <c r="X1931" s="12" t="s">
        <v>117</v>
      </c>
      <c r="Y1931" s="12" t="s">
        <v>1038</v>
      </c>
      <c r="AJ1931"/>
      <c r="AK1931"/>
    </row>
    <row r="1932" spans="18:37" ht="14">
      <c r="R1932" s="14">
        <v>51512</v>
      </c>
      <c r="S1932" s="14" t="s">
        <v>827</v>
      </c>
      <c r="T1932" s="12" t="s">
        <v>116</v>
      </c>
      <c r="U1932" s="15" t="str">
        <f t="shared" si="42"/>
        <v>STI-Darling-2308-2512-OracleCl - PRD</v>
      </c>
      <c r="V1932" s="12" t="s">
        <v>117</v>
      </c>
      <c r="W1932" s="12" t="s">
        <v>117</v>
      </c>
      <c r="X1932" s="12" t="s">
        <v>117</v>
      </c>
      <c r="Y1932" s="12" t="s">
        <v>1038</v>
      </c>
      <c r="AJ1932"/>
      <c r="AK1932"/>
    </row>
    <row r="1933" spans="18:37" ht="14">
      <c r="R1933" s="14">
        <v>51506</v>
      </c>
      <c r="S1933" s="14" t="s">
        <v>823</v>
      </c>
      <c r="T1933" s="12" t="s">
        <v>116</v>
      </c>
      <c r="U1933" s="15" t="str">
        <f t="shared" si="42"/>
        <v>STI-Enviri-Harsco-2307-2308-EB - PRD</v>
      </c>
      <c r="V1933" s="12" t="s">
        <v>117</v>
      </c>
      <c r="W1933" s="12" t="s">
        <v>117</v>
      </c>
      <c r="X1933" s="12" t="s">
        <v>117</v>
      </c>
      <c r="Y1933" s="12" t="s">
        <v>1038</v>
      </c>
      <c r="AJ1933"/>
      <c r="AK1933"/>
    </row>
    <row r="1934" spans="18:37" ht="14">
      <c r="R1934" s="14">
        <v>51509</v>
      </c>
      <c r="S1934" s="14" t="s">
        <v>824</v>
      </c>
      <c r="T1934" s="12" t="s">
        <v>116</v>
      </c>
      <c r="U1934" s="15" t="str">
        <f t="shared" si="42"/>
        <v>STI-K12-2307-2406-WordPressDev - PRD</v>
      </c>
      <c r="V1934" s="12" t="s">
        <v>117</v>
      </c>
      <c r="W1934" s="12" t="s">
        <v>117</v>
      </c>
      <c r="X1934" s="12" t="s">
        <v>117</v>
      </c>
      <c r="Y1934" s="12" t="s">
        <v>1038</v>
      </c>
      <c r="AJ1934"/>
      <c r="AK1934"/>
    </row>
    <row r="1935" spans="18:37" ht="14">
      <c r="R1935" s="14">
        <v>51520</v>
      </c>
      <c r="S1935" s="14" t="s">
        <v>833</v>
      </c>
      <c r="T1935" s="12" t="s">
        <v>116</v>
      </c>
      <c r="U1935" s="15" t="str">
        <f t="shared" si="42"/>
        <v>STI-NRUCFC-Blanket-DAM - PRD</v>
      </c>
      <c r="V1935" s="12" t="s">
        <v>117</v>
      </c>
      <c r="W1935" s="12" t="s">
        <v>117</v>
      </c>
      <c r="X1935" s="12" t="s">
        <v>117</v>
      </c>
      <c r="Y1935" s="12" t="s">
        <v>1038</v>
      </c>
      <c r="AJ1935"/>
      <c r="AK1935"/>
    </row>
    <row r="1936" spans="18:37" ht="14">
      <c r="R1936" s="14">
        <v>51519</v>
      </c>
      <c r="S1936" s="14" t="s">
        <v>832</v>
      </c>
      <c r="T1936" s="12" t="s">
        <v>116</v>
      </c>
      <c r="U1936" s="15" t="str">
        <f t="shared" si="42"/>
        <v>STI-NRUCFC-Blanket-DIA - PRD</v>
      </c>
      <c r="V1936" s="12" t="s">
        <v>117</v>
      </c>
      <c r="W1936" s="12" t="s">
        <v>117</v>
      </c>
      <c r="X1936" s="12" t="s">
        <v>117</v>
      </c>
      <c r="Y1936" s="12" t="s">
        <v>1038</v>
      </c>
      <c r="AJ1936"/>
      <c r="AK1936"/>
    </row>
    <row r="1937" spans="18:37" ht="14">
      <c r="R1937" s="14">
        <v>51517</v>
      </c>
      <c r="S1937" s="14" t="s">
        <v>831</v>
      </c>
      <c r="T1937" s="12" t="s">
        <v>116</v>
      </c>
      <c r="U1937" s="15" t="str">
        <f t="shared" si="42"/>
        <v>STI-TFW-2310-2403-RevenueSOXIT - PRD</v>
      </c>
      <c r="V1937" s="12" t="s">
        <v>117</v>
      </c>
      <c r="W1937" s="12" t="s">
        <v>117</v>
      </c>
      <c r="X1937" s="12" t="s">
        <v>117</v>
      </c>
      <c r="Y1937" s="12" t="s">
        <v>1038</v>
      </c>
      <c r="AJ1937"/>
      <c r="AK1937"/>
    </row>
    <row r="1938" spans="18:37" ht="14">
      <c r="R1938" s="14">
        <v>51526</v>
      </c>
      <c r="S1938" s="14" t="s">
        <v>836</v>
      </c>
      <c r="T1938" s="12" t="s">
        <v>116</v>
      </c>
      <c r="U1938" s="15" t="str">
        <f t="shared" si="42"/>
        <v>STI-TFW-2311-2402-BAUBacklog - PRD</v>
      </c>
      <c r="V1938" s="12" t="s">
        <v>117</v>
      </c>
      <c r="W1938" s="12" t="s">
        <v>117</v>
      </c>
      <c r="X1938" s="12" t="s">
        <v>117</v>
      </c>
      <c r="Y1938" s="12" t="s">
        <v>1038</v>
      </c>
      <c r="AJ1938"/>
      <c r="AK1938"/>
    </row>
    <row r="1939" spans="18:37" ht="14">
      <c r="R1939" s="14">
        <v>51588</v>
      </c>
      <c r="S1939" s="14" t="s">
        <v>1092</v>
      </c>
      <c r="T1939" s="12" t="s">
        <v>116</v>
      </c>
      <c r="U1939" s="15" t="str">
        <f t="shared" si="42"/>
        <v>Stride_Avatar_expnSupp May2024 - PRD</v>
      </c>
      <c r="V1939" s="12" t="s">
        <v>117</v>
      </c>
      <c r="W1939" s="12" t="s">
        <v>117</v>
      </c>
      <c r="X1939" s="12" t="s">
        <v>117</v>
      </c>
      <c r="Y1939" s="12" t="s">
        <v>1038</v>
      </c>
      <c r="AJ1939"/>
      <c r="AK1939"/>
    </row>
    <row r="1940" spans="18:37" ht="14">
      <c r="R1940" s="14">
        <v>51241</v>
      </c>
      <c r="S1940" s="14" t="s">
        <v>742</v>
      </c>
      <c r="T1940" s="12" t="s">
        <v>116</v>
      </c>
      <c r="U1940" s="15" t="str">
        <f t="shared" si="42"/>
        <v>STRIPE-2212-2512-QEC-Oracle-Cl - PRD</v>
      </c>
      <c r="V1940" s="12" t="s">
        <v>117</v>
      </c>
      <c r="W1940" s="12" t="s">
        <v>117</v>
      </c>
      <c r="X1940" s="12" t="s">
        <v>117</v>
      </c>
      <c r="Y1940" s="12" t="s">
        <v>1038</v>
      </c>
      <c r="AJ1940"/>
      <c r="AK1940"/>
    </row>
    <row r="1941" spans="18:37" ht="14">
      <c r="R1941" s="14">
        <v>10923</v>
      </c>
      <c r="S1941" s="14" t="s">
        <v>469</v>
      </c>
      <c r="T1941" s="12" t="s">
        <v>116</v>
      </c>
      <c r="U1941" s="15" t="str">
        <f t="shared" si="42"/>
        <v>SUFS WFM Forecasting Services - PRD</v>
      </c>
      <c r="V1941" s="12" t="s">
        <v>112</v>
      </c>
      <c r="W1941" s="12" t="s">
        <v>867</v>
      </c>
      <c r="X1941" s="12" t="s">
        <v>114</v>
      </c>
      <c r="Y1941" s="12" t="s">
        <v>1038</v>
      </c>
      <c r="AJ1941"/>
      <c r="AK1941"/>
    </row>
    <row r="1942" spans="18:37" ht="14">
      <c r="R1942" s="14">
        <v>10904</v>
      </c>
      <c r="S1942" s="14" t="s">
        <v>448</v>
      </c>
      <c r="T1942" s="12" t="s">
        <v>185</v>
      </c>
      <c r="U1942" s="15" t="str">
        <f t="shared" si="42"/>
        <v>SUFS-Zendesk and Help Tree - TPS</v>
      </c>
      <c r="V1942" s="12" t="s">
        <v>117</v>
      </c>
      <c r="W1942" s="12" t="s">
        <v>117</v>
      </c>
      <c r="X1942" s="12" t="s">
        <v>117</v>
      </c>
      <c r="Y1942" s="12" t="s">
        <v>1038</v>
      </c>
      <c r="AJ1942"/>
      <c r="AK1942"/>
    </row>
    <row r="1943" spans="18:37" ht="14">
      <c r="R1943" s="14">
        <v>10505</v>
      </c>
      <c r="S1943" s="14" t="s">
        <v>254</v>
      </c>
      <c r="T1943" s="12" t="s">
        <v>306</v>
      </c>
      <c r="U1943" s="15" t="str">
        <f t="shared" si="42"/>
        <v>Supplier Enablement Services - FAO</v>
      </c>
      <c r="V1943" s="12" t="s">
        <v>126</v>
      </c>
      <c r="W1943" s="12" t="s">
        <v>565</v>
      </c>
      <c r="X1943" s="12" t="s">
        <v>114</v>
      </c>
      <c r="Y1943" s="12" t="s">
        <v>1038</v>
      </c>
      <c r="AJ1943"/>
      <c r="AK1943"/>
    </row>
    <row r="1944" spans="18:37" ht="14">
      <c r="R1944" s="14">
        <v>10505</v>
      </c>
      <c r="S1944" s="14" t="s">
        <v>254</v>
      </c>
      <c r="T1944" s="12" t="s">
        <v>116</v>
      </c>
      <c r="U1944" s="15" t="str">
        <f t="shared" si="42"/>
        <v>Supplier Enablement Services - PRD</v>
      </c>
      <c r="V1944" s="12" t="s">
        <v>126</v>
      </c>
      <c r="W1944" s="12" t="s">
        <v>565</v>
      </c>
      <c r="X1944" s="12" t="s">
        <v>114</v>
      </c>
      <c r="Y1944" s="12" t="s">
        <v>1038</v>
      </c>
      <c r="AJ1944"/>
      <c r="AK1944"/>
    </row>
    <row r="1945" spans="18:37" ht="14">
      <c r="R1945" s="14">
        <v>91738</v>
      </c>
      <c r="S1945" s="14" t="s">
        <v>948</v>
      </c>
      <c r="T1945" s="12" t="s">
        <v>193</v>
      </c>
      <c r="U1945" s="15" t="str">
        <f t="shared" si="42"/>
        <v>Sutherland Cloud Services - DEV</v>
      </c>
      <c r="V1945" s="12" t="s">
        <v>117</v>
      </c>
      <c r="W1945" s="12" t="s">
        <v>117</v>
      </c>
      <c r="X1945" s="12" t="s">
        <v>117</v>
      </c>
      <c r="Y1945" s="12" t="s">
        <v>1038</v>
      </c>
      <c r="AJ1945"/>
      <c r="AK1945"/>
    </row>
    <row r="1946" spans="18:37" ht="14">
      <c r="R1946" s="14">
        <v>82101</v>
      </c>
      <c r="S1946" s="14" t="s">
        <v>873</v>
      </c>
      <c r="T1946" s="12" t="s">
        <v>145</v>
      </c>
      <c r="U1946" s="15" t="str">
        <f t="shared" si="42"/>
        <v>Sutherland Connect - SUP</v>
      </c>
      <c r="V1946" s="12" t="s">
        <v>104</v>
      </c>
      <c r="W1946" s="12" t="s">
        <v>263</v>
      </c>
      <c r="X1946" s="12" t="s">
        <v>264</v>
      </c>
      <c r="Y1946" s="12" t="s">
        <v>1038</v>
      </c>
      <c r="AJ1946"/>
      <c r="AK1946"/>
    </row>
    <row r="1947" spans="18:37" ht="14">
      <c r="R1947" s="14">
        <v>82004</v>
      </c>
      <c r="S1947" s="14" t="s">
        <v>860</v>
      </c>
      <c r="T1947" s="12" t="s">
        <v>139</v>
      </c>
      <c r="U1947" s="15" t="str">
        <f t="shared" si="42"/>
        <v>Sutherland Extract - SMGT</v>
      </c>
      <c r="V1947" s="12" t="s">
        <v>104</v>
      </c>
      <c r="W1947" s="12" t="s">
        <v>117</v>
      </c>
      <c r="X1947" s="12" t="s">
        <v>117</v>
      </c>
      <c r="Y1947" s="12" t="s">
        <v>1038</v>
      </c>
      <c r="AJ1947"/>
      <c r="AK1947"/>
    </row>
    <row r="1948" spans="18:37" ht="14">
      <c r="R1948" s="14">
        <v>82004</v>
      </c>
      <c r="S1948" s="14" t="s">
        <v>860</v>
      </c>
      <c r="T1948" s="12" t="s">
        <v>145</v>
      </c>
      <c r="U1948" s="15" t="str">
        <f t="shared" si="42"/>
        <v>Sutherland Extract - SUP</v>
      </c>
      <c r="V1948" s="12" t="s">
        <v>104</v>
      </c>
      <c r="W1948" s="12" t="s">
        <v>117</v>
      </c>
      <c r="X1948" s="12" t="s">
        <v>117</v>
      </c>
      <c r="Y1948" s="12" t="s">
        <v>1038</v>
      </c>
      <c r="AJ1948"/>
      <c r="AK1948"/>
    </row>
    <row r="1949" spans="18:37" ht="14">
      <c r="R1949" s="14">
        <v>82005</v>
      </c>
      <c r="S1949" s="14" t="s">
        <v>861</v>
      </c>
      <c r="T1949" s="12" t="s">
        <v>145</v>
      </c>
      <c r="U1949" s="15" t="str">
        <f t="shared" si="42"/>
        <v>Sutherland Helptree - SUP</v>
      </c>
      <c r="V1949" s="12" t="s">
        <v>104</v>
      </c>
      <c r="W1949" s="12" t="s">
        <v>117</v>
      </c>
      <c r="X1949" s="12" t="s">
        <v>117</v>
      </c>
      <c r="Y1949" s="12" t="s">
        <v>1038</v>
      </c>
      <c r="AJ1949"/>
      <c r="AK1949"/>
    </row>
    <row r="1950" spans="18:37" ht="14">
      <c r="R1950" s="14">
        <v>82007</v>
      </c>
      <c r="S1950" s="14" t="s">
        <v>864</v>
      </c>
      <c r="T1950" s="12" t="s">
        <v>185</v>
      </c>
      <c r="U1950" s="15" t="str">
        <f t="shared" si="42"/>
        <v>Sutherland Perform_QA_AI - TPS</v>
      </c>
      <c r="V1950" s="12" t="s">
        <v>126</v>
      </c>
      <c r="W1950" s="12" t="s">
        <v>890</v>
      </c>
      <c r="X1950" s="12" t="s">
        <v>890</v>
      </c>
      <c r="Y1950" s="12" t="s">
        <v>1038</v>
      </c>
      <c r="AJ1950"/>
      <c r="AK1950"/>
    </row>
    <row r="1951" spans="18:37" ht="14">
      <c r="R1951" s="14">
        <v>82006</v>
      </c>
      <c r="S1951" s="14" t="s">
        <v>862</v>
      </c>
      <c r="T1951" s="12" t="s">
        <v>145</v>
      </c>
      <c r="U1951" s="15" t="str">
        <f t="shared" si="42"/>
        <v>Sutherland Prodigy - SUP</v>
      </c>
      <c r="V1951" s="12" t="s">
        <v>104</v>
      </c>
      <c r="W1951" s="12" t="s">
        <v>117</v>
      </c>
      <c r="X1951" s="12" t="s">
        <v>117</v>
      </c>
      <c r="Y1951" s="12" t="s">
        <v>1038</v>
      </c>
      <c r="AJ1951"/>
      <c r="AK1951"/>
    </row>
    <row r="1952" spans="18:37" ht="14">
      <c r="R1952" s="14">
        <v>82009</v>
      </c>
      <c r="S1952" s="14" t="s">
        <v>865</v>
      </c>
      <c r="T1952" s="12" t="s">
        <v>172</v>
      </c>
      <c r="U1952" s="15" t="str">
        <f t="shared" si="42"/>
        <v>Sutherland Robility - SME</v>
      </c>
      <c r="V1952" s="12" t="s">
        <v>104</v>
      </c>
      <c r="W1952" s="12" t="s">
        <v>117</v>
      </c>
      <c r="X1952" s="12" t="s">
        <v>117</v>
      </c>
      <c r="Y1952" s="12" t="s">
        <v>1038</v>
      </c>
      <c r="AJ1952"/>
      <c r="AK1952"/>
    </row>
    <row r="1953" spans="18:37" ht="14">
      <c r="R1953" s="14">
        <v>82009</v>
      </c>
      <c r="S1953" s="14" t="s">
        <v>865</v>
      </c>
      <c r="T1953" s="12" t="s">
        <v>145</v>
      </c>
      <c r="U1953" s="15" t="str">
        <f t="shared" si="42"/>
        <v>Sutherland Robility - SUP</v>
      </c>
      <c r="V1953" s="12" t="s">
        <v>104</v>
      </c>
      <c r="W1953" s="12" t="s">
        <v>117</v>
      </c>
      <c r="X1953" s="12" t="s">
        <v>117</v>
      </c>
      <c r="Y1953" s="12" t="s">
        <v>1038</v>
      </c>
      <c r="AJ1953"/>
      <c r="AK1953"/>
    </row>
    <row r="1954" spans="18:37" ht="14">
      <c r="R1954" s="14">
        <v>82009</v>
      </c>
      <c r="S1954" s="14" t="s">
        <v>865</v>
      </c>
      <c r="T1954" s="12" t="s">
        <v>198</v>
      </c>
      <c r="U1954" s="15" t="str">
        <f t="shared" si="42"/>
        <v>Sutherland Robility - TEC</v>
      </c>
      <c r="V1954" s="12" t="s">
        <v>104</v>
      </c>
      <c r="W1954" s="12" t="s">
        <v>117</v>
      </c>
      <c r="X1954" s="12" t="s">
        <v>117</v>
      </c>
      <c r="Y1954" s="12" t="s">
        <v>1038</v>
      </c>
      <c r="AJ1954"/>
      <c r="AK1954"/>
    </row>
    <row r="1955" spans="18:37" ht="14">
      <c r="R1955" s="14">
        <v>82001</v>
      </c>
      <c r="S1955" s="14" t="s">
        <v>856</v>
      </c>
      <c r="T1955" s="12" t="s">
        <v>129</v>
      </c>
      <c r="U1955" s="15" t="str">
        <f t="shared" si="42"/>
        <v>Sutherland Sentinel - MGT</v>
      </c>
      <c r="V1955" s="12" t="s">
        <v>104</v>
      </c>
      <c r="W1955" s="12" t="s">
        <v>117</v>
      </c>
      <c r="X1955" s="12" t="s">
        <v>117</v>
      </c>
      <c r="Y1955" s="12" t="s">
        <v>1038</v>
      </c>
      <c r="AJ1955"/>
      <c r="AK1955"/>
    </row>
    <row r="1956" spans="18:37" ht="14">
      <c r="R1956" s="14">
        <v>82001</v>
      </c>
      <c r="S1956" s="14" t="s">
        <v>856</v>
      </c>
      <c r="T1956" s="12" t="s">
        <v>145</v>
      </c>
      <c r="U1956" s="15" t="str">
        <f t="shared" si="42"/>
        <v>Sutherland Sentinel - SUP</v>
      </c>
      <c r="V1956" s="12" t="s">
        <v>104</v>
      </c>
      <c r="W1956" s="12" t="s">
        <v>117</v>
      </c>
      <c r="X1956" s="12" t="s">
        <v>117</v>
      </c>
      <c r="Y1956" s="12" t="s">
        <v>1038</v>
      </c>
      <c r="AJ1956"/>
      <c r="AK1956"/>
    </row>
    <row r="1957" spans="18:37" ht="14">
      <c r="R1957" s="14">
        <v>51594</v>
      </c>
      <c r="S1957" s="14" t="s">
        <v>1093</v>
      </c>
      <c r="T1957" s="12" t="s">
        <v>116</v>
      </c>
      <c r="U1957" s="15" t="str">
        <f t="shared" si="42"/>
        <v>TAS initiative with 6 ADF - PRD</v>
      </c>
      <c r="V1957" s="12" t="s">
        <v>117</v>
      </c>
      <c r="W1957" s="12" t="s">
        <v>117</v>
      </c>
      <c r="X1957" s="12" t="s">
        <v>117</v>
      </c>
      <c r="Y1957" s="12" t="s">
        <v>1038</v>
      </c>
      <c r="AJ1957"/>
      <c r="AK1957"/>
    </row>
    <row r="1958" spans="18:37" ht="14">
      <c r="R1958" s="14">
        <v>96104</v>
      </c>
      <c r="S1958" s="14" t="s">
        <v>969</v>
      </c>
      <c r="T1958" s="12" t="s">
        <v>121</v>
      </c>
      <c r="U1958" s="15" t="str">
        <f t="shared" si="42"/>
        <v>Taxation Global - F&amp;A</v>
      </c>
      <c r="V1958" s="12" t="s">
        <v>104</v>
      </c>
      <c r="W1958" s="12" t="s">
        <v>122</v>
      </c>
      <c r="X1958" s="12" t="s">
        <v>114</v>
      </c>
      <c r="Y1958" s="12" t="s">
        <v>1038</v>
      </c>
      <c r="AJ1958"/>
      <c r="AK1958"/>
    </row>
    <row r="1959" spans="18:37" ht="14">
      <c r="R1959" s="14">
        <v>96104</v>
      </c>
      <c r="S1959" s="14" t="s">
        <v>969</v>
      </c>
      <c r="T1959" s="12" t="s">
        <v>139</v>
      </c>
      <c r="U1959" s="15" t="str">
        <f t="shared" si="42"/>
        <v>Taxation Global - SMGT</v>
      </c>
      <c r="V1959" s="12" t="s">
        <v>104</v>
      </c>
      <c r="W1959" s="12" t="s">
        <v>122</v>
      </c>
      <c r="X1959" s="12" t="s">
        <v>114</v>
      </c>
      <c r="Y1959" s="12" t="s">
        <v>1038</v>
      </c>
      <c r="AJ1959"/>
      <c r="AK1959"/>
    </row>
    <row r="1960" spans="18:37" ht="14">
      <c r="R1960" s="14">
        <v>96104</v>
      </c>
      <c r="S1960" s="14" t="s">
        <v>969</v>
      </c>
      <c r="T1960" s="12" t="s">
        <v>145</v>
      </c>
      <c r="U1960" s="15" t="str">
        <f t="shared" si="42"/>
        <v>Taxation Global - SUP</v>
      </c>
      <c r="V1960" s="12" t="s">
        <v>104</v>
      </c>
      <c r="W1960" s="12" t="s">
        <v>122</v>
      </c>
      <c r="X1960" s="12" t="s">
        <v>114</v>
      </c>
      <c r="Y1960" s="12" t="s">
        <v>1038</v>
      </c>
      <c r="AJ1960"/>
      <c r="AK1960"/>
    </row>
    <row r="1961" spans="18:37" ht="14">
      <c r="R1961" s="14">
        <v>96104</v>
      </c>
      <c r="S1961" s="14" t="s">
        <v>969</v>
      </c>
      <c r="T1961" s="12" t="s">
        <v>180</v>
      </c>
      <c r="U1961" s="15" t="str">
        <f t="shared" si="42"/>
        <v>Taxation Global - TMG</v>
      </c>
      <c r="V1961" s="12" t="s">
        <v>104</v>
      </c>
      <c r="W1961" s="12" t="s">
        <v>122</v>
      </c>
      <c r="X1961" s="12" t="s">
        <v>114</v>
      </c>
      <c r="Y1961" s="12" t="s">
        <v>1038</v>
      </c>
      <c r="AJ1961"/>
      <c r="AK1961"/>
    </row>
    <row r="1962" spans="18:37" ht="14">
      <c r="R1962" s="14">
        <v>10089</v>
      </c>
      <c r="S1962" s="14" t="s">
        <v>207</v>
      </c>
      <c r="T1962" s="12" t="s">
        <v>185</v>
      </c>
      <c r="U1962" s="15" t="str">
        <f t="shared" si="42"/>
        <v>Taylor and Francis - F and A - TPS</v>
      </c>
      <c r="V1962" s="12" t="s">
        <v>126</v>
      </c>
      <c r="W1962" s="12" t="s">
        <v>163</v>
      </c>
      <c r="X1962" s="12" t="s">
        <v>164</v>
      </c>
      <c r="Y1962" s="12" t="s">
        <v>1038</v>
      </c>
      <c r="AJ1962"/>
      <c r="AK1962"/>
    </row>
    <row r="1963" spans="18:37" ht="14">
      <c r="R1963" s="14">
        <v>95111</v>
      </c>
      <c r="S1963" s="14" t="s">
        <v>985</v>
      </c>
      <c r="T1963" s="12" t="s">
        <v>145</v>
      </c>
      <c r="U1963" s="15" t="str">
        <f t="shared" si="42"/>
        <v>Technology Service Desk - SUP</v>
      </c>
      <c r="V1963" s="12" t="s">
        <v>104</v>
      </c>
      <c r="W1963" s="12" t="s">
        <v>263</v>
      </c>
      <c r="X1963" s="12" t="s">
        <v>264</v>
      </c>
      <c r="Y1963" s="12" t="s">
        <v>1038</v>
      </c>
      <c r="AJ1963"/>
      <c r="AK1963"/>
    </row>
    <row r="1964" spans="18:37" ht="14">
      <c r="R1964" s="14">
        <v>91601</v>
      </c>
      <c r="S1964" s="14" t="s">
        <v>946</v>
      </c>
      <c r="T1964" s="12" t="s">
        <v>262</v>
      </c>
      <c r="U1964" s="15" t="str">
        <f t="shared" si="42"/>
        <v>Telecom SD Global - GSI</v>
      </c>
      <c r="V1964" s="12" t="s">
        <v>104</v>
      </c>
      <c r="W1964" s="12" t="s">
        <v>405</v>
      </c>
      <c r="X1964" s="12" t="s">
        <v>114</v>
      </c>
      <c r="Y1964" s="12" t="s">
        <v>1038</v>
      </c>
      <c r="AJ1964"/>
      <c r="AK1964"/>
    </row>
    <row r="1965" spans="18:37" ht="14">
      <c r="R1965" s="14">
        <v>91601</v>
      </c>
      <c r="S1965" s="14" t="s">
        <v>946</v>
      </c>
      <c r="T1965" s="12" t="s">
        <v>116</v>
      </c>
      <c r="U1965" s="15" t="str">
        <f t="shared" si="42"/>
        <v>Telecom SD Global - PRD</v>
      </c>
      <c r="V1965" s="12" t="s">
        <v>104</v>
      </c>
      <c r="W1965" s="12" t="s">
        <v>405</v>
      </c>
      <c r="X1965" s="12" t="s">
        <v>114</v>
      </c>
      <c r="Y1965" s="12" t="s">
        <v>1038</v>
      </c>
      <c r="AJ1965"/>
      <c r="AK1965"/>
    </row>
    <row r="1966" spans="18:37" ht="14">
      <c r="R1966" s="14">
        <v>91601</v>
      </c>
      <c r="S1966" s="14" t="s">
        <v>946</v>
      </c>
      <c r="T1966" s="12" t="s">
        <v>145</v>
      </c>
      <c r="U1966" s="15" t="str">
        <f t="shared" si="42"/>
        <v>Telecom SD Global - SUP</v>
      </c>
      <c r="V1966" s="12" t="s">
        <v>104</v>
      </c>
      <c r="W1966" s="12" t="s">
        <v>405</v>
      </c>
      <c r="X1966" s="12" t="s">
        <v>114</v>
      </c>
      <c r="Y1966" s="12" t="s">
        <v>1038</v>
      </c>
      <c r="AJ1966"/>
      <c r="AK1966"/>
    </row>
    <row r="1967" spans="18:37" ht="14">
      <c r="R1967" s="14">
        <v>95104</v>
      </c>
      <c r="S1967" s="14" t="s">
        <v>974</v>
      </c>
      <c r="T1967" s="12" t="s">
        <v>415</v>
      </c>
      <c r="U1967" s="15" t="str">
        <f t="shared" si="42"/>
        <v>Telephony - GTI</v>
      </c>
      <c r="V1967" s="12" t="s">
        <v>104</v>
      </c>
      <c r="W1967" s="12" t="s">
        <v>263</v>
      </c>
      <c r="X1967" s="12" t="s">
        <v>264</v>
      </c>
      <c r="Y1967" s="12" t="s">
        <v>1038</v>
      </c>
      <c r="AJ1967"/>
      <c r="AK1967"/>
    </row>
    <row r="1968" spans="18:37" ht="14">
      <c r="R1968" s="14">
        <v>95104</v>
      </c>
      <c r="S1968" s="14" t="s">
        <v>974</v>
      </c>
      <c r="T1968" s="12" t="s">
        <v>145</v>
      </c>
      <c r="U1968" s="15" t="str">
        <f t="shared" si="42"/>
        <v>Telephony - SUP</v>
      </c>
      <c r="V1968" s="12" t="s">
        <v>104</v>
      </c>
      <c r="W1968" s="12" t="s">
        <v>263</v>
      </c>
      <c r="X1968" s="12" t="s">
        <v>264</v>
      </c>
      <c r="Y1968" s="12" t="s">
        <v>1038</v>
      </c>
      <c r="AJ1968"/>
      <c r="AK1968"/>
    </row>
    <row r="1969" spans="18:37" ht="14">
      <c r="R1969" s="14">
        <v>12409</v>
      </c>
      <c r="S1969" s="14" t="s">
        <v>541</v>
      </c>
      <c r="T1969" s="12" t="s">
        <v>230</v>
      </c>
      <c r="U1969" s="15" t="str">
        <f t="shared" si="42"/>
        <v>Temple University - Coding - PRSP</v>
      </c>
      <c r="V1969" s="12" t="s">
        <v>126</v>
      </c>
      <c r="W1969" s="12" t="s">
        <v>237</v>
      </c>
      <c r="X1969" s="12" t="s">
        <v>238</v>
      </c>
      <c r="Y1969" s="12" t="s">
        <v>1038</v>
      </c>
      <c r="AJ1969"/>
      <c r="AK1969"/>
    </row>
    <row r="1970" spans="18:37" ht="14">
      <c r="R1970" s="14">
        <v>12409</v>
      </c>
      <c r="S1970" s="14" t="s">
        <v>541</v>
      </c>
      <c r="T1970" s="12" t="s">
        <v>145</v>
      </c>
      <c r="U1970" s="15" t="str">
        <f t="shared" si="42"/>
        <v>Temple University - Coding - SUP</v>
      </c>
      <c r="V1970" s="12" t="s">
        <v>126</v>
      </c>
      <c r="W1970" s="12" t="s">
        <v>237</v>
      </c>
      <c r="X1970" s="12" t="s">
        <v>238</v>
      </c>
      <c r="Y1970" s="12" t="s">
        <v>1038</v>
      </c>
      <c r="AJ1970"/>
      <c r="AK1970"/>
    </row>
    <row r="1971" spans="18:37" ht="14">
      <c r="R1971" s="14">
        <v>12409</v>
      </c>
      <c r="S1971" s="14" t="s">
        <v>541</v>
      </c>
      <c r="T1971" s="12" t="s">
        <v>185</v>
      </c>
      <c r="U1971" s="15" t="str">
        <f t="shared" si="42"/>
        <v>Temple University - Coding - TPS</v>
      </c>
      <c r="V1971" s="12" t="s">
        <v>126</v>
      </c>
      <c r="W1971" s="12" t="s">
        <v>237</v>
      </c>
      <c r="X1971" s="12" t="s">
        <v>238</v>
      </c>
      <c r="Y1971" s="12" t="s">
        <v>1038</v>
      </c>
      <c r="AJ1971"/>
      <c r="AK1971"/>
    </row>
    <row r="1972" spans="18:37" ht="14">
      <c r="R1972" s="14">
        <v>51243</v>
      </c>
      <c r="S1972" s="14" t="s">
        <v>743</v>
      </c>
      <c r="T1972" s="12" t="s">
        <v>193</v>
      </c>
      <c r="U1972" s="15" t="str">
        <f t="shared" si="42"/>
        <v>TFW-2112-2201-CloudPrototypeDe - DEV</v>
      </c>
      <c r="V1972" s="12" t="s">
        <v>117</v>
      </c>
      <c r="W1972" s="12" t="s">
        <v>117</v>
      </c>
      <c r="X1972" s="12" t="s">
        <v>117</v>
      </c>
      <c r="Y1972" s="12" t="s">
        <v>1038</v>
      </c>
      <c r="AJ1972"/>
      <c r="AK1972"/>
    </row>
    <row r="1973" spans="18:37" ht="14">
      <c r="R1973" s="14">
        <v>51245</v>
      </c>
      <c r="S1973" s="14" t="s">
        <v>744</v>
      </c>
      <c r="T1973" s="12" t="s">
        <v>116</v>
      </c>
      <c r="U1973" s="15" t="str">
        <f t="shared" si="42"/>
        <v>TFW-2201-2206-CloudMigrBlanket - PRD</v>
      </c>
      <c r="V1973" s="12" t="s">
        <v>117</v>
      </c>
      <c r="W1973" s="12" t="s">
        <v>117</v>
      </c>
      <c r="X1973" s="12" t="s">
        <v>117</v>
      </c>
      <c r="Y1973" s="12" t="s">
        <v>1038</v>
      </c>
      <c r="AJ1973"/>
      <c r="AK1973"/>
    </row>
    <row r="1974" spans="18:37" ht="14">
      <c r="R1974" s="14">
        <v>51431</v>
      </c>
      <c r="S1974" s="14" t="s">
        <v>785</v>
      </c>
      <c r="T1974" s="12" t="s">
        <v>116</v>
      </c>
      <c r="U1974" s="15" t="str">
        <f t="shared" si="42"/>
        <v>TFW-2201-2212-BackofficeEnhanc - PRD</v>
      </c>
      <c r="V1974" s="12" t="s">
        <v>117</v>
      </c>
      <c r="W1974" s="12" t="s">
        <v>117</v>
      </c>
      <c r="X1974" s="12" t="s">
        <v>117</v>
      </c>
      <c r="Y1974" s="12" t="s">
        <v>1038</v>
      </c>
      <c r="AJ1974"/>
      <c r="AK1974"/>
    </row>
    <row r="1975" spans="18:37" ht="14">
      <c r="R1975" s="14">
        <v>51247</v>
      </c>
      <c r="S1975" s="14" t="s">
        <v>745</v>
      </c>
      <c r="T1975" s="12" t="s">
        <v>116</v>
      </c>
      <c r="U1975" s="15" t="str">
        <f t="shared" si="42"/>
        <v>TFW-2201-2212-DevelopmentBlank - PRD</v>
      </c>
      <c r="V1975" s="12" t="s">
        <v>117</v>
      </c>
      <c r="W1975" s="12" t="s">
        <v>117</v>
      </c>
      <c r="X1975" s="12" t="s">
        <v>117</v>
      </c>
      <c r="Y1975" s="12" t="s">
        <v>1038</v>
      </c>
      <c r="AJ1975"/>
      <c r="AK1975"/>
    </row>
    <row r="1976" spans="18:37" ht="14">
      <c r="R1976" s="14">
        <v>51247</v>
      </c>
      <c r="S1976" s="14" t="s">
        <v>745</v>
      </c>
      <c r="T1976" s="12" t="s">
        <v>116</v>
      </c>
      <c r="U1976" s="15" t="str">
        <f t="shared" si="42"/>
        <v>TFW-2201-2212-DevelopmentBlank - PRD</v>
      </c>
      <c r="V1976" s="12" t="s">
        <v>117</v>
      </c>
      <c r="W1976" s="12" t="s">
        <v>117</v>
      </c>
      <c r="X1976" s="12" t="s">
        <v>117</v>
      </c>
      <c r="Y1976" s="12" t="s">
        <v>1038</v>
      </c>
      <c r="AJ1976"/>
      <c r="AK1976"/>
    </row>
    <row r="1977" spans="18:37" ht="14">
      <c r="R1977" s="14">
        <v>51247</v>
      </c>
      <c r="S1977" s="14" t="s">
        <v>745</v>
      </c>
      <c r="T1977" s="12" t="s">
        <v>145</v>
      </c>
      <c r="U1977" s="15" t="str">
        <f t="shared" si="42"/>
        <v>TFW-2201-2212-DevelopmentBlank - SUP</v>
      </c>
      <c r="V1977" s="12" t="s">
        <v>117</v>
      </c>
      <c r="W1977" s="12" t="s">
        <v>117</v>
      </c>
      <c r="X1977" s="12" t="s">
        <v>117</v>
      </c>
      <c r="Y1977" s="12" t="s">
        <v>1038</v>
      </c>
      <c r="AJ1977"/>
      <c r="AK1977"/>
    </row>
    <row r="1978" spans="18:37" ht="14">
      <c r="R1978" s="14">
        <v>51261</v>
      </c>
      <c r="S1978" s="14" t="s">
        <v>746</v>
      </c>
      <c r="T1978" s="12" t="s">
        <v>116</v>
      </c>
      <c r="U1978" s="15" t="str">
        <f t="shared" si="42"/>
        <v>TFW-2205-2212-TracpayDev-SA - PRD</v>
      </c>
      <c r="V1978" s="12" t="s">
        <v>117</v>
      </c>
      <c r="W1978" s="12" t="s">
        <v>117</v>
      </c>
      <c r="X1978" s="12" t="s">
        <v>117</v>
      </c>
      <c r="Y1978" s="12" t="s">
        <v>1038</v>
      </c>
      <c r="AJ1978"/>
      <c r="AK1978"/>
    </row>
    <row r="1979" spans="18:37" ht="14">
      <c r="R1979" s="14">
        <v>51432</v>
      </c>
      <c r="S1979" s="14" t="s">
        <v>786</v>
      </c>
      <c r="T1979" s="12" t="s">
        <v>116</v>
      </c>
      <c r="U1979" s="15" t="str">
        <f t="shared" si="42"/>
        <v>TFW-2206-2212-HomeInternet-QE - PRD</v>
      </c>
      <c r="V1979" s="12" t="s">
        <v>117</v>
      </c>
      <c r="W1979" s="12" t="s">
        <v>117</v>
      </c>
      <c r="X1979" s="12" t="s">
        <v>117</v>
      </c>
      <c r="Y1979" s="12" t="s">
        <v>1038</v>
      </c>
      <c r="AJ1979"/>
      <c r="AK1979"/>
    </row>
    <row r="1980" spans="18:37" ht="14">
      <c r="R1980" s="14">
        <v>51433</v>
      </c>
      <c r="S1980" s="14" t="s">
        <v>787</v>
      </c>
      <c r="T1980" s="12" t="s">
        <v>193</v>
      </c>
      <c r="U1980" s="15" t="str">
        <f t="shared" si="42"/>
        <v>TFW-2206-2212-TracfoneWireless - DEV</v>
      </c>
      <c r="V1980" s="12" t="s">
        <v>117</v>
      </c>
      <c r="W1980" s="12" t="s">
        <v>117</v>
      </c>
      <c r="X1980" s="12" t="s">
        <v>117</v>
      </c>
      <c r="Y1980" s="12" t="s">
        <v>1038</v>
      </c>
      <c r="AJ1980"/>
      <c r="AK1980"/>
    </row>
    <row r="1981" spans="18:37" ht="14">
      <c r="R1981" s="14">
        <v>51263</v>
      </c>
      <c r="S1981" s="14" t="s">
        <v>747</v>
      </c>
      <c r="T1981" s="12" t="s">
        <v>116</v>
      </c>
      <c r="U1981" s="15" t="str">
        <f t="shared" si="42"/>
        <v>TFW-2206-2306-Sr JavaDevinterg - PRD</v>
      </c>
      <c r="V1981" s="12" t="s">
        <v>117</v>
      </c>
      <c r="W1981" s="12" t="s">
        <v>117</v>
      </c>
      <c r="X1981" s="12" t="s">
        <v>117</v>
      </c>
      <c r="Y1981" s="12" t="s">
        <v>1038</v>
      </c>
      <c r="AJ1981"/>
      <c r="AK1981"/>
    </row>
    <row r="1982" spans="18:37" ht="14">
      <c r="R1982" s="14">
        <v>51268</v>
      </c>
      <c r="S1982" s="14" t="s">
        <v>749</v>
      </c>
      <c r="T1982" s="12" t="s">
        <v>116</v>
      </c>
      <c r="U1982" s="15" t="str">
        <f t="shared" si="42"/>
        <v>TFW-2208-2302-Seniortestanalys - PRD</v>
      </c>
      <c r="V1982" s="12" t="s">
        <v>117</v>
      </c>
      <c r="W1982" s="12" t="s">
        <v>117</v>
      </c>
      <c r="X1982" s="12" t="s">
        <v>117</v>
      </c>
      <c r="Y1982" s="12" t="s">
        <v>1038</v>
      </c>
      <c r="AJ1982"/>
      <c r="AK1982"/>
    </row>
    <row r="1983" spans="18:37" ht="14">
      <c r="R1983" s="14">
        <v>51271</v>
      </c>
      <c r="S1983" s="14" t="s">
        <v>750</v>
      </c>
      <c r="T1983" s="12" t="s">
        <v>116</v>
      </c>
      <c r="U1983" s="15" t="str">
        <f t="shared" si="42"/>
        <v>TFW-2209-2302-QE-UbuntuMTMulti - PRD</v>
      </c>
      <c r="V1983" s="12" t="s">
        <v>117</v>
      </c>
      <c r="W1983" s="12" t="s">
        <v>117</v>
      </c>
      <c r="X1983" s="12" t="s">
        <v>117</v>
      </c>
      <c r="Y1983" s="12" t="s">
        <v>1038</v>
      </c>
      <c r="AJ1983"/>
      <c r="AK1983"/>
    </row>
    <row r="1984" spans="18:37" ht="14">
      <c r="R1984" s="14">
        <v>51435</v>
      </c>
      <c r="S1984" s="14" t="s">
        <v>788</v>
      </c>
      <c r="T1984" s="12" t="s">
        <v>116</v>
      </c>
      <c r="U1984" s="15" t="str">
        <f t="shared" si="42"/>
        <v>TFW-2210-2509-Front-WAF-API-Ga - PRD</v>
      </c>
      <c r="V1984" s="12" t="s">
        <v>117</v>
      </c>
      <c r="W1984" s="12" t="s">
        <v>117</v>
      </c>
      <c r="X1984" s="12" t="s">
        <v>117</v>
      </c>
      <c r="Y1984" s="12" t="s">
        <v>1038</v>
      </c>
      <c r="AJ1984"/>
      <c r="AK1984"/>
    </row>
    <row r="1985" spans="18:37" ht="14">
      <c r="R1985" s="14">
        <v>51438</v>
      </c>
      <c r="S1985" s="14" t="s">
        <v>791</v>
      </c>
      <c r="T1985" s="12" t="s">
        <v>116</v>
      </c>
      <c r="U1985" s="15" t="str">
        <f t="shared" si="42"/>
        <v>TFW-2210-2509-IandC-ApplIntegr - PRD</v>
      </c>
      <c r="V1985" s="12" t="s">
        <v>117</v>
      </c>
      <c r="W1985" s="12" t="s">
        <v>117</v>
      </c>
      <c r="X1985" s="12" t="s">
        <v>117</v>
      </c>
      <c r="Y1985" s="12" t="s">
        <v>1038</v>
      </c>
      <c r="AJ1985"/>
      <c r="AK1985"/>
    </row>
    <row r="1986" spans="18:37" ht="14">
      <c r="R1986" s="14">
        <v>51439</v>
      </c>
      <c r="S1986" s="14" t="s">
        <v>792</v>
      </c>
      <c r="T1986" s="12" t="s">
        <v>116</v>
      </c>
      <c r="U1986" s="15" t="str">
        <f t="shared" si="42"/>
        <v>TFW-2210-2509-IandC-DatabaseSe - PRD</v>
      </c>
      <c r="V1986" s="12" t="s">
        <v>117</v>
      </c>
      <c r="W1986" s="12" t="s">
        <v>117</v>
      </c>
      <c r="X1986" s="12" t="s">
        <v>117</v>
      </c>
      <c r="Y1986" s="12" t="s">
        <v>1038</v>
      </c>
      <c r="AJ1986"/>
      <c r="AK1986"/>
    </row>
    <row r="1987" spans="18:37" ht="14">
      <c r="R1987" s="14">
        <v>51440</v>
      </c>
      <c r="S1987" s="14" t="s">
        <v>793</v>
      </c>
      <c r="T1987" s="12" t="s">
        <v>116</v>
      </c>
      <c r="U1987" s="15" t="str">
        <f t="shared" ref="U1987:U2050" si="43">S1987&amp;" - "&amp;T1987</f>
        <v>TFW-2210-2509-IandC-MiddleTier - PRD</v>
      </c>
      <c r="V1987" s="12" t="s">
        <v>117</v>
      </c>
      <c r="W1987" s="12" t="s">
        <v>117</v>
      </c>
      <c r="X1987" s="12" t="s">
        <v>117</v>
      </c>
      <c r="Y1987" s="12" t="s">
        <v>1038</v>
      </c>
      <c r="AJ1987"/>
      <c r="AK1987"/>
    </row>
    <row r="1988" spans="18:37" ht="14">
      <c r="R1988" s="14">
        <v>51441</v>
      </c>
      <c r="S1988" s="14" t="s">
        <v>794</v>
      </c>
      <c r="T1988" s="12" t="s">
        <v>116</v>
      </c>
      <c r="U1988" s="15" t="str">
        <f t="shared" si="43"/>
        <v>TFW-2210-2509-IC-Dataengineer- - PRD</v>
      </c>
      <c r="V1988" s="12" t="s">
        <v>117</v>
      </c>
      <c r="W1988" s="12" t="s">
        <v>117</v>
      </c>
      <c r="X1988" s="12" t="s">
        <v>117</v>
      </c>
      <c r="Y1988" s="12" t="s">
        <v>1038</v>
      </c>
      <c r="AJ1988"/>
      <c r="AK1988"/>
    </row>
    <row r="1989" spans="18:37" ht="14">
      <c r="R1989" s="14">
        <v>51436</v>
      </c>
      <c r="S1989" s="14" t="s">
        <v>789</v>
      </c>
      <c r="T1989" s="12" t="s">
        <v>116</v>
      </c>
      <c r="U1989" s="15" t="str">
        <f t="shared" si="43"/>
        <v>TFW-2210-2509-IC-Devops - PRD</v>
      </c>
      <c r="V1989" s="12" t="s">
        <v>117</v>
      </c>
      <c r="W1989" s="12" t="s">
        <v>117</v>
      </c>
      <c r="X1989" s="12" t="s">
        <v>117</v>
      </c>
      <c r="Y1989" s="12" t="s">
        <v>1038</v>
      </c>
      <c r="AJ1989"/>
      <c r="AK1989"/>
    </row>
    <row r="1990" spans="18:37" ht="14">
      <c r="R1990" s="14">
        <v>51276</v>
      </c>
      <c r="S1990" s="14" t="s">
        <v>751</v>
      </c>
      <c r="T1990" s="12" t="s">
        <v>116</v>
      </c>
      <c r="U1990" s="15" t="str">
        <f t="shared" si="43"/>
        <v>TFW-2210-2509-IC-IncidentManag - PRD</v>
      </c>
      <c r="V1990" s="12" t="s">
        <v>117</v>
      </c>
      <c r="W1990" s="12" t="s">
        <v>117</v>
      </c>
      <c r="X1990" s="12" t="s">
        <v>117</v>
      </c>
      <c r="Y1990" s="12" t="s">
        <v>1038</v>
      </c>
      <c r="AJ1990"/>
      <c r="AK1990"/>
    </row>
    <row r="1991" spans="18:37" ht="14">
      <c r="R1991" s="14">
        <v>51437</v>
      </c>
      <c r="S1991" s="14" t="s">
        <v>790</v>
      </c>
      <c r="T1991" s="12" t="s">
        <v>116</v>
      </c>
      <c r="U1991" s="15" t="str">
        <f t="shared" si="43"/>
        <v>TFW-2210-2509-IC-Tools - PRD</v>
      </c>
      <c r="V1991" s="12" t="s">
        <v>117</v>
      </c>
      <c r="W1991" s="12" t="s">
        <v>117</v>
      </c>
      <c r="X1991" s="12" t="s">
        <v>117</v>
      </c>
      <c r="Y1991" s="12" t="s">
        <v>1038</v>
      </c>
      <c r="AJ1991"/>
      <c r="AK1991"/>
    </row>
    <row r="1992" spans="18:37" ht="14">
      <c r="R1992" s="14">
        <v>51279</v>
      </c>
      <c r="S1992" s="14" t="s">
        <v>752</v>
      </c>
      <c r="T1992" s="12" t="s">
        <v>116</v>
      </c>
      <c r="U1992" s="15" t="str">
        <f t="shared" si="43"/>
        <v>TFW-2210-2509-ITCmpt-Net Unix - PRD</v>
      </c>
      <c r="V1992" s="12" t="s">
        <v>117</v>
      </c>
      <c r="W1992" s="12" t="s">
        <v>117</v>
      </c>
      <c r="X1992" s="12" t="s">
        <v>117</v>
      </c>
      <c r="Y1992" s="12" t="s">
        <v>1038</v>
      </c>
      <c r="AJ1992"/>
      <c r="AK1992"/>
    </row>
    <row r="1993" spans="18:37" ht="14">
      <c r="R1993" s="14">
        <v>51442</v>
      </c>
      <c r="S1993" s="14" t="s">
        <v>795</v>
      </c>
      <c r="T1993" s="12" t="s">
        <v>116</v>
      </c>
      <c r="U1993" s="15" t="str">
        <f t="shared" si="43"/>
        <v>TFW-2210-2509-Kubernetes-SRE-E - PRD</v>
      </c>
      <c r="V1993" s="12" t="s">
        <v>117</v>
      </c>
      <c r="W1993" s="12" t="s">
        <v>117</v>
      </c>
      <c r="X1993" s="12" t="s">
        <v>117</v>
      </c>
      <c r="Y1993" s="12" t="s">
        <v>1038</v>
      </c>
      <c r="AJ1993"/>
      <c r="AK1993"/>
    </row>
    <row r="1994" spans="18:37" ht="14">
      <c r="R1994" s="14">
        <v>51282</v>
      </c>
      <c r="S1994" s="14" t="s">
        <v>753</v>
      </c>
      <c r="T1994" s="12" t="s">
        <v>116</v>
      </c>
      <c r="U1994" s="15" t="str">
        <f t="shared" si="43"/>
        <v>TFW-2211-2304-QE-Testing-STMul - PRD</v>
      </c>
      <c r="V1994" s="12" t="s">
        <v>117</v>
      </c>
      <c r="W1994" s="12" t="s">
        <v>117</v>
      </c>
      <c r="X1994" s="12" t="s">
        <v>117</v>
      </c>
      <c r="Y1994" s="12" t="s">
        <v>1038</v>
      </c>
      <c r="AJ1994"/>
      <c r="AK1994"/>
    </row>
    <row r="1995" spans="18:37" ht="14">
      <c r="R1995" s="14">
        <v>51285</v>
      </c>
      <c r="S1995" s="14" t="s">
        <v>754</v>
      </c>
      <c r="T1995" s="12" t="s">
        <v>116</v>
      </c>
      <c r="U1995" s="15" t="str">
        <f t="shared" si="43"/>
        <v>TFW-2211-2310-QE-AppAgile - PRD</v>
      </c>
      <c r="V1995" s="12" t="s">
        <v>117</v>
      </c>
      <c r="W1995" s="12" t="s">
        <v>117</v>
      </c>
      <c r="X1995" s="12" t="s">
        <v>117</v>
      </c>
      <c r="Y1995" s="12" t="s">
        <v>1038</v>
      </c>
      <c r="AJ1995"/>
      <c r="AK1995"/>
    </row>
    <row r="1996" spans="18:37" ht="14">
      <c r="R1996" s="14">
        <v>51461</v>
      </c>
      <c r="S1996" s="14" t="s">
        <v>811</v>
      </c>
      <c r="T1996" s="12" t="s">
        <v>116</v>
      </c>
      <c r="U1996" s="15" t="str">
        <f t="shared" si="43"/>
        <v>TFW-2212-2311-QE-PDG-Automatio - PRD</v>
      </c>
      <c r="V1996" s="12" t="s">
        <v>117</v>
      </c>
      <c r="W1996" s="12" t="s">
        <v>117</v>
      </c>
      <c r="X1996" s="12" t="s">
        <v>117</v>
      </c>
      <c r="Y1996" s="12" t="s">
        <v>1038</v>
      </c>
      <c r="AJ1996"/>
      <c r="AK1996"/>
    </row>
    <row r="1997" spans="18:37" ht="14">
      <c r="R1997" s="14">
        <v>51289</v>
      </c>
      <c r="S1997" s="14" t="s">
        <v>755</v>
      </c>
      <c r="T1997" s="12" t="s">
        <v>116</v>
      </c>
      <c r="U1997" s="15" t="str">
        <f t="shared" si="43"/>
        <v>TFW-2212-2511-QE-PDG-Testing - PRD</v>
      </c>
      <c r="V1997" s="12" t="s">
        <v>117</v>
      </c>
      <c r="W1997" s="12" t="s">
        <v>117</v>
      </c>
      <c r="X1997" s="12" t="s">
        <v>117</v>
      </c>
      <c r="Y1997" s="12" t="s">
        <v>1038</v>
      </c>
      <c r="AJ1997"/>
      <c r="AK1997"/>
    </row>
    <row r="1998" spans="18:37" ht="14">
      <c r="R1998" s="14">
        <v>51445</v>
      </c>
      <c r="S1998" s="14" t="s">
        <v>796</v>
      </c>
      <c r="T1998" s="12" t="s">
        <v>116</v>
      </c>
      <c r="U1998" s="15" t="str">
        <f t="shared" si="43"/>
        <v>TFW-2301-2302-ADM-CCPA-Develop - PRD</v>
      </c>
      <c r="V1998" s="12" t="s">
        <v>117</v>
      </c>
      <c r="W1998" s="12" t="s">
        <v>117</v>
      </c>
      <c r="X1998" s="12" t="s">
        <v>117</v>
      </c>
      <c r="Y1998" s="12" t="s">
        <v>1038</v>
      </c>
      <c r="AJ1998"/>
      <c r="AK1998"/>
    </row>
    <row r="1999" spans="18:37" ht="14">
      <c r="R1999" s="14">
        <v>51446</v>
      </c>
      <c r="S1999" s="14" t="s">
        <v>797</v>
      </c>
      <c r="T1999" s="12" t="s">
        <v>116</v>
      </c>
      <c r="U1999" s="15" t="str">
        <f t="shared" si="43"/>
        <v>TFW-2301-2302-QE-CCPA - PRD</v>
      </c>
      <c r="V1999" s="12" t="s">
        <v>117</v>
      </c>
      <c r="W1999" s="12" t="s">
        <v>117</v>
      </c>
      <c r="X1999" s="12" t="s">
        <v>117</v>
      </c>
      <c r="Y1999" s="12" t="s">
        <v>1038</v>
      </c>
      <c r="AJ1999"/>
      <c r="AK1999"/>
    </row>
    <row r="2000" spans="18:37" ht="14">
      <c r="R2000" s="14">
        <v>51447</v>
      </c>
      <c r="S2000" s="14" t="s">
        <v>798</v>
      </c>
      <c r="T2000" s="12" t="s">
        <v>116</v>
      </c>
      <c r="U2000" s="15" t="str">
        <f t="shared" si="43"/>
        <v>TFW-2301-2302-QE-Customer-Prot - PRD</v>
      </c>
      <c r="V2000" s="12" t="s">
        <v>117</v>
      </c>
      <c r="W2000" s="12" t="s">
        <v>117</v>
      </c>
      <c r="X2000" s="12" t="s">
        <v>117</v>
      </c>
      <c r="Y2000" s="12" t="s">
        <v>1038</v>
      </c>
      <c r="AJ2000"/>
      <c r="AK2000"/>
    </row>
    <row r="2001" spans="18:37" ht="14">
      <c r="R2001" s="14">
        <v>51290</v>
      </c>
      <c r="S2001" s="14" t="s">
        <v>756</v>
      </c>
      <c r="T2001" s="12" t="s">
        <v>116</v>
      </c>
      <c r="U2001" s="15" t="str">
        <f t="shared" si="43"/>
        <v>TFW-2301-2303-QE-ST-Handset-Pr - PRD</v>
      </c>
      <c r="V2001" s="12" t="s">
        <v>117</v>
      </c>
      <c r="W2001" s="12" t="s">
        <v>117</v>
      </c>
      <c r="X2001" s="12" t="s">
        <v>117</v>
      </c>
      <c r="Y2001" s="12" t="s">
        <v>1038</v>
      </c>
      <c r="AJ2001"/>
      <c r="AK2001"/>
    </row>
    <row r="2002" spans="18:37" ht="14">
      <c r="R2002" s="14">
        <v>51293</v>
      </c>
      <c r="S2002" s="14" t="s">
        <v>757</v>
      </c>
      <c r="T2002" s="12" t="s">
        <v>198</v>
      </c>
      <c r="U2002" s="15" t="str">
        <f t="shared" si="43"/>
        <v>TFW-2301-2306-QE-Fire-Ice-3 - TEC</v>
      </c>
      <c r="V2002" s="12" t="s">
        <v>117</v>
      </c>
      <c r="W2002" s="12" t="s">
        <v>117</v>
      </c>
      <c r="X2002" s="12" t="s">
        <v>117</v>
      </c>
      <c r="Y2002" s="12" t="s">
        <v>1038</v>
      </c>
      <c r="AJ2002"/>
      <c r="AK2002"/>
    </row>
    <row r="2003" spans="18:37" ht="14">
      <c r="R2003" s="14">
        <v>51295</v>
      </c>
      <c r="S2003" s="14" t="s">
        <v>758</v>
      </c>
      <c r="T2003" s="12" t="s">
        <v>116</v>
      </c>
      <c r="U2003" s="15" t="str">
        <f t="shared" si="43"/>
        <v>TFW-2301-2312-Addndm1-IT-Dvlpm - PRD</v>
      </c>
      <c r="V2003" s="12" t="s">
        <v>117</v>
      </c>
      <c r="W2003" s="12" t="s">
        <v>117</v>
      </c>
      <c r="X2003" s="12" t="s">
        <v>117</v>
      </c>
      <c r="Y2003" s="12" t="s">
        <v>1038</v>
      </c>
      <c r="AJ2003"/>
      <c r="AK2003"/>
    </row>
    <row r="2004" spans="18:37" ht="14">
      <c r="R2004" s="14">
        <v>51448</v>
      </c>
      <c r="S2004" s="14" t="s">
        <v>799</v>
      </c>
      <c r="T2004" s="12" t="s">
        <v>116</v>
      </c>
      <c r="U2004" s="15" t="str">
        <f t="shared" si="43"/>
        <v>TFW-2301-2312-Customer-Develop - PRD</v>
      </c>
      <c r="V2004" s="12" t="s">
        <v>117</v>
      </c>
      <c r="W2004" s="12" t="s">
        <v>117</v>
      </c>
      <c r="X2004" s="12" t="s">
        <v>117</v>
      </c>
      <c r="Y2004" s="12" t="s">
        <v>1038</v>
      </c>
      <c r="AJ2004"/>
      <c r="AK2004"/>
    </row>
    <row r="2005" spans="18:37" ht="14">
      <c r="R2005" s="14">
        <v>51449</v>
      </c>
      <c r="S2005" s="14" t="s">
        <v>800</v>
      </c>
      <c r="T2005" s="12" t="s">
        <v>116</v>
      </c>
      <c r="U2005" s="15" t="str">
        <f t="shared" si="43"/>
        <v>TFW-2301-2312-Customer-Dvlpmt- - PRD</v>
      </c>
      <c r="V2005" s="12" t="s">
        <v>117</v>
      </c>
      <c r="W2005" s="12" t="s">
        <v>117</v>
      </c>
      <c r="X2005" s="12" t="s">
        <v>117</v>
      </c>
      <c r="Y2005" s="12" t="s">
        <v>1038</v>
      </c>
      <c r="AJ2005"/>
      <c r="AK2005"/>
    </row>
    <row r="2006" spans="18:37" ht="14">
      <c r="R2006" s="14">
        <v>51450</v>
      </c>
      <c r="S2006" s="14" t="s">
        <v>801</v>
      </c>
      <c r="T2006" s="12" t="s">
        <v>116</v>
      </c>
      <c r="U2006" s="15" t="str">
        <f t="shared" si="43"/>
        <v>TFW-2301-2312-PerformanceEngrM - PRD</v>
      </c>
      <c r="V2006" s="12" t="s">
        <v>117</v>
      </c>
      <c r="W2006" s="12" t="s">
        <v>117</v>
      </c>
      <c r="X2006" s="12" t="s">
        <v>117</v>
      </c>
      <c r="Y2006" s="12" t="s">
        <v>1038</v>
      </c>
      <c r="AJ2006"/>
      <c r="AK2006"/>
    </row>
    <row r="2007" spans="18:37" ht="14">
      <c r="R2007" s="14">
        <v>51298</v>
      </c>
      <c r="S2007" s="14" t="s">
        <v>759</v>
      </c>
      <c r="T2007" s="12" t="s">
        <v>116</v>
      </c>
      <c r="U2007" s="15" t="str">
        <f t="shared" si="43"/>
        <v>TFW-2301-2312-QEA-AgentR-U-QA - PRD</v>
      </c>
      <c r="V2007" s="12" t="s">
        <v>117</v>
      </c>
      <c r="W2007" s="12" t="s">
        <v>117</v>
      </c>
      <c r="X2007" s="12" t="s">
        <v>117</v>
      </c>
      <c r="Y2007" s="12" t="s">
        <v>1038</v>
      </c>
      <c r="AJ2007"/>
      <c r="AK2007"/>
    </row>
    <row r="2008" spans="18:37" ht="14">
      <c r="R2008" s="14">
        <v>51299</v>
      </c>
      <c r="S2008" s="14" t="s">
        <v>760</v>
      </c>
      <c r="T2008" s="12" t="s">
        <v>116</v>
      </c>
      <c r="U2008" s="15" t="str">
        <f t="shared" si="43"/>
        <v>TFW-2301-2312-QE-GDP - PRD</v>
      </c>
      <c r="V2008" s="12" t="s">
        <v>117</v>
      </c>
      <c r="W2008" s="12" t="s">
        <v>117</v>
      </c>
      <c r="X2008" s="12" t="s">
        <v>117</v>
      </c>
      <c r="Y2008" s="12" t="s">
        <v>1038</v>
      </c>
      <c r="AJ2008"/>
      <c r="AK2008"/>
    </row>
    <row r="2009" spans="18:37" ht="14">
      <c r="R2009" s="14">
        <v>51300</v>
      </c>
      <c r="S2009" s="14" t="s">
        <v>761</v>
      </c>
      <c r="T2009" s="12" t="s">
        <v>116</v>
      </c>
      <c r="U2009" s="15" t="str">
        <f t="shared" si="43"/>
        <v>TFW-2301-2312-QE-GDP-Automatio - PRD</v>
      </c>
      <c r="V2009" s="12" t="s">
        <v>117</v>
      </c>
      <c r="W2009" s="12" t="s">
        <v>117</v>
      </c>
      <c r="X2009" s="12" t="s">
        <v>117</v>
      </c>
      <c r="Y2009" s="12" t="s">
        <v>1038</v>
      </c>
      <c r="AJ2009"/>
      <c r="AK2009"/>
    </row>
    <row r="2010" spans="18:37" ht="14">
      <c r="R2010" s="14">
        <v>51301</v>
      </c>
      <c r="S2010" s="14" t="s">
        <v>764</v>
      </c>
      <c r="T2010" s="12" t="s">
        <v>116</v>
      </c>
      <c r="U2010" s="15" t="str">
        <f t="shared" si="43"/>
        <v>TFW-2301-2312-QE-Loyalty-Rewar - PRD</v>
      </c>
      <c r="V2010" s="12" t="s">
        <v>117</v>
      </c>
      <c r="W2010" s="12" t="s">
        <v>117</v>
      </c>
      <c r="X2010" s="12" t="s">
        <v>117</v>
      </c>
      <c r="Y2010" s="12" t="s">
        <v>1038</v>
      </c>
      <c r="AJ2010"/>
      <c r="AK2010"/>
    </row>
    <row r="2011" spans="18:37" ht="14">
      <c r="R2011" s="14">
        <v>51451</v>
      </c>
      <c r="S2011" s="14" t="s">
        <v>802</v>
      </c>
      <c r="T2011" s="12" t="s">
        <v>116</v>
      </c>
      <c r="U2011" s="15" t="str">
        <f t="shared" si="43"/>
        <v>TFW-2301-2312-QE-PEGA-Dvlpt-Te - PRD</v>
      </c>
      <c r="V2011" s="12" t="s">
        <v>117</v>
      </c>
      <c r="W2011" s="12" t="s">
        <v>117</v>
      </c>
      <c r="X2011" s="12" t="s">
        <v>117</v>
      </c>
      <c r="Y2011" s="12" t="s">
        <v>1038</v>
      </c>
      <c r="AJ2011"/>
      <c r="AK2011"/>
    </row>
    <row r="2012" spans="18:37" ht="14">
      <c r="R2012" s="14">
        <v>51306</v>
      </c>
      <c r="S2012" s="14" t="s">
        <v>765</v>
      </c>
      <c r="T2012" s="12" t="s">
        <v>116</v>
      </c>
      <c r="U2012" s="15" t="str">
        <f t="shared" si="43"/>
        <v>TFW-2302-2311-Addndm-PDG-SP-DV - PRD</v>
      </c>
      <c r="V2012" s="12" t="s">
        <v>117</v>
      </c>
      <c r="W2012" s="12" t="s">
        <v>117</v>
      </c>
      <c r="X2012" s="12" t="s">
        <v>117</v>
      </c>
      <c r="Y2012" s="12" t="s">
        <v>1038</v>
      </c>
      <c r="AJ2012"/>
      <c r="AK2012"/>
    </row>
    <row r="2013" spans="18:37" ht="14">
      <c r="R2013" s="14">
        <v>51311</v>
      </c>
      <c r="S2013" s="14" t="s">
        <v>766</v>
      </c>
      <c r="T2013" s="12" t="s">
        <v>116</v>
      </c>
      <c r="U2013" s="15" t="str">
        <f t="shared" si="43"/>
        <v>TFW-2303-2307-Pega-Enhancement - PRD</v>
      </c>
      <c r="V2013" s="12" t="s">
        <v>117</v>
      </c>
      <c r="W2013" s="12" t="s">
        <v>117</v>
      </c>
      <c r="X2013" s="12" t="s">
        <v>117</v>
      </c>
      <c r="Y2013" s="12" t="s">
        <v>1038</v>
      </c>
      <c r="AJ2013"/>
      <c r="AK2013"/>
    </row>
    <row r="2014" spans="18:37" ht="14">
      <c r="R2014" s="14">
        <v>51315</v>
      </c>
      <c r="S2014" s="14" t="s">
        <v>767</v>
      </c>
      <c r="T2014" s="12" t="s">
        <v>116</v>
      </c>
      <c r="U2014" s="15" t="str">
        <f t="shared" si="43"/>
        <v>TFW-2303-2405-SR-TestEngnr-Sai - PRD</v>
      </c>
      <c r="V2014" s="12" t="s">
        <v>117</v>
      </c>
      <c r="W2014" s="12" t="s">
        <v>117</v>
      </c>
      <c r="X2014" s="12" t="s">
        <v>117</v>
      </c>
      <c r="Y2014" s="12" t="s">
        <v>1038</v>
      </c>
      <c r="AJ2014"/>
      <c r="AK2014"/>
    </row>
    <row r="2015" spans="18:37" ht="14">
      <c r="R2015" s="14">
        <v>51483</v>
      </c>
      <c r="S2015" s="14" t="s">
        <v>815</v>
      </c>
      <c r="T2015" s="12" t="s">
        <v>116</v>
      </c>
      <c r="U2015" s="15" t="str">
        <f t="shared" si="43"/>
        <v>TFW-2304-2312-Addndm-BI-DataEn - PRD</v>
      </c>
      <c r="V2015" s="12" t="s">
        <v>117</v>
      </c>
      <c r="W2015" s="12" t="s">
        <v>117</v>
      </c>
      <c r="X2015" s="12" t="s">
        <v>117</v>
      </c>
      <c r="Y2015" s="12" t="s">
        <v>1038</v>
      </c>
      <c r="AJ2015"/>
      <c r="AK2015"/>
    </row>
    <row r="2016" spans="18:37" ht="14">
      <c r="R2016" s="14">
        <v>51324</v>
      </c>
      <c r="S2016" s="14" t="s">
        <v>768</v>
      </c>
      <c r="T2016" s="12" t="s">
        <v>116</v>
      </c>
      <c r="U2016" s="15" t="str">
        <f t="shared" si="43"/>
        <v>TFW-2304-2312-QE-PerformanceEn - PRD</v>
      </c>
      <c r="V2016" s="12" t="s">
        <v>117</v>
      </c>
      <c r="W2016" s="12" t="s">
        <v>117</v>
      </c>
      <c r="X2016" s="12" t="s">
        <v>117</v>
      </c>
      <c r="Y2016" s="12" t="s">
        <v>1038</v>
      </c>
      <c r="AJ2016"/>
      <c r="AK2016"/>
    </row>
    <row r="2017" spans="18:37" ht="14">
      <c r="R2017" s="14">
        <v>51328</v>
      </c>
      <c r="S2017" s="14" t="s">
        <v>769</v>
      </c>
      <c r="T2017" s="12" t="s">
        <v>116</v>
      </c>
      <c r="U2017" s="15" t="str">
        <f t="shared" si="43"/>
        <v>TFW-2305-2312-DNP-Phase4 - PRD</v>
      </c>
      <c r="V2017" s="12" t="s">
        <v>117</v>
      </c>
      <c r="W2017" s="12" t="s">
        <v>117</v>
      </c>
      <c r="X2017" s="12" t="s">
        <v>117</v>
      </c>
      <c r="Y2017" s="12" t="s">
        <v>1038</v>
      </c>
      <c r="AJ2017"/>
      <c r="AK2017"/>
    </row>
    <row r="2018" spans="18:37" ht="14">
      <c r="R2018" s="14">
        <v>51329</v>
      </c>
      <c r="S2018" s="14" t="s">
        <v>770</v>
      </c>
      <c r="T2018" s="12" t="s">
        <v>116</v>
      </c>
      <c r="U2018" s="15" t="str">
        <f t="shared" si="43"/>
        <v>TFW-2305-2312-Jr-TestEngnr-San - PRD</v>
      </c>
      <c r="V2018" s="12" t="s">
        <v>117</v>
      </c>
      <c r="W2018" s="12" t="s">
        <v>117</v>
      </c>
      <c r="X2018" s="12" t="s">
        <v>117</v>
      </c>
      <c r="Y2018" s="12" t="s">
        <v>1038</v>
      </c>
      <c r="AJ2018"/>
      <c r="AK2018"/>
    </row>
    <row r="2019" spans="18:37" ht="14">
      <c r="R2019" s="14">
        <v>51333</v>
      </c>
      <c r="S2019" s="14" t="s">
        <v>771</v>
      </c>
      <c r="T2019" s="12" t="s">
        <v>116</v>
      </c>
      <c r="U2019" s="15" t="str">
        <f t="shared" si="43"/>
        <v>TFW-2306-2312-DevSecOps-InfoSe - PRD</v>
      </c>
      <c r="V2019" s="12" t="s">
        <v>117</v>
      </c>
      <c r="W2019" s="12" t="s">
        <v>117</v>
      </c>
      <c r="X2019" s="12" t="s">
        <v>117</v>
      </c>
      <c r="Y2019" s="12" t="s">
        <v>1038</v>
      </c>
      <c r="AJ2019"/>
      <c r="AK2019"/>
    </row>
    <row r="2020" spans="18:37" ht="14">
      <c r="R2020" s="14">
        <v>51452</v>
      </c>
      <c r="S2020" s="14" t="s">
        <v>803</v>
      </c>
      <c r="T2020" s="12" t="s">
        <v>198</v>
      </c>
      <c r="U2020" s="15" t="str">
        <f t="shared" si="43"/>
        <v>TFW-2306-2312-SP-ServicePlans - TEC</v>
      </c>
      <c r="V2020" s="12" t="s">
        <v>117</v>
      </c>
      <c r="W2020" s="12" t="s">
        <v>117</v>
      </c>
      <c r="X2020" s="12" t="s">
        <v>117</v>
      </c>
      <c r="Y2020" s="12" t="s">
        <v>1038</v>
      </c>
      <c r="AJ2020"/>
      <c r="AK2020"/>
    </row>
    <row r="2021" spans="18:37" ht="14">
      <c r="R2021" s="14">
        <v>51475</v>
      </c>
      <c r="S2021" s="14" t="s">
        <v>813</v>
      </c>
      <c r="T2021" s="12" t="s">
        <v>116</v>
      </c>
      <c r="U2021" s="15" t="str">
        <f t="shared" si="43"/>
        <v>TFW-2307-2312-QE-Payment-Akshi - PRD</v>
      </c>
      <c r="V2021" s="12" t="s">
        <v>117</v>
      </c>
      <c r="W2021" s="12" t="s">
        <v>117</v>
      </c>
      <c r="X2021" s="12" t="s">
        <v>117</v>
      </c>
      <c r="Y2021" s="12" t="s">
        <v>1038</v>
      </c>
      <c r="AJ2021"/>
      <c r="AK2021"/>
    </row>
    <row r="2022" spans="18:37" ht="14">
      <c r="R2022" s="14">
        <v>51476</v>
      </c>
      <c r="S2022" s="14" t="s">
        <v>814</v>
      </c>
      <c r="T2022" s="12" t="s">
        <v>116</v>
      </c>
      <c r="U2022" s="15" t="str">
        <f t="shared" si="43"/>
        <v>TFW-2307-2312-ValueData-Suppor - PRD</v>
      </c>
      <c r="V2022" s="12" t="s">
        <v>117</v>
      </c>
      <c r="W2022" s="12" t="s">
        <v>117</v>
      </c>
      <c r="X2022" s="12" t="s">
        <v>117</v>
      </c>
      <c r="Y2022" s="12" t="s">
        <v>1038</v>
      </c>
      <c r="AJ2022"/>
      <c r="AK2022"/>
    </row>
    <row r="2023" spans="18:37" ht="14">
      <c r="R2023" s="14">
        <v>51491</v>
      </c>
      <c r="S2023" s="14" t="s">
        <v>817</v>
      </c>
      <c r="T2023" s="12" t="s">
        <v>116</v>
      </c>
      <c r="U2023" s="15" t="str">
        <f t="shared" si="43"/>
        <v>TFW-2308-2312-QE-ShiftLift-MS - PRD</v>
      </c>
      <c r="V2023" s="12" t="s">
        <v>117</v>
      </c>
      <c r="W2023" s="12" t="s">
        <v>117</v>
      </c>
      <c r="X2023" s="12" t="s">
        <v>117</v>
      </c>
      <c r="Y2023" s="12" t="s">
        <v>1038</v>
      </c>
      <c r="AJ2023"/>
      <c r="AK2023"/>
    </row>
    <row r="2024" spans="18:37" ht="14">
      <c r="R2024" s="14">
        <v>51496</v>
      </c>
      <c r="S2024" s="14" t="s">
        <v>820</v>
      </c>
      <c r="T2024" s="12" t="s">
        <v>193</v>
      </c>
      <c r="U2024" s="15" t="str">
        <f t="shared" si="43"/>
        <v>TFW-2308-2401-Service-plan-Opt - DEV</v>
      </c>
      <c r="V2024" s="12" t="s">
        <v>117</v>
      </c>
      <c r="W2024" s="12" t="s">
        <v>117</v>
      </c>
      <c r="X2024" s="12" t="s">
        <v>117</v>
      </c>
      <c r="Y2024" s="12" t="s">
        <v>1038</v>
      </c>
      <c r="AJ2024"/>
      <c r="AK2024"/>
    </row>
    <row r="2025" spans="18:37" ht="14">
      <c r="R2025" s="14">
        <v>51494</v>
      </c>
      <c r="S2025" s="14" t="s">
        <v>819</v>
      </c>
      <c r="T2025" s="12" t="s">
        <v>116</v>
      </c>
      <c r="U2025" s="15" t="str">
        <f t="shared" si="43"/>
        <v>TFW-2309-2312-QE-Churn-Mgmnt - PRD</v>
      </c>
      <c r="V2025" s="12" t="s">
        <v>117</v>
      </c>
      <c r="W2025" s="12" t="s">
        <v>117</v>
      </c>
      <c r="X2025" s="12" t="s">
        <v>117</v>
      </c>
      <c r="Y2025" s="12" t="s">
        <v>1038</v>
      </c>
      <c r="AJ2025"/>
      <c r="AK2025"/>
    </row>
    <row r="2026" spans="18:37" ht="14">
      <c r="R2026" s="14">
        <v>51492</v>
      </c>
      <c r="S2026" s="14" t="s">
        <v>818</v>
      </c>
      <c r="T2026" s="12" t="s">
        <v>116</v>
      </c>
      <c r="U2026" s="15" t="str">
        <f t="shared" si="43"/>
        <v>TFW-2309-2312-QE-GDP-Umbrella - PRD</v>
      </c>
      <c r="V2026" s="12" t="s">
        <v>117</v>
      </c>
      <c r="W2026" s="12" t="s">
        <v>117</v>
      </c>
      <c r="X2026" s="12" t="s">
        <v>117</v>
      </c>
      <c r="Y2026" s="12" t="s">
        <v>1038</v>
      </c>
      <c r="AJ2026"/>
      <c r="AK2026"/>
    </row>
    <row r="2027" spans="18:37" ht="14">
      <c r="R2027" s="14">
        <v>51498</v>
      </c>
      <c r="S2027" s="14" t="s">
        <v>821</v>
      </c>
      <c r="T2027" s="12" t="s">
        <v>116</v>
      </c>
      <c r="U2027" s="15" t="str">
        <f t="shared" si="43"/>
        <v>TFW-2309-2312-TAS-Logging - PRD</v>
      </c>
      <c r="V2027" s="12" t="s">
        <v>117</v>
      </c>
      <c r="W2027" s="12" t="s">
        <v>117</v>
      </c>
      <c r="X2027" s="12" t="s">
        <v>117</v>
      </c>
      <c r="Y2027" s="12" t="s">
        <v>1038</v>
      </c>
      <c r="AJ2027"/>
      <c r="AK2027"/>
    </row>
    <row r="2028" spans="18:37" ht="14">
      <c r="R2028" s="14">
        <v>12164</v>
      </c>
      <c r="S2028" s="14" t="s">
        <v>524</v>
      </c>
      <c r="T2028" s="12" t="s">
        <v>111</v>
      </c>
      <c r="U2028" s="15" t="str">
        <f t="shared" si="43"/>
        <v>The Govt. of Bermuda - TPA - QLY</v>
      </c>
      <c r="V2028" s="12" t="s">
        <v>112</v>
      </c>
      <c r="W2028" s="12" t="s">
        <v>113</v>
      </c>
      <c r="X2028" s="12" t="s">
        <v>114</v>
      </c>
      <c r="Y2028" s="12" t="s">
        <v>1038</v>
      </c>
      <c r="AJ2028"/>
      <c r="AK2028"/>
    </row>
    <row r="2029" spans="18:37" ht="14">
      <c r="R2029" s="14">
        <v>12164</v>
      </c>
      <c r="S2029" s="14" t="s">
        <v>524</v>
      </c>
      <c r="T2029" s="12" t="s">
        <v>180</v>
      </c>
      <c r="U2029" s="15" t="str">
        <f t="shared" si="43"/>
        <v>The Govt. of Bermuda - TPA - TMG</v>
      </c>
      <c r="V2029" s="12" t="s">
        <v>126</v>
      </c>
      <c r="W2029" s="12" t="s">
        <v>163</v>
      </c>
      <c r="X2029" s="12" t="s">
        <v>164</v>
      </c>
      <c r="Y2029" s="12" t="s">
        <v>1038</v>
      </c>
      <c r="AJ2029"/>
      <c r="AK2029"/>
    </row>
    <row r="2030" spans="18:37" ht="14">
      <c r="R2030" s="14">
        <v>12164</v>
      </c>
      <c r="S2030" s="14" t="s">
        <v>524</v>
      </c>
      <c r="T2030" s="12" t="s">
        <v>185</v>
      </c>
      <c r="U2030" s="15" t="str">
        <f t="shared" si="43"/>
        <v>The Govt. of Bermuda - TPA - TPS</v>
      </c>
      <c r="V2030" s="12" t="s">
        <v>126</v>
      </c>
      <c r="W2030" s="12" t="s">
        <v>163</v>
      </c>
      <c r="X2030" s="12" t="s">
        <v>164</v>
      </c>
      <c r="Y2030" s="12" t="s">
        <v>1038</v>
      </c>
      <c r="AJ2030"/>
      <c r="AK2030"/>
    </row>
    <row r="2031" spans="18:37" ht="14">
      <c r="R2031" s="14">
        <v>95504</v>
      </c>
      <c r="S2031" s="14" t="s">
        <v>983</v>
      </c>
      <c r="T2031" s="12" t="s">
        <v>129</v>
      </c>
      <c r="U2031" s="15" t="str">
        <f t="shared" si="43"/>
        <v>Threat, Vulnerablity &amp; Inciden - MGT</v>
      </c>
      <c r="V2031" s="12" t="s">
        <v>104</v>
      </c>
      <c r="W2031" s="12" t="s">
        <v>263</v>
      </c>
      <c r="X2031" s="12" t="s">
        <v>264</v>
      </c>
      <c r="Y2031" s="12" t="s">
        <v>1038</v>
      </c>
      <c r="AJ2031"/>
      <c r="AK2031"/>
    </row>
    <row r="2032" spans="18:37" ht="14">
      <c r="R2032" s="14">
        <v>95504</v>
      </c>
      <c r="S2032" s="14" t="s">
        <v>983</v>
      </c>
      <c r="T2032" s="12" t="s">
        <v>134</v>
      </c>
      <c r="U2032" s="15" t="str">
        <f t="shared" si="43"/>
        <v>Threat, Vulnerablity &amp; Inciden - SEC</v>
      </c>
      <c r="V2032" s="12" t="s">
        <v>104</v>
      </c>
      <c r="W2032" s="12" t="s">
        <v>263</v>
      </c>
      <c r="X2032" s="12" t="s">
        <v>264</v>
      </c>
      <c r="Y2032" s="12" t="s">
        <v>1038</v>
      </c>
      <c r="AJ2032"/>
      <c r="AK2032"/>
    </row>
    <row r="2033" spans="18:37" ht="14">
      <c r="R2033" s="14">
        <v>95504</v>
      </c>
      <c r="S2033" s="14" t="s">
        <v>983</v>
      </c>
      <c r="T2033" s="12" t="s">
        <v>145</v>
      </c>
      <c r="U2033" s="15" t="str">
        <f t="shared" si="43"/>
        <v>Threat, Vulnerablity &amp; Inciden - SUP</v>
      </c>
      <c r="V2033" s="12" t="s">
        <v>104</v>
      </c>
      <c r="W2033" s="12" t="s">
        <v>263</v>
      </c>
      <c r="X2033" s="12" t="s">
        <v>264</v>
      </c>
      <c r="Y2033" s="12" t="s">
        <v>1038</v>
      </c>
      <c r="AJ2033"/>
      <c r="AK2033"/>
    </row>
    <row r="2034" spans="18:37" ht="14">
      <c r="R2034" s="14">
        <v>95504</v>
      </c>
      <c r="S2034" s="14" t="s">
        <v>983</v>
      </c>
      <c r="T2034" s="12" t="s">
        <v>180</v>
      </c>
      <c r="U2034" s="15" t="str">
        <f t="shared" si="43"/>
        <v>Threat, Vulnerablity &amp; Inciden - TMG</v>
      </c>
      <c r="V2034" s="12" t="s">
        <v>104</v>
      </c>
      <c r="W2034" s="12" t="s">
        <v>263</v>
      </c>
      <c r="X2034" s="12" t="s">
        <v>264</v>
      </c>
      <c r="Y2034" s="12" t="s">
        <v>1038</v>
      </c>
      <c r="AJ2034"/>
      <c r="AK2034"/>
    </row>
    <row r="2035" spans="18:37" ht="14">
      <c r="R2035" s="14">
        <v>18075</v>
      </c>
      <c r="S2035" s="14" t="s">
        <v>1062</v>
      </c>
      <c r="T2035" s="12" t="s">
        <v>185</v>
      </c>
      <c r="U2035" s="15" t="str">
        <f t="shared" si="43"/>
        <v>Title Shard Servs_Growth_IND - TPS</v>
      </c>
      <c r="V2035" s="12" t="s">
        <v>126</v>
      </c>
      <c r="W2035" s="12" t="s">
        <v>163</v>
      </c>
      <c r="X2035" s="12" t="s">
        <v>164</v>
      </c>
      <c r="Y2035" s="12" t="s">
        <v>1038</v>
      </c>
      <c r="AJ2035"/>
      <c r="AK2035"/>
    </row>
    <row r="2036" spans="18:37" ht="14">
      <c r="R2036" s="14">
        <v>10905</v>
      </c>
      <c r="S2036" s="14" t="s">
        <v>450</v>
      </c>
      <c r="T2036" s="12" t="s">
        <v>161</v>
      </c>
      <c r="U2036" s="15" t="str">
        <f t="shared" si="43"/>
        <v>T-Mobile Messaging - Chennai - ECC</v>
      </c>
      <c r="V2036" s="12" t="s">
        <v>126</v>
      </c>
      <c r="W2036" s="12" t="s">
        <v>178</v>
      </c>
      <c r="X2036" s="12" t="s">
        <v>128</v>
      </c>
      <c r="Y2036" s="12" t="s">
        <v>1038</v>
      </c>
      <c r="AJ2036"/>
      <c r="AK2036"/>
    </row>
    <row r="2037" spans="18:37" ht="14">
      <c r="R2037" s="14">
        <v>89008</v>
      </c>
      <c r="S2037" s="14" t="s">
        <v>922</v>
      </c>
      <c r="T2037" s="12" t="s">
        <v>161</v>
      </c>
      <c r="U2037" s="15" t="str">
        <f t="shared" si="43"/>
        <v>Tracfone wireless Inc - ECC</v>
      </c>
      <c r="V2037" s="12" t="s">
        <v>117</v>
      </c>
      <c r="W2037" s="12" t="s">
        <v>117</v>
      </c>
      <c r="X2037" s="12" t="s">
        <v>117</v>
      </c>
      <c r="Y2037" s="12" t="s">
        <v>1038</v>
      </c>
      <c r="AJ2037"/>
      <c r="AK2037"/>
    </row>
    <row r="2038" spans="18:37" ht="14">
      <c r="R2038" s="14">
        <v>89008</v>
      </c>
      <c r="S2038" s="14" t="s">
        <v>922</v>
      </c>
      <c r="T2038" s="12" t="s">
        <v>145</v>
      </c>
      <c r="U2038" s="15" t="str">
        <f t="shared" si="43"/>
        <v>Tracfone wireless Inc - SUP</v>
      </c>
      <c r="V2038" s="12" t="s">
        <v>117</v>
      </c>
      <c r="W2038" s="12" t="s">
        <v>117</v>
      </c>
      <c r="X2038" s="12" t="s">
        <v>117</v>
      </c>
      <c r="Y2038" s="12" t="s">
        <v>1038</v>
      </c>
      <c r="AJ2038"/>
      <c r="AK2038"/>
    </row>
    <row r="2039" spans="18:37" ht="14">
      <c r="R2039" s="14">
        <v>51339</v>
      </c>
      <c r="S2039" s="14" t="s">
        <v>772</v>
      </c>
      <c r="T2039" s="12" t="s">
        <v>116</v>
      </c>
      <c r="U2039" s="15" t="str">
        <f t="shared" si="43"/>
        <v>Tracfone_DataMonetization - PRD</v>
      </c>
      <c r="V2039" s="12" t="s">
        <v>117</v>
      </c>
      <c r="W2039" s="12" t="s">
        <v>117</v>
      </c>
      <c r="X2039" s="12" t="s">
        <v>117</v>
      </c>
      <c r="Y2039" s="12" t="s">
        <v>1038</v>
      </c>
      <c r="AJ2039"/>
      <c r="AK2039"/>
    </row>
    <row r="2040" spans="18:37" ht="14">
      <c r="R2040" s="14">
        <v>51340</v>
      </c>
      <c r="S2040" s="14" t="s">
        <v>773</v>
      </c>
      <c r="T2040" s="12" t="s">
        <v>116</v>
      </c>
      <c r="U2040" s="15" t="str">
        <f t="shared" si="43"/>
        <v>Tracfone-AccountingAutomation - PRD</v>
      </c>
      <c r="V2040" s="12" t="s">
        <v>117</v>
      </c>
      <c r="W2040" s="12" t="s">
        <v>117</v>
      </c>
      <c r="X2040" s="12" t="s">
        <v>117</v>
      </c>
      <c r="Y2040" s="12" t="s">
        <v>1038</v>
      </c>
      <c r="AJ2040"/>
      <c r="AK2040"/>
    </row>
    <row r="2041" spans="18:37" ht="14">
      <c r="R2041" s="14">
        <v>51453</v>
      </c>
      <c r="S2041" s="14" t="s">
        <v>804</v>
      </c>
      <c r="T2041" s="12" t="s">
        <v>116</v>
      </c>
      <c r="U2041" s="15" t="str">
        <f t="shared" si="43"/>
        <v>TracFone-BAU - PRD</v>
      </c>
      <c r="V2041" s="12" t="s">
        <v>117</v>
      </c>
      <c r="W2041" s="12" t="s">
        <v>117</v>
      </c>
      <c r="X2041" s="12" t="s">
        <v>117</v>
      </c>
      <c r="Y2041" s="12" t="s">
        <v>1038</v>
      </c>
      <c r="AJ2041"/>
      <c r="AK2041"/>
    </row>
    <row r="2042" spans="18:37" ht="14">
      <c r="R2042" s="14">
        <v>51341</v>
      </c>
      <c r="S2042" s="14" t="s">
        <v>774</v>
      </c>
      <c r="T2042" s="12" t="s">
        <v>116</v>
      </c>
      <c r="U2042" s="15" t="str">
        <f t="shared" si="43"/>
        <v>Tracfone-BlanketSOW-2 - PRD</v>
      </c>
      <c r="V2042" s="12" t="s">
        <v>117</v>
      </c>
      <c r="W2042" s="12" t="s">
        <v>117</v>
      </c>
      <c r="X2042" s="12" t="s">
        <v>117</v>
      </c>
      <c r="Y2042" s="12" t="s">
        <v>1038</v>
      </c>
      <c r="AJ2042"/>
      <c r="AK2042"/>
    </row>
    <row r="2043" spans="18:37" ht="14">
      <c r="R2043" s="14">
        <v>51455</v>
      </c>
      <c r="S2043" s="14" t="s">
        <v>805</v>
      </c>
      <c r="T2043" s="12" t="s">
        <v>193</v>
      </c>
      <c r="U2043" s="15" t="str">
        <f t="shared" si="43"/>
        <v>Tracfone-PDGandServicePlans - DEV</v>
      </c>
      <c r="V2043" s="12" t="s">
        <v>117</v>
      </c>
      <c r="W2043" s="12" t="s">
        <v>117</v>
      </c>
      <c r="X2043" s="12" t="s">
        <v>117</v>
      </c>
      <c r="Y2043" s="12" t="s">
        <v>1038</v>
      </c>
      <c r="AJ2043"/>
      <c r="AK2043"/>
    </row>
    <row r="2044" spans="18:37" ht="14">
      <c r="R2044" s="14">
        <v>51346</v>
      </c>
      <c r="S2044" s="14" t="s">
        <v>775</v>
      </c>
      <c r="T2044" s="12" t="s">
        <v>116</v>
      </c>
      <c r="U2044" s="15" t="str">
        <f t="shared" si="43"/>
        <v>Tracfone-QAIncognitos - PRD</v>
      </c>
      <c r="V2044" s="12" t="s">
        <v>117</v>
      </c>
      <c r="W2044" s="12" t="s">
        <v>117</v>
      </c>
      <c r="X2044" s="12" t="s">
        <v>117</v>
      </c>
      <c r="Y2044" s="12" t="s">
        <v>1038</v>
      </c>
      <c r="AJ2044"/>
      <c r="AK2044"/>
    </row>
    <row r="2045" spans="18:37" ht="14">
      <c r="R2045" s="14">
        <v>51456</v>
      </c>
      <c r="S2045" s="14" t="s">
        <v>806</v>
      </c>
      <c r="T2045" s="12" t="s">
        <v>116</v>
      </c>
      <c r="U2045" s="15" t="str">
        <f t="shared" si="43"/>
        <v>TracFone-QE1ManagedServices - PRD</v>
      </c>
      <c r="V2045" s="12" t="s">
        <v>117</v>
      </c>
      <c r="W2045" s="12" t="s">
        <v>117</v>
      </c>
      <c r="X2045" s="12" t="s">
        <v>117</v>
      </c>
      <c r="Y2045" s="12" t="s">
        <v>1038</v>
      </c>
      <c r="AJ2045"/>
      <c r="AK2045"/>
    </row>
    <row r="2046" spans="18:37" ht="14">
      <c r="R2046" s="14">
        <v>51457</v>
      </c>
      <c r="S2046" s="14" t="s">
        <v>807</v>
      </c>
      <c r="T2046" s="12" t="s">
        <v>193</v>
      </c>
      <c r="U2046" s="15" t="str">
        <f t="shared" si="43"/>
        <v>TracFone-QE2ManagedServices - DEV</v>
      </c>
      <c r="V2046" s="12" t="s">
        <v>117</v>
      </c>
      <c r="W2046" s="12" t="s">
        <v>117</v>
      </c>
      <c r="X2046" s="12" t="s">
        <v>117</v>
      </c>
      <c r="Y2046" s="12" t="s">
        <v>1038</v>
      </c>
      <c r="AJ2046"/>
      <c r="AK2046"/>
    </row>
    <row r="2047" spans="18:37" ht="14">
      <c r="R2047" s="14">
        <v>51457</v>
      </c>
      <c r="S2047" s="14" t="s">
        <v>807</v>
      </c>
      <c r="T2047" s="12" t="s">
        <v>193</v>
      </c>
      <c r="U2047" s="15" t="str">
        <f t="shared" si="43"/>
        <v>TracFone-QE2ManagedServices - DEV</v>
      </c>
      <c r="V2047" s="12" t="s">
        <v>117</v>
      </c>
      <c r="W2047" s="12" t="s">
        <v>117</v>
      </c>
      <c r="X2047" s="12" t="s">
        <v>117</v>
      </c>
      <c r="Y2047" s="12" t="s">
        <v>1038</v>
      </c>
      <c r="AJ2047"/>
      <c r="AK2047"/>
    </row>
    <row r="2048" spans="18:37" ht="14">
      <c r="R2048" s="14">
        <v>51419</v>
      </c>
      <c r="S2048" s="14" t="s">
        <v>782</v>
      </c>
      <c r="T2048" s="12" t="s">
        <v>116</v>
      </c>
      <c r="U2048" s="15" t="str">
        <f t="shared" si="43"/>
        <v>Tracfone-Sailpoint - PRD</v>
      </c>
      <c r="V2048" s="12" t="s">
        <v>117</v>
      </c>
      <c r="W2048" s="12" t="s">
        <v>117</v>
      </c>
      <c r="X2048" s="12" t="s">
        <v>117</v>
      </c>
      <c r="Y2048" s="12" t="s">
        <v>1038</v>
      </c>
      <c r="AJ2048"/>
      <c r="AK2048"/>
    </row>
    <row r="2049" spans="18:37" ht="14">
      <c r="R2049" s="14">
        <v>51349</v>
      </c>
      <c r="S2049" s="14" t="s">
        <v>776</v>
      </c>
      <c r="T2049" s="12" t="s">
        <v>116</v>
      </c>
      <c r="U2049" s="15" t="str">
        <f t="shared" si="43"/>
        <v>Tracfone-ServiceTransfer - PRD</v>
      </c>
      <c r="V2049" s="12" t="s">
        <v>117</v>
      </c>
      <c r="W2049" s="12" t="s">
        <v>117</v>
      </c>
      <c r="X2049" s="12" t="s">
        <v>117</v>
      </c>
      <c r="Y2049" s="12" t="s">
        <v>1038</v>
      </c>
      <c r="AJ2049"/>
      <c r="AK2049"/>
    </row>
    <row r="2050" spans="18:37" ht="14">
      <c r="R2050" s="14">
        <v>97300</v>
      </c>
      <c r="S2050" s="14" t="s">
        <v>984</v>
      </c>
      <c r="T2050" s="12" t="s">
        <v>133</v>
      </c>
      <c r="U2050" s="15" t="str">
        <f t="shared" si="43"/>
        <v>Training - COL - AMG</v>
      </c>
      <c r="V2050" s="12" t="s">
        <v>104</v>
      </c>
      <c r="W2050" s="12" t="s">
        <v>370</v>
      </c>
      <c r="X2050" s="12" t="s">
        <v>205</v>
      </c>
      <c r="Y2050" s="12" t="s">
        <v>1038</v>
      </c>
      <c r="AJ2050"/>
      <c r="AK2050"/>
    </row>
    <row r="2051" spans="18:37" ht="14">
      <c r="R2051" s="14">
        <v>97300</v>
      </c>
      <c r="S2051" s="14" t="s">
        <v>984</v>
      </c>
      <c r="T2051" s="12" t="s">
        <v>352</v>
      </c>
      <c r="U2051" s="15" t="str">
        <f t="shared" ref="U2051:U2114" si="44">S2051&amp;" - "&amp;T2051</f>
        <v>Training - COL - EAT</v>
      </c>
      <c r="V2051" s="12" t="s">
        <v>104</v>
      </c>
      <c r="W2051" s="12" t="s">
        <v>370</v>
      </c>
      <c r="X2051" s="12" t="s">
        <v>205</v>
      </c>
      <c r="Y2051" s="12" t="s">
        <v>1038</v>
      </c>
      <c r="AJ2051"/>
      <c r="AK2051"/>
    </row>
    <row r="2052" spans="18:37" ht="14">
      <c r="R2052" s="14">
        <v>97300</v>
      </c>
      <c r="S2052" s="14" t="s">
        <v>984</v>
      </c>
      <c r="T2052" s="12" t="s">
        <v>129</v>
      </c>
      <c r="U2052" s="15" t="str">
        <f t="shared" si="44"/>
        <v>Training - COL - MGT</v>
      </c>
      <c r="V2052" s="12" t="s">
        <v>104</v>
      </c>
      <c r="W2052" s="12" t="s">
        <v>370</v>
      </c>
      <c r="X2052" s="12" t="s">
        <v>205</v>
      </c>
      <c r="Y2052" s="12" t="s">
        <v>1038</v>
      </c>
      <c r="AJ2052"/>
      <c r="AK2052"/>
    </row>
    <row r="2053" spans="18:37" ht="14">
      <c r="R2053" s="14">
        <v>97300</v>
      </c>
      <c r="S2053" s="14" t="s">
        <v>984</v>
      </c>
      <c r="T2053" s="12" t="s">
        <v>116</v>
      </c>
      <c r="U2053" s="15" t="str">
        <f t="shared" si="44"/>
        <v>Training - COL - PRD</v>
      </c>
      <c r="V2053" s="12" t="s">
        <v>104</v>
      </c>
      <c r="W2053" s="12" t="s">
        <v>370</v>
      </c>
      <c r="X2053" s="12" t="s">
        <v>205</v>
      </c>
      <c r="Y2053" s="12" t="s">
        <v>1038</v>
      </c>
      <c r="AJ2053"/>
      <c r="AK2053"/>
    </row>
    <row r="2054" spans="18:37" ht="14">
      <c r="R2054" s="14">
        <v>97300</v>
      </c>
      <c r="S2054" s="14" t="s">
        <v>984</v>
      </c>
      <c r="T2054" s="12" t="s">
        <v>139</v>
      </c>
      <c r="U2054" s="15" t="str">
        <f t="shared" si="44"/>
        <v>Training - COL - SMGT</v>
      </c>
      <c r="V2054" s="12" t="s">
        <v>104</v>
      </c>
      <c r="W2054" s="12" t="s">
        <v>370</v>
      </c>
      <c r="X2054" s="12" t="s">
        <v>205</v>
      </c>
      <c r="Y2054" s="12" t="s">
        <v>1038</v>
      </c>
      <c r="AJ2054"/>
      <c r="AK2054"/>
    </row>
    <row r="2055" spans="18:37" ht="14">
      <c r="R2055" s="14">
        <v>97300</v>
      </c>
      <c r="S2055" s="14" t="s">
        <v>984</v>
      </c>
      <c r="T2055" s="12" t="s">
        <v>145</v>
      </c>
      <c r="U2055" s="15" t="str">
        <f t="shared" si="44"/>
        <v>Training - COL - SUP</v>
      </c>
      <c r="V2055" s="12" t="s">
        <v>104</v>
      </c>
      <c r="W2055" s="12" t="s">
        <v>370</v>
      </c>
      <c r="X2055" s="12" t="s">
        <v>205</v>
      </c>
      <c r="Y2055" s="12" t="s">
        <v>1038</v>
      </c>
      <c r="AJ2055"/>
      <c r="AK2055"/>
    </row>
    <row r="2056" spans="18:37" ht="14">
      <c r="R2056" s="14">
        <v>97300</v>
      </c>
      <c r="S2056" s="14" t="s">
        <v>984</v>
      </c>
      <c r="T2056" s="12" t="s">
        <v>198</v>
      </c>
      <c r="U2056" s="15" t="str">
        <f t="shared" si="44"/>
        <v>Training - COL - TEC</v>
      </c>
      <c r="V2056" s="12" t="s">
        <v>104</v>
      </c>
      <c r="W2056" s="12" t="s">
        <v>370</v>
      </c>
      <c r="X2056" s="12" t="s">
        <v>205</v>
      </c>
      <c r="Y2056" s="12" t="s">
        <v>1038</v>
      </c>
      <c r="AJ2056"/>
      <c r="AK2056"/>
    </row>
    <row r="2057" spans="18:37" ht="14">
      <c r="R2057" s="14">
        <v>97300</v>
      </c>
      <c r="S2057" s="14" t="s">
        <v>984</v>
      </c>
      <c r="T2057" s="12" t="s">
        <v>180</v>
      </c>
      <c r="U2057" s="15" t="str">
        <f t="shared" si="44"/>
        <v>Training - COL - TMG</v>
      </c>
      <c r="V2057" s="12" t="s">
        <v>104</v>
      </c>
      <c r="W2057" s="12" t="s">
        <v>370</v>
      </c>
      <c r="X2057" s="12" t="s">
        <v>205</v>
      </c>
      <c r="Y2057" s="12" t="s">
        <v>1038</v>
      </c>
      <c r="AJ2057"/>
      <c r="AK2057"/>
    </row>
    <row r="2058" spans="18:37" ht="14">
      <c r="R2058" s="14">
        <v>97300</v>
      </c>
      <c r="S2058" s="14" t="s">
        <v>984</v>
      </c>
      <c r="T2058" s="12" t="s">
        <v>203</v>
      </c>
      <c r="U2058" s="15" t="str">
        <f t="shared" si="44"/>
        <v>Training - COL - TRG</v>
      </c>
      <c r="V2058" s="12" t="s">
        <v>104</v>
      </c>
      <c r="W2058" s="12" t="s">
        <v>370</v>
      </c>
      <c r="X2058" s="12" t="s">
        <v>205</v>
      </c>
      <c r="Y2058" s="12" t="s">
        <v>1038</v>
      </c>
      <c r="AJ2058"/>
      <c r="AK2058"/>
    </row>
    <row r="2059" spans="18:37" ht="14">
      <c r="R2059" s="14">
        <v>97300</v>
      </c>
      <c r="S2059" s="14" t="s">
        <v>984</v>
      </c>
      <c r="T2059" s="12" t="s">
        <v>546</v>
      </c>
      <c r="U2059" s="15" t="str">
        <f t="shared" si="44"/>
        <v>Training - COL - TRN</v>
      </c>
      <c r="V2059" s="12" t="s">
        <v>104</v>
      </c>
      <c r="W2059" s="12" t="s">
        <v>370</v>
      </c>
      <c r="X2059" s="12" t="s">
        <v>205</v>
      </c>
      <c r="Y2059" s="12" t="s">
        <v>1038</v>
      </c>
      <c r="AJ2059"/>
      <c r="AK2059"/>
    </row>
    <row r="2060" spans="18:37" ht="14">
      <c r="R2060" s="14">
        <v>97300</v>
      </c>
      <c r="S2060" s="14" t="s">
        <v>984</v>
      </c>
      <c r="T2060" s="12" t="s">
        <v>208</v>
      </c>
      <c r="U2060" s="15" t="str">
        <f t="shared" si="44"/>
        <v>Training - COL - TTR</v>
      </c>
      <c r="V2060" s="12" t="s">
        <v>104</v>
      </c>
      <c r="W2060" s="12" t="s">
        <v>370</v>
      </c>
      <c r="X2060" s="12" t="s">
        <v>205</v>
      </c>
      <c r="Y2060" s="12" t="s">
        <v>1038</v>
      </c>
      <c r="AJ2060"/>
      <c r="AK2060"/>
    </row>
    <row r="2061" spans="18:37" ht="14">
      <c r="R2061" s="14">
        <v>97302</v>
      </c>
      <c r="S2061" s="14" t="s">
        <v>987</v>
      </c>
      <c r="T2061" s="12" t="s">
        <v>129</v>
      </c>
      <c r="U2061" s="15" t="str">
        <f t="shared" si="44"/>
        <v>Training - Corporate - MGT</v>
      </c>
      <c r="V2061" s="12" t="s">
        <v>104</v>
      </c>
      <c r="W2061" s="12" t="s">
        <v>204</v>
      </c>
      <c r="X2061" s="12" t="s">
        <v>205</v>
      </c>
      <c r="Y2061" s="12" t="s">
        <v>1038</v>
      </c>
      <c r="AJ2061"/>
      <c r="AK2061"/>
    </row>
    <row r="2062" spans="18:37" ht="14">
      <c r="R2062" s="14">
        <v>97302</v>
      </c>
      <c r="S2062" s="14" t="s">
        <v>987</v>
      </c>
      <c r="T2062" s="12" t="s">
        <v>139</v>
      </c>
      <c r="U2062" s="15" t="str">
        <f t="shared" si="44"/>
        <v>Training - Corporate - SMGT</v>
      </c>
      <c r="V2062" s="12" t="s">
        <v>104</v>
      </c>
      <c r="W2062" s="12" t="s">
        <v>204</v>
      </c>
      <c r="X2062" s="12" t="s">
        <v>205</v>
      </c>
      <c r="Y2062" s="12" t="s">
        <v>1038</v>
      </c>
      <c r="AJ2062"/>
      <c r="AK2062"/>
    </row>
    <row r="2063" spans="18:37" ht="14">
      <c r="R2063" s="14">
        <v>97302</v>
      </c>
      <c r="S2063" s="14" t="s">
        <v>987</v>
      </c>
      <c r="T2063" s="12" t="s">
        <v>145</v>
      </c>
      <c r="U2063" s="15" t="str">
        <f t="shared" si="44"/>
        <v>Training - Corporate - SUP</v>
      </c>
      <c r="V2063" s="12" t="s">
        <v>104</v>
      </c>
      <c r="W2063" s="12" t="s">
        <v>204</v>
      </c>
      <c r="X2063" s="12" t="s">
        <v>205</v>
      </c>
      <c r="Y2063" s="12" t="s">
        <v>1038</v>
      </c>
      <c r="AJ2063"/>
      <c r="AK2063"/>
    </row>
    <row r="2064" spans="18:37" ht="14">
      <c r="R2064" s="14">
        <v>97302</v>
      </c>
      <c r="S2064" s="14" t="s">
        <v>987</v>
      </c>
      <c r="T2064" s="12" t="s">
        <v>863</v>
      </c>
      <c r="U2064" s="15" t="str">
        <f t="shared" si="44"/>
        <v>Training - Corporate - TRA</v>
      </c>
      <c r="V2064" s="12" t="s">
        <v>104</v>
      </c>
      <c r="W2064" s="12" t="s">
        <v>204</v>
      </c>
      <c r="X2064" s="12" t="s">
        <v>205</v>
      </c>
      <c r="Y2064" s="12" t="s">
        <v>1038</v>
      </c>
      <c r="AJ2064"/>
      <c r="AK2064"/>
    </row>
    <row r="2065" spans="18:37" ht="14">
      <c r="R2065" s="14">
        <v>97302</v>
      </c>
      <c r="S2065" s="14" t="s">
        <v>987</v>
      </c>
      <c r="T2065" s="12" t="s">
        <v>203</v>
      </c>
      <c r="U2065" s="15" t="str">
        <f t="shared" si="44"/>
        <v>Training - Corporate - TRG</v>
      </c>
      <c r="V2065" s="12" t="s">
        <v>104</v>
      </c>
      <c r="W2065" s="12" t="s">
        <v>204</v>
      </c>
      <c r="X2065" s="12" t="s">
        <v>205</v>
      </c>
      <c r="Y2065" s="12" t="s">
        <v>1038</v>
      </c>
      <c r="AJ2065"/>
      <c r="AK2065"/>
    </row>
    <row r="2066" spans="18:37" ht="14">
      <c r="R2066" s="14">
        <v>97302</v>
      </c>
      <c r="S2066" s="14" t="s">
        <v>987</v>
      </c>
      <c r="T2066" s="12" t="s">
        <v>208</v>
      </c>
      <c r="U2066" s="15" t="str">
        <f t="shared" si="44"/>
        <v>Training - Corporate - TTR</v>
      </c>
      <c r="V2066" s="12" t="s">
        <v>104</v>
      </c>
      <c r="W2066" s="12" t="s">
        <v>204</v>
      </c>
      <c r="X2066" s="12" t="s">
        <v>205</v>
      </c>
      <c r="Y2066" s="12" t="s">
        <v>1038</v>
      </c>
      <c r="AJ2066"/>
      <c r="AK2066"/>
    </row>
    <row r="2067" spans="18:37" ht="14">
      <c r="R2067" s="14">
        <v>97316</v>
      </c>
      <c r="S2067" s="14" t="s">
        <v>1010</v>
      </c>
      <c r="T2067" s="12" t="s">
        <v>129</v>
      </c>
      <c r="U2067" s="15" t="str">
        <f t="shared" si="44"/>
        <v>Training - Enterprise - MGT</v>
      </c>
      <c r="V2067" s="12" t="s">
        <v>104</v>
      </c>
      <c r="W2067" s="12" t="s">
        <v>204</v>
      </c>
      <c r="X2067" s="12" t="s">
        <v>205</v>
      </c>
      <c r="Y2067" s="12" t="s">
        <v>1038</v>
      </c>
      <c r="AJ2067"/>
      <c r="AK2067"/>
    </row>
    <row r="2068" spans="18:37" ht="14">
      <c r="R2068" s="14">
        <v>97316</v>
      </c>
      <c r="S2068" s="14" t="s">
        <v>1010</v>
      </c>
      <c r="T2068" s="12" t="s">
        <v>203</v>
      </c>
      <c r="U2068" s="15" t="str">
        <f t="shared" si="44"/>
        <v>Training - Enterprise - TRG</v>
      </c>
      <c r="V2068" s="12" t="s">
        <v>104</v>
      </c>
      <c r="W2068" s="12" t="s">
        <v>204</v>
      </c>
      <c r="X2068" s="12" t="s">
        <v>205</v>
      </c>
      <c r="Y2068" s="12" t="s">
        <v>1038</v>
      </c>
      <c r="AJ2068"/>
      <c r="AK2068"/>
    </row>
    <row r="2069" spans="18:37" ht="14">
      <c r="R2069" s="14">
        <v>97316</v>
      </c>
      <c r="S2069" s="14" t="s">
        <v>1010</v>
      </c>
      <c r="T2069" s="12" t="s">
        <v>546</v>
      </c>
      <c r="U2069" s="15" t="str">
        <f t="shared" si="44"/>
        <v>Training - Enterprise - TRN</v>
      </c>
      <c r="V2069" s="12" t="s">
        <v>104</v>
      </c>
      <c r="W2069" s="12" t="s">
        <v>204</v>
      </c>
      <c r="X2069" s="12" t="s">
        <v>205</v>
      </c>
      <c r="Y2069" s="12" t="s">
        <v>1038</v>
      </c>
      <c r="AJ2069"/>
      <c r="AK2069"/>
    </row>
    <row r="2070" spans="18:37" ht="14">
      <c r="R2070" s="14">
        <v>97316</v>
      </c>
      <c r="S2070" s="14" t="s">
        <v>1010</v>
      </c>
      <c r="T2070" s="12" t="s">
        <v>208</v>
      </c>
      <c r="U2070" s="15" t="str">
        <f t="shared" si="44"/>
        <v>Training - Enterprise - TTR</v>
      </c>
      <c r="V2070" s="12" t="s">
        <v>104</v>
      </c>
      <c r="W2070" s="12" t="s">
        <v>204</v>
      </c>
      <c r="X2070" s="12" t="s">
        <v>205</v>
      </c>
      <c r="Y2070" s="12" t="s">
        <v>1038</v>
      </c>
      <c r="AJ2070"/>
      <c r="AK2070"/>
    </row>
    <row r="2071" spans="18:37" ht="14">
      <c r="R2071" s="14">
        <v>10655</v>
      </c>
      <c r="S2071" s="14" t="s">
        <v>289</v>
      </c>
      <c r="T2071" s="12" t="s">
        <v>133</v>
      </c>
      <c r="U2071" s="15" t="str">
        <f t="shared" si="44"/>
        <v>Transform holding Malad - AMG</v>
      </c>
      <c r="V2071" s="12" t="s">
        <v>126</v>
      </c>
      <c r="W2071" s="12" t="s">
        <v>127</v>
      </c>
      <c r="X2071" s="12" t="s">
        <v>128</v>
      </c>
      <c r="Y2071" s="12" t="s">
        <v>1038</v>
      </c>
      <c r="AJ2071"/>
      <c r="AK2071"/>
    </row>
    <row r="2072" spans="18:37" ht="14">
      <c r="R2072" s="14">
        <v>10655</v>
      </c>
      <c r="S2072" s="14" t="s">
        <v>289</v>
      </c>
      <c r="T2072" s="12" t="s">
        <v>116</v>
      </c>
      <c r="U2072" s="15" t="str">
        <f t="shared" si="44"/>
        <v>Transform holding Malad - PRD</v>
      </c>
      <c r="V2072" s="12" t="s">
        <v>126</v>
      </c>
      <c r="W2072" s="12" t="s">
        <v>127</v>
      </c>
      <c r="X2072" s="12" t="s">
        <v>128</v>
      </c>
      <c r="Y2072" s="12" t="s">
        <v>1038</v>
      </c>
      <c r="AJ2072"/>
      <c r="AK2072"/>
    </row>
    <row r="2073" spans="18:37" ht="14">
      <c r="R2073" s="14">
        <v>10655</v>
      </c>
      <c r="S2073" s="14" t="s">
        <v>289</v>
      </c>
      <c r="T2073" s="12" t="s">
        <v>230</v>
      </c>
      <c r="U2073" s="15" t="str">
        <f t="shared" si="44"/>
        <v>Transform holding Malad - PRSP</v>
      </c>
      <c r="V2073" s="12" t="s">
        <v>126</v>
      </c>
      <c r="W2073" s="12" t="s">
        <v>127</v>
      </c>
      <c r="X2073" s="12" t="s">
        <v>128</v>
      </c>
      <c r="Y2073" s="12" t="s">
        <v>1038</v>
      </c>
      <c r="AJ2073"/>
      <c r="AK2073"/>
    </row>
    <row r="2074" spans="18:37" ht="14">
      <c r="R2074" s="14">
        <v>10655</v>
      </c>
      <c r="S2074" s="14" t="s">
        <v>289</v>
      </c>
      <c r="T2074" s="12" t="s">
        <v>451</v>
      </c>
      <c r="U2074" s="15" t="str">
        <f t="shared" si="44"/>
        <v>Transform holding Malad - SLS</v>
      </c>
      <c r="V2074" s="12" t="s">
        <v>126</v>
      </c>
      <c r="W2074" s="12" t="s">
        <v>127</v>
      </c>
      <c r="X2074" s="12" t="s">
        <v>128</v>
      </c>
      <c r="Y2074" s="12" t="s">
        <v>1038</v>
      </c>
      <c r="AJ2074"/>
      <c r="AK2074"/>
    </row>
    <row r="2075" spans="18:37" ht="14">
      <c r="R2075" s="14">
        <v>10655</v>
      </c>
      <c r="S2075" s="14" t="s">
        <v>289</v>
      </c>
      <c r="T2075" s="12" t="s">
        <v>172</v>
      </c>
      <c r="U2075" s="15" t="str">
        <f t="shared" si="44"/>
        <v>Transform holding Malad - SME</v>
      </c>
      <c r="V2075" s="12" t="s">
        <v>126</v>
      </c>
      <c r="W2075" s="12" t="s">
        <v>127</v>
      </c>
      <c r="X2075" s="12" t="s">
        <v>128</v>
      </c>
      <c r="Y2075" s="12" t="s">
        <v>1038</v>
      </c>
      <c r="AJ2075"/>
      <c r="AK2075"/>
    </row>
    <row r="2076" spans="18:37" ht="14">
      <c r="R2076" s="14">
        <v>10655</v>
      </c>
      <c r="S2076" s="14" t="s">
        <v>289</v>
      </c>
      <c r="T2076" s="12" t="s">
        <v>145</v>
      </c>
      <c r="U2076" s="15" t="str">
        <f t="shared" si="44"/>
        <v>Transform holding Malad - SUP</v>
      </c>
      <c r="V2076" s="12" t="s">
        <v>126</v>
      </c>
      <c r="W2076" s="12" t="s">
        <v>127</v>
      </c>
      <c r="X2076" s="12" t="s">
        <v>128</v>
      </c>
      <c r="Y2076" s="12" t="s">
        <v>1038</v>
      </c>
      <c r="AJ2076"/>
      <c r="AK2076"/>
    </row>
    <row r="2077" spans="18:37" ht="14">
      <c r="R2077" s="14">
        <v>10655</v>
      </c>
      <c r="S2077" s="14" t="s">
        <v>289</v>
      </c>
      <c r="T2077" s="12" t="s">
        <v>180</v>
      </c>
      <c r="U2077" s="15" t="str">
        <f t="shared" si="44"/>
        <v>Transform holding Malad - TMG</v>
      </c>
      <c r="V2077" s="12" t="s">
        <v>126</v>
      </c>
      <c r="W2077" s="12" t="s">
        <v>127</v>
      </c>
      <c r="X2077" s="12" t="s">
        <v>128</v>
      </c>
      <c r="Y2077" s="12" t="s">
        <v>1038</v>
      </c>
      <c r="AJ2077"/>
      <c r="AK2077"/>
    </row>
    <row r="2078" spans="18:37" ht="14">
      <c r="R2078" s="14">
        <v>10655</v>
      </c>
      <c r="S2078" s="14" t="s">
        <v>289</v>
      </c>
      <c r="T2078" s="12" t="s">
        <v>657</v>
      </c>
      <c r="U2078" s="15" t="str">
        <f t="shared" si="44"/>
        <v>Transform holding Malad - TRAINR</v>
      </c>
      <c r="V2078" s="12" t="s">
        <v>112</v>
      </c>
      <c r="W2078" s="12" t="s">
        <v>204</v>
      </c>
      <c r="X2078" s="12" t="s">
        <v>205</v>
      </c>
      <c r="Y2078" s="12" t="s">
        <v>1038</v>
      </c>
      <c r="AJ2078"/>
      <c r="AK2078"/>
    </row>
    <row r="2079" spans="18:37" ht="14">
      <c r="R2079" s="14">
        <v>82014</v>
      </c>
      <c r="S2079" s="14" t="s">
        <v>870</v>
      </c>
      <c r="T2079" s="12" t="s">
        <v>145</v>
      </c>
      <c r="U2079" s="15" t="str">
        <f t="shared" si="44"/>
        <v>Translation Product - SUP</v>
      </c>
      <c r="V2079" s="12" t="s">
        <v>104</v>
      </c>
      <c r="W2079" s="12" t="s">
        <v>117</v>
      </c>
      <c r="X2079" s="12" t="s">
        <v>117</v>
      </c>
      <c r="Y2079" s="12" t="s">
        <v>1038</v>
      </c>
      <c r="AJ2079"/>
      <c r="AK2079"/>
    </row>
    <row r="2080" spans="18:37" ht="14">
      <c r="R2080" s="14">
        <v>10691</v>
      </c>
      <c r="S2080" s="14" t="s">
        <v>309</v>
      </c>
      <c r="T2080" s="12" t="s">
        <v>138</v>
      </c>
      <c r="U2080" s="15" t="str">
        <f t="shared" si="44"/>
        <v>Transom Capital Digital Fin - BOS</v>
      </c>
      <c r="V2080" s="12" t="s">
        <v>126</v>
      </c>
      <c r="W2080" s="12" t="s">
        <v>163</v>
      </c>
      <c r="X2080" s="12" t="s">
        <v>164</v>
      </c>
      <c r="Y2080" s="12" t="s">
        <v>1038</v>
      </c>
      <c r="AJ2080"/>
      <c r="AK2080"/>
    </row>
    <row r="2081" spans="18:37" ht="14">
      <c r="R2081" s="14">
        <v>10691</v>
      </c>
      <c r="S2081" s="14" t="s">
        <v>309</v>
      </c>
      <c r="T2081" s="12" t="s">
        <v>306</v>
      </c>
      <c r="U2081" s="15" t="str">
        <f t="shared" si="44"/>
        <v>Transom Capital Digital Fin - FAO</v>
      </c>
      <c r="V2081" s="12" t="s">
        <v>126</v>
      </c>
      <c r="W2081" s="12" t="s">
        <v>163</v>
      </c>
      <c r="X2081" s="12" t="s">
        <v>164</v>
      </c>
      <c r="Y2081" s="12" t="s">
        <v>1038</v>
      </c>
      <c r="AJ2081"/>
      <c r="AK2081"/>
    </row>
    <row r="2082" spans="18:37" ht="14">
      <c r="R2082" s="14">
        <v>10691</v>
      </c>
      <c r="S2082" s="14" t="s">
        <v>309</v>
      </c>
      <c r="T2082" s="12" t="s">
        <v>185</v>
      </c>
      <c r="U2082" s="15" t="str">
        <f t="shared" si="44"/>
        <v>Transom Capital Digital Fin - TPS</v>
      </c>
      <c r="V2082" s="12" t="s">
        <v>126</v>
      </c>
      <c r="W2082" s="12" t="s">
        <v>163</v>
      </c>
      <c r="X2082" s="12" t="s">
        <v>164</v>
      </c>
      <c r="Y2082" s="12" t="s">
        <v>1038</v>
      </c>
      <c r="AJ2082"/>
      <c r="AK2082"/>
    </row>
    <row r="2083" spans="18:37" ht="14">
      <c r="R2083" s="14">
        <v>88029</v>
      </c>
      <c r="S2083" s="14" t="s">
        <v>910</v>
      </c>
      <c r="T2083" s="12" t="s">
        <v>133</v>
      </c>
      <c r="U2083" s="15" t="str">
        <f t="shared" si="44"/>
        <v>Travel Common - AMG</v>
      </c>
      <c r="V2083" s="12" t="s">
        <v>126</v>
      </c>
      <c r="W2083" s="12" t="s">
        <v>163</v>
      </c>
      <c r="X2083" s="12" t="s">
        <v>164</v>
      </c>
      <c r="Y2083" s="12" t="s">
        <v>1038</v>
      </c>
      <c r="AJ2083"/>
      <c r="AK2083"/>
    </row>
    <row r="2084" spans="18:37" ht="14">
      <c r="R2084" s="14">
        <v>88029</v>
      </c>
      <c r="S2084" s="14" t="s">
        <v>910</v>
      </c>
      <c r="T2084" s="12" t="s">
        <v>129</v>
      </c>
      <c r="U2084" s="15" t="str">
        <f t="shared" si="44"/>
        <v>Travel Common - MGT</v>
      </c>
      <c r="V2084" s="12" t="s">
        <v>126</v>
      </c>
      <c r="W2084" s="12" t="s">
        <v>163</v>
      </c>
      <c r="X2084" s="12" t="s">
        <v>164</v>
      </c>
      <c r="Y2084" s="12" t="s">
        <v>1038</v>
      </c>
      <c r="AJ2084"/>
      <c r="AK2084"/>
    </row>
    <row r="2085" spans="18:37" ht="14">
      <c r="R2085" s="14">
        <v>88029</v>
      </c>
      <c r="S2085" s="14" t="s">
        <v>910</v>
      </c>
      <c r="T2085" s="12" t="s">
        <v>116</v>
      </c>
      <c r="U2085" s="15" t="str">
        <f t="shared" si="44"/>
        <v>Travel Common - PRD</v>
      </c>
      <c r="V2085" s="12" t="s">
        <v>126</v>
      </c>
      <c r="W2085" s="12" t="s">
        <v>163</v>
      </c>
      <c r="X2085" s="12" t="s">
        <v>164</v>
      </c>
      <c r="Y2085" s="12" t="s">
        <v>1038</v>
      </c>
      <c r="AJ2085"/>
      <c r="AK2085"/>
    </row>
    <row r="2086" spans="18:37" ht="14">
      <c r="R2086" s="14">
        <v>88029</v>
      </c>
      <c r="S2086" s="14" t="s">
        <v>910</v>
      </c>
      <c r="T2086" s="12" t="s">
        <v>230</v>
      </c>
      <c r="U2086" s="15" t="str">
        <f t="shared" si="44"/>
        <v>Travel Common - PRSP</v>
      </c>
      <c r="V2086" s="12" t="s">
        <v>126</v>
      </c>
      <c r="W2086" s="12" t="s">
        <v>163</v>
      </c>
      <c r="X2086" s="12" t="s">
        <v>164</v>
      </c>
      <c r="Y2086" s="12" t="s">
        <v>1038</v>
      </c>
      <c r="AJ2086"/>
      <c r="AK2086"/>
    </row>
    <row r="2087" spans="18:37" ht="14">
      <c r="R2087" s="14">
        <v>88029</v>
      </c>
      <c r="S2087" s="14" t="s">
        <v>910</v>
      </c>
      <c r="T2087" s="12" t="s">
        <v>111</v>
      </c>
      <c r="U2087" s="15" t="str">
        <f t="shared" si="44"/>
        <v>Travel Common - QLY</v>
      </c>
      <c r="V2087" s="12" t="s">
        <v>112</v>
      </c>
      <c r="W2087" s="12" t="s">
        <v>113</v>
      </c>
      <c r="X2087" s="12" t="s">
        <v>114</v>
      </c>
      <c r="Y2087" s="12" t="s">
        <v>1038</v>
      </c>
      <c r="AJ2087"/>
      <c r="AK2087"/>
    </row>
    <row r="2088" spans="18:37" ht="14">
      <c r="R2088" s="14">
        <v>88029</v>
      </c>
      <c r="S2088" s="14" t="s">
        <v>910</v>
      </c>
      <c r="T2088" s="12" t="s">
        <v>139</v>
      </c>
      <c r="U2088" s="15" t="str">
        <f t="shared" si="44"/>
        <v>Travel Common - SMGT</v>
      </c>
      <c r="V2088" s="12" t="s">
        <v>126</v>
      </c>
      <c r="W2088" s="12" t="s">
        <v>163</v>
      </c>
      <c r="X2088" s="12" t="s">
        <v>164</v>
      </c>
      <c r="Y2088" s="12" t="s">
        <v>1038</v>
      </c>
      <c r="AJ2088"/>
      <c r="AK2088"/>
    </row>
    <row r="2089" spans="18:37" ht="14">
      <c r="R2089" s="14">
        <v>88029</v>
      </c>
      <c r="S2089" s="14" t="s">
        <v>910</v>
      </c>
      <c r="T2089" s="12" t="s">
        <v>145</v>
      </c>
      <c r="U2089" s="15" t="str">
        <f t="shared" si="44"/>
        <v>Travel Common - SUP</v>
      </c>
      <c r="V2089" s="12" t="s">
        <v>126</v>
      </c>
      <c r="W2089" s="12" t="s">
        <v>163</v>
      </c>
      <c r="X2089" s="12" t="s">
        <v>164</v>
      </c>
      <c r="Y2089" s="12" t="s">
        <v>1038</v>
      </c>
      <c r="AJ2089"/>
      <c r="AK2089"/>
    </row>
    <row r="2090" spans="18:37" ht="14">
      <c r="R2090" s="14">
        <v>88029</v>
      </c>
      <c r="S2090" s="14" t="s">
        <v>910</v>
      </c>
      <c r="T2090" s="12" t="s">
        <v>180</v>
      </c>
      <c r="U2090" s="15" t="str">
        <f t="shared" si="44"/>
        <v>Travel Common - TMG</v>
      </c>
      <c r="V2090" s="12" t="s">
        <v>126</v>
      </c>
      <c r="W2090" s="12" t="s">
        <v>163</v>
      </c>
      <c r="X2090" s="12" t="s">
        <v>164</v>
      </c>
      <c r="Y2090" s="12" t="s">
        <v>1038</v>
      </c>
      <c r="AJ2090"/>
      <c r="AK2090"/>
    </row>
    <row r="2091" spans="18:37" ht="14">
      <c r="R2091" s="14">
        <v>88029</v>
      </c>
      <c r="S2091" s="14" t="s">
        <v>910</v>
      </c>
      <c r="T2091" s="12" t="s">
        <v>185</v>
      </c>
      <c r="U2091" s="15" t="str">
        <f t="shared" si="44"/>
        <v>Travel Common - TPS</v>
      </c>
      <c r="V2091" s="12" t="s">
        <v>126</v>
      </c>
      <c r="W2091" s="12" t="s">
        <v>163</v>
      </c>
      <c r="X2091" s="12" t="s">
        <v>164</v>
      </c>
      <c r="Y2091" s="12" t="s">
        <v>1038</v>
      </c>
      <c r="AJ2091"/>
      <c r="AK2091"/>
    </row>
    <row r="2092" spans="18:37" ht="14">
      <c r="R2092" s="14">
        <v>88029</v>
      </c>
      <c r="S2092" s="14" t="s">
        <v>910</v>
      </c>
      <c r="T2092" s="12" t="s">
        <v>203</v>
      </c>
      <c r="U2092" s="15" t="str">
        <f t="shared" si="44"/>
        <v>Travel Common - TRG</v>
      </c>
      <c r="V2092" s="12" t="s">
        <v>112</v>
      </c>
      <c r="W2092" s="12" t="s">
        <v>204</v>
      </c>
      <c r="X2092" s="12" t="s">
        <v>205</v>
      </c>
      <c r="Y2092" s="12" t="s">
        <v>1038</v>
      </c>
      <c r="AJ2092"/>
      <c r="AK2092"/>
    </row>
    <row r="2093" spans="18:37" ht="14">
      <c r="R2093" s="14">
        <v>88029</v>
      </c>
      <c r="S2093" s="14" t="s">
        <v>910</v>
      </c>
      <c r="T2093" s="12" t="s">
        <v>208</v>
      </c>
      <c r="U2093" s="15" t="str">
        <f t="shared" si="44"/>
        <v>Travel Common - TTR</v>
      </c>
      <c r="V2093" s="12" t="s">
        <v>112</v>
      </c>
      <c r="W2093" s="12" t="s">
        <v>204</v>
      </c>
      <c r="X2093" s="12" t="s">
        <v>205</v>
      </c>
      <c r="Y2093" s="12" t="s">
        <v>1038</v>
      </c>
      <c r="AJ2093"/>
      <c r="AK2093"/>
    </row>
    <row r="2094" spans="18:37" ht="14">
      <c r="R2094" s="14">
        <v>93563</v>
      </c>
      <c r="S2094" s="14" t="s">
        <v>960</v>
      </c>
      <c r="T2094" s="12" t="s">
        <v>129</v>
      </c>
      <c r="U2094" s="15" t="str">
        <f t="shared" si="44"/>
        <v>Travel Sales - MGT</v>
      </c>
      <c r="V2094" s="12" t="s">
        <v>104</v>
      </c>
      <c r="W2094" s="12" t="s">
        <v>303</v>
      </c>
      <c r="X2094" s="12" t="s">
        <v>114</v>
      </c>
      <c r="Y2094" s="12" t="s">
        <v>1038</v>
      </c>
      <c r="AJ2094"/>
      <c r="AK2094"/>
    </row>
    <row r="2095" spans="18:37" ht="14">
      <c r="R2095" s="14">
        <v>93563</v>
      </c>
      <c r="S2095" s="14" t="s">
        <v>960</v>
      </c>
      <c r="T2095" s="12" t="s">
        <v>139</v>
      </c>
      <c r="U2095" s="15" t="str">
        <f t="shared" si="44"/>
        <v>Travel Sales - SMGT</v>
      </c>
      <c r="V2095" s="12" t="s">
        <v>104</v>
      </c>
      <c r="W2095" s="12" t="s">
        <v>303</v>
      </c>
      <c r="X2095" s="12" t="s">
        <v>114</v>
      </c>
      <c r="Y2095" s="12" t="s">
        <v>1038</v>
      </c>
      <c r="AJ2095"/>
      <c r="AK2095"/>
    </row>
    <row r="2096" spans="18:37" ht="14">
      <c r="R2096" s="14">
        <v>82300</v>
      </c>
      <c r="S2096" s="14" t="s">
        <v>877</v>
      </c>
      <c r="T2096" s="12" t="s">
        <v>145</v>
      </c>
      <c r="U2096" s="15" t="str">
        <f t="shared" si="44"/>
        <v>Travel Suite - SUP</v>
      </c>
      <c r="V2096" s="12" t="s">
        <v>104</v>
      </c>
      <c r="W2096" s="12" t="s">
        <v>117</v>
      </c>
      <c r="X2096" s="12" t="s">
        <v>117</v>
      </c>
      <c r="Y2096" s="12" t="s">
        <v>1038</v>
      </c>
      <c r="AJ2096"/>
      <c r="AK2096"/>
    </row>
    <row r="2097" spans="18:37" ht="14">
      <c r="R2097" s="14">
        <v>91118</v>
      </c>
      <c r="S2097" s="14" t="s">
        <v>939</v>
      </c>
      <c r="T2097" s="12" t="s">
        <v>348</v>
      </c>
      <c r="U2097" s="15" t="str">
        <f t="shared" si="44"/>
        <v>Travel Vertical - ADM</v>
      </c>
      <c r="V2097" s="12" t="s">
        <v>117</v>
      </c>
      <c r="W2097" s="12" t="s">
        <v>117</v>
      </c>
      <c r="X2097" s="12" t="s">
        <v>117</v>
      </c>
      <c r="Y2097" s="12" t="s">
        <v>1038</v>
      </c>
      <c r="AJ2097"/>
      <c r="AK2097"/>
    </row>
    <row r="2098" spans="18:37" ht="14">
      <c r="R2098" s="14">
        <v>91118</v>
      </c>
      <c r="S2098" s="14" t="s">
        <v>939</v>
      </c>
      <c r="T2098" s="12" t="s">
        <v>129</v>
      </c>
      <c r="U2098" s="15" t="str">
        <f t="shared" si="44"/>
        <v>Travel Vertical - MGT</v>
      </c>
      <c r="V2098" s="12" t="s">
        <v>117</v>
      </c>
      <c r="W2098" s="12" t="s">
        <v>117</v>
      </c>
      <c r="X2098" s="12" t="s">
        <v>117</v>
      </c>
      <c r="Y2098" s="12" t="s">
        <v>1038</v>
      </c>
      <c r="AJ2098"/>
      <c r="AK2098"/>
    </row>
    <row r="2099" spans="18:37" ht="14">
      <c r="R2099" s="14">
        <v>91118</v>
      </c>
      <c r="S2099" s="14" t="s">
        <v>939</v>
      </c>
      <c r="T2099" s="12" t="s">
        <v>139</v>
      </c>
      <c r="U2099" s="15" t="str">
        <f t="shared" si="44"/>
        <v>Travel Vertical - SMGT</v>
      </c>
      <c r="V2099" s="12" t="s">
        <v>117</v>
      </c>
      <c r="W2099" s="12" t="s">
        <v>117</v>
      </c>
      <c r="X2099" s="12" t="s">
        <v>117</v>
      </c>
      <c r="Y2099" s="12" t="s">
        <v>1038</v>
      </c>
      <c r="AJ2099"/>
      <c r="AK2099"/>
    </row>
    <row r="2100" spans="18:37" ht="14">
      <c r="R2100" s="14">
        <v>91118</v>
      </c>
      <c r="S2100" s="14" t="s">
        <v>939</v>
      </c>
      <c r="T2100" s="12" t="s">
        <v>145</v>
      </c>
      <c r="U2100" s="15" t="str">
        <f t="shared" si="44"/>
        <v>Travel Vertical - SUP</v>
      </c>
      <c r="V2100" s="12" t="s">
        <v>117</v>
      </c>
      <c r="W2100" s="12" t="s">
        <v>117</v>
      </c>
      <c r="X2100" s="12" t="s">
        <v>117</v>
      </c>
      <c r="Y2100" s="12" t="s">
        <v>1038</v>
      </c>
      <c r="AJ2100"/>
      <c r="AK2100"/>
    </row>
    <row r="2101" spans="18:37" ht="14">
      <c r="R2101" s="14">
        <v>10499</v>
      </c>
      <c r="S2101" s="14" t="s">
        <v>252</v>
      </c>
      <c r="T2101" s="12" t="s">
        <v>145</v>
      </c>
      <c r="U2101" s="15" t="str">
        <f t="shared" si="44"/>
        <v>Travel_CX_Audit - SUP</v>
      </c>
      <c r="V2101" s="12" t="s">
        <v>126</v>
      </c>
      <c r="W2101" s="12" t="s">
        <v>163</v>
      </c>
      <c r="X2101" s="12" t="s">
        <v>164</v>
      </c>
      <c r="Y2101" s="12" t="s">
        <v>1038</v>
      </c>
      <c r="AJ2101"/>
      <c r="AK2101"/>
    </row>
    <row r="2102" spans="18:37" ht="14">
      <c r="R2102" s="14">
        <v>10499</v>
      </c>
      <c r="S2102" s="14" t="s">
        <v>252</v>
      </c>
      <c r="T2102" s="12" t="s">
        <v>185</v>
      </c>
      <c r="U2102" s="15" t="str">
        <f t="shared" si="44"/>
        <v>Travel_CX_Audit - TPS</v>
      </c>
      <c r="V2102" s="12" t="s">
        <v>126</v>
      </c>
      <c r="W2102" s="12" t="s">
        <v>163</v>
      </c>
      <c r="X2102" s="12" t="s">
        <v>164</v>
      </c>
      <c r="Y2102" s="12" t="s">
        <v>1038</v>
      </c>
      <c r="AJ2102"/>
      <c r="AK2102"/>
    </row>
    <row r="2103" spans="18:37" ht="14">
      <c r="R2103" s="14">
        <v>40134</v>
      </c>
      <c r="S2103" s="14" t="s">
        <v>674</v>
      </c>
      <c r="T2103" s="12" t="s">
        <v>230</v>
      </c>
      <c r="U2103" s="15" t="str">
        <f t="shared" si="44"/>
        <v>Travel_WY_BIDT - PRSP</v>
      </c>
      <c r="V2103" s="12" t="s">
        <v>126</v>
      </c>
      <c r="W2103" s="12" t="s">
        <v>127</v>
      </c>
      <c r="X2103" s="12" t="s">
        <v>128</v>
      </c>
      <c r="Y2103" s="12" t="s">
        <v>1038</v>
      </c>
      <c r="AJ2103"/>
      <c r="AK2103"/>
    </row>
    <row r="2104" spans="18:37" ht="14">
      <c r="R2104" s="14">
        <v>40134</v>
      </c>
      <c r="S2104" s="14" t="s">
        <v>674</v>
      </c>
      <c r="T2104" s="12" t="s">
        <v>185</v>
      </c>
      <c r="U2104" s="15" t="str">
        <f t="shared" si="44"/>
        <v>Travel_WY_BIDT - TPS</v>
      </c>
      <c r="V2104" s="12" t="s">
        <v>126</v>
      </c>
      <c r="W2104" s="12" t="s">
        <v>127</v>
      </c>
      <c r="X2104" s="12" t="s">
        <v>128</v>
      </c>
      <c r="Y2104" s="12" t="s">
        <v>1038</v>
      </c>
      <c r="AJ2104"/>
      <c r="AK2104"/>
    </row>
    <row r="2105" spans="18:37" ht="14">
      <c r="R2105" s="14">
        <v>96107</v>
      </c>
      <c r="S2105" s="14" t="s">
        <v>994</v>
      </c>
      <c r="T2105" s="12" t="s">
        <v>121</v>
      </c>
      <c r="U2105" s="15" t="str">
        <f t="shared" si="44"/>
        <v>Treasury - F&amp;A</v>
      </c>
      <c r="V2105" s="12" t="s">
        <v>104</v>
      </c>
      <c r="W2105" s="12" t="s">
        <v>994</v>
      </c>
      <c r="X2105" s="12" t="s">
        <v>114</v>
      </c>
      <c r="Y2105" s="12" t="s">
        <v>1038</v>
      </c>
      <c r="AJ2105"/>
      <c r="AK2105"/>
    </row>
    <row r="2106" spans="18:37" ht="14">
      <c r="R2106" s="14">
        <v>96107</v>
      </c>
      <c r="S2106" s="14" t="s">
        <v>994</v>
      </c>
      <c r="T2106" s="12" t="s">
        <v>129</v>
      </c>
      <c r="U2106" s="15" t="str">
        <f t="shared" si="44"/>
        <v>Treasury - MGT</v>
      </c>
      <c r="V2106" s="12" t="s">
        <v>104</v>
      </c>
      <c r="W2106" s="12" t="s">
        <v>994</v>
      </c>
      <c r="X2106" s="12" t="s">
        <v>114</v>
      </c>
      <c r="Y2106" s="12" t="s">
        <v>1038</v>
      </c>
      <c r="AJ2106"/>
      <c r="AK2106"/>
    </row>
    <row r="2107" spans="18:37" ht="14">
      <c r="R2107" s="14">
        <v>96107</v>
      </c>
      <c r="S2107" s="14" t="s">
        <v>994</v>
      </c>
      <c r="T2107" s="12" t="s">
        <v>139</v>
      </c>
      <c r="U2107" s="15" t="str">
        <f t="shared" si="44"/>
        <v>Treasury - SMGT</v>
      </c>
      <c r="V2107" s="12" t="s">
        <v>104</v>
      </c>
      <c r="W2107" s="12" t="s">
        <v>994</v>
      </c>
      <c r="X2107" s="12" t="s">
        <v>114</v>
      </c>
      <c r="Y2107" s="12" t="s">
        <v>1038</v>
      </c>
      <c r="AJ2107"/>
      <c r="AK2107"/>
    </row>
    <row r="2108" spans="18:37" ht="14">
      <c r="R2108" s="14">
        <v>96107</v>
      </c>
      <c r="S2108" s="14" t="s">
        <v>994</v>
      </c>
      <c r="T2108" s="12" t="s">
        <v>145</v>
      </c>
      <c r="U2108" s="15" t="str">
        <f t="shared" si="44"/>
        <v>Treasury - SUP</v>
      </c>
      <c r="V2108" s="12" t="s">
        <v>104</v>
      </c>
      <c r="W2108" s="12" t="s">
        <v>994</v>
      </c>
      <c r="X2108" s="12" t="s">
        <v>114</v>
      </c>
      <c r="Y2108" s="12" t="s">
        <v>1038</v>
      </c>
      <c r="AJ2108"/>
      <c r="AK2108"/>
    </row>
    <row r="2109" spans="18:37" ht="14">
      <c r="R2109" s="14">
        <v>10091</v>
      </c>
      <c r="S2109" s="14" t="s">
        <v>211</v>
      </c>
      <c r="T2109" s="12" t="s">
        <v>129</v>
      </c>
      <c r="U2109" s="15" t="str">
        <f t="shared" si="44"/>
        <v>Trove-Backoffice - MGT</v>
      </c>
      <c r="V2109" s="12" t="s">
        <v>126</v>
      </c>
      <c r="W2109" s="12" t="s">
        <v>373</v>
      </c>
      <c r="X2109" s="12" t="s">
        <v>114</v>
      </c>
      <c r="Y2109" s="12" t="s">
        <v>1038</v>
      </c>
      <c r="AJ2109"/>
      <c r="AK2109"/>
    </row>
    <row r="2110" spans="18:37" ht="14">
      <c r="R2110" s="14">
        <v>51352</v>
      </c>
      <c r="S2110" s="14" t="s">
        <v>777</v>
      </c>
      <c r="T2110" s="12" t="s">
        <v>116</v>
      </c>
      <c r="U2110" s="15" t="str">
        <f t="shared" si="44"/>
        <v>Trueblue-2302-2408-CloudTestr- - PRD</v>
      </c>
      <c r="V2110" s="12" t="s">
        <v>117</v>
      </c>
      <c r="W2110" s="12" t="s">
        <v>117</v>
      </c>
      <c r="X2110" s="12" t="s">
        <v>117</v>
      </c>
      <c r="Y2110" s="12" t="s">
        <v>1038</v>
      </c>
      <c r="AJ2110"/>
      <c r="AK2110"/>
    </row>
    <row r="2111" spans="18:37" ht="14">
      <c r="R2111" s="14">
        <v>51353</v>
      </c>
      <c r="S2111" s="14" t="s">
        <v>778</v>
      </c>
      <c r="T2111" s="12" t="s">
        <v>116</v>
      </c>
      <c r="U2111" s="15" t="str">
        <f t="shared" si="44"/>
        <v>TrueBlue-CloudTestr-HCM-ERP-EP - PRD</v>
      </c>
      <c r="V2111" s="12" t="s">
        <v>117</v>
      </c>
      <c r="W2111" s="12" t="s">
        <v>117</v>
      </c>
      <c r="X2111" s="12" t="s">
        <v>117</v>
      </c>
      <c r="Y2111" s="12" t="s">
        <v>1038</v>
      </c>
      <c r="AJ2111"/>
      <c r="AK2111"/>
    </row>
    <row r="2112" spans="18:37" ht="14">
      <c r="R2112" s="14">
        <v>10102</v>
      </c>
      <c r="S2112" s="14" t="s">
        <v>214</v>
      </c>
      <c r="T2112" s="12" t="s">
        <v>150</v>
      </c>
      <c r="U2112" s="15" t="str">
        <f t="shared" si="44"/>
        <v>Trustpilot - CoMo Kochi - CCS</v>
      </c>
      <c r="V2112" s="12" t="s">
        <v>126</v>
      </c>
      <c r="W2112" s="12" t="s">
        <v>127</v>
      </c>
      <c r="X2112" s="12" t="s">
        <v>128</v>
      </c>
      <c r="Y2112" s="12" t="s">
        <v>1038</v>
      </c>
      <c r="AJ2112"/>
      <c r="AK2112"/>
    </row>
    <row r="2113" spans="18:37" ht="14">
      <c r="R2113" s="14">
        <v>10940</v>
      </c>
      <c r="S2113" s="14" t="s">
        <v>1053</v>
      </c>
      <c r="T2113" s="12" t="s">
        <v>185</v>
      </c>
      <c r="U2113" s="15" t="str">
        <f t="shared" si="44"/>
        <v>TUS Airways_BIDT - TPS</v>
      </c>
      <c r="V2113" s="12" t="s">
        <v>126</v>
      </c>
      <c r="W2113" s="12" t="s">
        <v>163</v>
      </c>
      <c r="X2113" s="12" t="s">
        <v>164</v>
      </c>
      <c r="Y2113" s="12" t="s">
        <v>1038</v>
      </c>
      <c r="AJ2113"/>
      <c r="AK2113"/>
    </row>
    <row r="2114" spans="18:37" ht="14">
      <c r="R2114" s="14">
        <v>95702</v>
      </c>
      <c r="S2114" s="14" t="s">
        <v>995</v>
      </c>
      <c r="T2114" s="12" t="s">
        <v>262</v>
      </c>
      <c r="U2114" s="15" t="str">
        <f t="shared" si="44"/>
        <v>Unified Communication - GSI</v>
      </c>
      <c r="V2114" s="12" t="s">
        <v>104</v>
      </c>
      <c r="W2114" s="12" t="s">
        <v>263</v>
      </c>
      <c r="X2114" s="12" t="s">
        <v>264</v>
      </c>
      <c r="Y2114" s="12" t="s">
        <v>1038</v>
      </c>
      <c r="AJ2114"/>
      <c r="AK2114"/>
    </row>
    <row r="2115" spans="18:37" ht="14">
      <c r="R2115" s="14">
        <v>95702</v>
      </c>
      <c r="S2115" s="14" t="s">
        <v>995</v>
      </c>
      <c r="T2115" s="12" t="s">
        <v>145</v>
      </c>
      <c r="U2115" s="15" t="str">
        <f t="shared" ref="U2115:U2178" si="45">S2115&amp;" - "&amp;T2115</f>
        <v>Unified Communication - SUP</v>
      </c>
      <c r="V2115" s="12" t="s">
        <v>104</v>
      </c>
      <c r="W2115" s="12" t="s">
        <v>263</v>
      </c>
      <c r="X2115" s="12" t="s">
        <v>264</v>
      </c>
      <c r="Y2115" s="12" t="s">
        <v>1038</v>
      </c>
      <c r="AJ2115"/>
      <c r="AK2115"/>
    </row>
    <row r="2116" spans="18:37" ht="14">
      <c r="R2116" s="14">
        <v>12408</v>
      </c>
      <c r="S2116" s="14" t="s">
        <v>540</v>
      </c>
      <c r="T2116" s="12" t="s">
        <v>230</v>
      </c>
      <c r="U2116" s="15" t="str">
        <f t="shared" si="45"/>
        <v>University of Illinois-Coding - PRSP</v>
      </c>
      <c r="V2116" s="12" t="s">
        <v>126</v>
      </c>
      <c r="W2116" s="12" t="s">
        <v>237</v>
      </c>
      <c r="X2116" s="12" t="s">
        <v>238</v>
      </c>
      <c r="Y2116" s="12" t="s">
        <v>1038</v>
      </c>
      <c r="AJ2116"/>
      <c r="AK2116"/>
    </row>
    <row r="2117" spans="18:37" ht="14">
      <c r="R2117" s="14">
        <v>12408</v>
      </c>
      <c r="S2117" s="14" t="s">
        <v>540</v>
      </c>
      <c r="T2117" s="12" t="s">
        <v>145</v>
      </c>
      <c r="U2117" s="15" t="str">
        <f t="shared" si="45"/>
        <v>University of Illinois-Coding - SUP</v>
      </c>
      <c r="V2117" s="12" t="s">
        <v>126</v>
      </c>
      <c r="W2117" s="12" t="s">
        <v>237</v>
      </c>
      <c r="X2117" s="12" t="s">
        <v>238</v>
      </c>
      <c r="Y2117" s="12" t="s">
        <v>1038</v>
      </c>
      <c r="AJ2117"/>
      <c r="AK2117"/>
    </row>
    <row r="2118" spans="18:37" ht="14">
      <c r="R2118" s="14">
        <v>12408</v>
      </c>
      <c r="S2118" s="14" t="s">
        <v>540</v>
      </c>
      <c r="T2118" s="12" t="s">
        <v>185</v>
      </c>
      <c r="U2118" s="15" t="str">
        <f t="shared" si="45"/>
        <v>University of Illinois-Coding - TPS</v>
      </c>
      <c r="V2118" s="12" t="s">
        <v>126</v>
      </c>
      <c r="W2118" s="12" t="s">
        <v>237</v>
      </c>
      <c r="X2118" s="12" t="s">
        <v>238</v>
      </c>
      <c r="Y2118" s="12" t="s">
        <v>1038</v>
      </c>
      <c r="AJ2118"/>
      <c r="AK2118"/>
    </row>
    <row r="2119" spans="18:37" ht="14">
      <c r="R2119" s="14">
        <v>27110</v>
      </c>
      <c r="S2119" s="14" t="s">
        <v>653</v>
      </c>
      <c r="T2119" s="12" t="s">
        <v>150</v>
      </c>
      <c r="U2119" s="15" t="str">
        <f t="shared" si="45"/>
        <v>Unum Contact Center - CCS</v>
      </c>
      <c r="V2119" s="12" t="s">
        <v>126</v>
      </c>
      <c r="W2119" s="12" t="s">
        <v>163</v>
      </c>
      <c r="X2119" s="12" t="s">
        <v>164</v>
      </c>
      <c r="Y2119" s="12" t="s">
        <v>1038</v>
      </c>
      <c r="AJ2119"/>
      <c r="AK2119"/>
    </row>
    <row r="2120" spans="18:37" ht="14">
      <c r="R2120" s="14">
        <v>51411</v>
      </c>
      <c r="S2120" s="14" t="s">
        <v>781</v>
      </c>
      <c r="T2120" s="12" t="s">
        <v>116</v>
      </c>
      <c r="U2120" s="15" t="str">
        <f t="shared" si="45"/>
        <v>UPES-UPES_101 - PRD</v>
      </c>
      <c r="V2120" s="12" t="s">
        <v>117</v>
      </c>
      <c r="W2120" s="12" t="s">
        <v>117</v>
      </c>
      <c r="X2120" s="12" t="s">
        <v>117</v>
      </c>
      <c r="Y2120" s="12" t="s">
        <v>1038</v>
      </c>
      <c r="AJ2120"/>
      <c r="AK2120"/>
    </row>
    <row r="2121" spans="18:37" ht="14">
      <c r="R2121" s="14">
        <v>23025</v>
      </c>
      <c r="S2121" s="14" t="s">
        <v>647</v>
      </c>
      <c r="T2121" s="12" t="s">
        <v>306</v>
      </c>
      <c r="U2121" s="15" t="str">
        <f t="shared" si="45"/>
        <v>UPS EMEA CX FNA - Egypt - FAO</v>
      </c>
      <c r="V2121" s="12" t="s">
        <v>126</v>
      </c>
      <c r="W2121" s="12" t="s">
        <v>163</v>
      </c>
      <c r="X2121" s="12" t="s">
        <v>164</v>
      </c>
      <c r="Y2121" s="12" t="s">
        <v>1038</v>
      </c>
      <c r="AJ2121"/>
      <c r="AK2121"/>
    </row>
    <row r="2122" spans="18:37" ht="14">
      <c r="R2122" s="14">
        <v>23025</v>
      </c>
      <c r="S2122" s="14" t="s">
        <v>647</v>
      </c>
      <c r="T2122" s="12" t="s">
        <v>250</v>
      </c>
      <c r="U2122" s="15" t="str">
        <f t="shared" si="45"/>
        <v>UPS EMEA CX FNA - Egypt - LED</v>
      </c>
      <c r="V2122" s="12" t="s">
        <v>126</v>
      </c>
      <c r="W2122" s="12" t="s">
        <v>163</v>
      </c>
      <c r="X2122" s="12" t="s">
        <v>164</v>
      </c>
      <c r="Y2122" s="12" t="s">
        <v>1038</v>
      </c>
      <c r="AJ2122"/>
      <c r="AK2122"/>
    </row>
    <row r="2123" spans="18:37" ht="14">
      <c r="R2123" s="14">
        <v>23025</v>
      </c>
      <c r="S2123" s="14" t="s">
        <v>647</v>
      </c>
      <c r="T2123" s="12" t="s">
        <v>180</v>
      </c>
      <c r="U2123" s="15" t="str">
        <f t="shared" si="45"/>
        <v>UPS EMEA CX FNA - Egypt - TMG</v>
      </c>
      <c r="V2123" s="12" t="s">
        <v>126</v>
      </c>
      <c r="W2123" s="12" t="s">
        <v>163</v>
      </c>
      <c r="X2123" s="12" t="s">
        <v>164</v>
      </c>
      <c r="Y2123" s="12" t="s">
        <v>1038</v>
      </c>
      <c r="AJ2123"/>
      <c r="AK2123"/>
    </row>
    <row r="2124" spans="18:37" ht="14">
      <c r="R2124" s="14">
        <v>51354</v>
      </c>
      <c r="S2124" s="14" t="s">
        <v>1079</v>
      </c>
      <c r="T2124" s="12" t="s">
        <v>116</v>
      </c>
      <c r="U2124" s="15" t="str">
        <f t="shared" si="45"/>
        <v>Vertex22082307WorkdayAppT - PRD</v>
      </c>
      <c r="V2124" s="12" t="s">
        <v>117</v>
      </c>
      <c r="W2124" s="12" t="s">
        <v>117</v>
      </c>
      <c r="X2124" s="12" t="s">
        <v>117</v>
      </c>
      <c r="Y2124" s="12" t="s">
        <v>1038</v>
      </c>
      <c r="AJ2124"/>
      <c r="AK2124"/>
    </row>
    <row r="2125" spans="18:37" ht="14">
      <c r="R2125" s="14">
        <v>96727</v>
      </c>
      <c r="S2125" s="14" t="s">
        <v>999</v>
      </c>
      <c r="T2125" s="12" t="s">
        <v>129</v>
      </c>
      <c r="U2125" s="15" t="str">
        <f t="shared" si="45"/>
        <v>Vertical Business Finance - MGT</v>
      </c>
      <c r="V2125" s="12" t="s">
        <v>104</v>
      </c>
      <c r="W2125" s="12" t="s">
        <v>122</v>
      </c>
      <c r="X2125" s="12" t="s">
        <v>114</v>
      </c>
      <c r="Y2125" s="12" t="s">
        <v>1038</v>
      </c>
      <c r="AJ2125"/>
      <c r="AK2125"/>
    </row>
    <row r="2126" spans="18:37" ht="14">
      <c r="R2126" s="14">
        <v>96727</v>
      </c>
      <c r="S2126" s="14" t="s">
        <v>999</v>
      </c>
      <c r="T2126" s="12" t="s">
        <v>139</v>
      </c>
      <c r="U2126" s="15" t="str">
        <f t="shared" si="45"/>
        <v>Vertical Business Finance - SMGT</v>
      </c>
      <c r="V2126" s="12" t="s">
        <v>104</v>
      </c>
      <c r="W2126" s="12" t="s">
        <v>122</v>
      </c>
      <c r="X2126" s="12" t="s">
        <v>114</v>
      </c>
      <c r="Y2126" s="12" t="s">
        <v>1038</v>
      </c>
      <c r="AJ2126"/>
      <c r="AK2126"/>
    </row>
    <row r="2127" spans="18:37" ht="14">
      <c r="R2127" s="14">
        <v>96727</v>
      </c>
      <c r="S2127" s="14" t="s">
        <v>999</v>
      </c>
      <c r="T2127" s="12" t="s">
        <v>145</v>
      </c>
      <c r="U2127" s="15" t="str">
        <f t="shared" si="45"/>
        <v>Vertical Business Finance - SUP</v>
      </c>
      <c r="V2127" s="12" t="s">
        <v>104</v>
      </c>
      <c r="W2127" s="12" t="s">
        <v>122</v>
      </c>
      <c r="X2127" s="12" t="s">
        <v>114</v>
      </c>
      <c r="Y2127" s="12" t="s">
        <v>1038</v>
      </c>
      <c r="AJ2127"/>
      <c r="AK2127"/>
    </row>
    <row r="2128" spans="18:37" ht="14">
      <c r="R2128" s="14">
        <v>90100</v>
      </c>
      <c r="S2128" s="14" t="s">
        <v>400</v>
      </c>
      <c r="T2128" s="12" t="s">
        <v>177</v>
      </c>
      <c r="U2128" s="15" t="str">
        <f t="shared" si="45"/>
        <v>Vice Chairman Office - OPS</v>
      </c>
      <c r="V2128" s="12" t="s">
        <v>104</v>
      </c>
      <c r="W2128" s="12" t="s">
        <v>401</v>
      </c>
      <c r="X2128" s="12" t="s">
        <v>114</v>
      </c>
      <c r="Y2128" s="12" t="s">
        <v>1038</v>
      </c>
      <c r="AJ2128"/>
      <c r="AK2128"/>
    </row>
    <row r="2129" spans="18:37" ht="14">
      <c r="R2129" s="14">
        <v>90100</v>
      </c>
      <c r="S2129" s="14" t="s">
        <v>400</v>
      </c>
      <c r="T2129" s="12" t="s">
        <v>139</v>
      </c>
      <c r="U2129" s="15" t="str">
        <f t="shared" si="45"/>
        <v>Vice Chairman Office - SMGT</v>
      </c>
      <c r="V2129" s="12" t="s">
        <v>104</v>
      </c>
      <c r="W2129" s="12" t="s">
        <v>401</v>
      </c>
      <c r="X2129" s="12" t="s">
        <v>114</v>
      </c>
      <c r="Y2129" s="12" t="s">
        <v>1038</v>
      </c>
      <c r="AJ2129"/>
      <c r="AK2129"/>
    </row>
    <row r="2130" spans="18:37" ht="14">
      <c r="R2130" s="14">
        <v>12446</v>
      </c>
      <c r="S2130" s="14" t="s">
        <v>552</v>
      </c>
      <c r="T2130" s="12" t="s">
        <v>116</v>
      </c>
      <c r="U2130" s="15" t="str">
        <f t="shared" si="45"/>
        <v>Virence - PRD</v>
      </c>
      <c r="V2130" s="12" t="s">
        <v>117</v>
      </c>
      <c r="W2130" s="12" t="s">
        <v>117</v>
      </c>
      <c r="X2130" s="12" t="s">
        <v>117</v>
      </c>
      <c r="Y2130" s="12" t="s">
        <v>1038</v>
      </c>
      <c r="AJ2130"/>
      <c r="AK2130"/>
    </row>
    <row r="2131" spans="18:37" ht="14">
      <c r="R2131" s="14">
        <v>12446</v>
      </c>
      <c r="S2131" s="14" t="s">
        <v>552</v>
      </c>
      <c r="T2131" s="12" t="s">
        <v>145</v>
      </c>
      <c r="U2131" s="15" t="str">
        <f t="shared" si="45"/>
        <v>Virence - SUP</v>
      </c>
      <c r="V2131" s="12" t="s">
        <v>117</v>
      </c>
      <c r="W2131" s="12" t="s">
        <v>117</v>
      </c>
      <c r="X2131" s="12" t="s">
        <v>117</v>
      </c>
      <c r="Y2131" s="12" t="s">
        <v>1038</v>
      </c>
      <c r="AJ2131"/>
      <c r="AK2131"/>
    </row>
    <row r="2132" spans="18:37" ht="14">
      <c r="R2132" s="14">
        <v>51365</v>
      </c>
      <c r="S2132" s="14" t="s">
        <v>1080</v>
      </c>
      <c r="T2132" s="12" t="s">
        <v>116</v>
      </c>
      <c r="U2132" s="15" t="str">
        <f t="shared" si="45"/>
        <v>VITASOracleHCMCloud - PRD</v>
      </c>
      <c r="V2132" s="12" t="s">
        <v>117</v>
      </c>
      <c r="W2132" s="12" t="s">
        <v>117</v>
      </c>
      <c r="X2132" s="12" t="s">
        <v>117</v>
      </c>
      <c r="Y2132" s="12" t="s">
        <v>1038</v>
      </c>
      <c r="AJ2132"/>
      <c r="AK2132"/>
    </row>
    <row r="2133" spans="18:37" ht="14">
      <c r="R2133" s="14">
        <v>10046</v>
      </c>
      <c r="S2133" s="14" t="s">
        <v>195</v>
      </c>
      <c r="T2133" s="12" t="s">
        <v>145</v>
      </c>
      <c r="U2133" s="15" t="str">
        <f t="shared" si="45"/>
        <v>Wayfair CS India - SUP</v>
      </c>
      <c r="V2133" s="12" t="s">
        <v>126</v>
      </c>
      <c r="W2133" s="12" t="s">
        <v>360</v>
      </c>
      <c r="X2133" s="12" t="s">
        <v>361</v>
      </c>
      <c r="Y2133" s="12" t="s">
        <v>1038</v>
      </c>
      <c r="AJ2133"/>
      <c r="AK2133"/>
    </row>
    <row r="2134" spans="18:37" ht="14">
      <c r="R2134" s="14">
        <v>10090</v>
      </c>
      <c r="S2134" s="14" t="s">
        <v>210</v>
      </c>
      <c r="T2134" s="12" t="s">
        <v>150</v>
      </c>
      <c r="U2134" s="15" t="str">
        <f t="shared" si="45"/>
        <v>Wayfair LPS Support Ind - CCS</v>
      </c>
      <c r="V2134" s="12" t="s">
        <v>126</v>
      </c>
      <c r="W2134" s="12" t="s">
        <v>360</v>
      </c>
      <c r="X2134" s="12" t="s">
        <v>361</v>
      </c>
      <c r="Y2134" s="12" t="s">
        <v>1038</v>
      </c>
      <c r="AJ2134"/>
      <c r="AK2134"/>
    </row>
    <row r="2135" spans="18:37" ht="14">
      <c r="R2135" s="14">
        <v>10919</v>
      </c>
      <c r="S2135" s="14" t="s">
        <v>465</v>
      </c>
      <c r="T2135" s="12" t="s">
        <v>145</v>
      </c>
      <c r="U2135" s="15" t="str">
        <f t="shared" si="45"/>
        <v>Wayfair_Supplier Experience - SUP</v>
      </c>
      <c r="V2135" s="12" t="s">
        <v>126</v>
      </c>
      <c r="W2135" s="12" t="s">
        <v>360</v>
      </c>
      <c r="X2135" s="12" t="s">
        <v>361</v>
      </c>
      <c r="Y2135" s="12" t="s">
        <v>1038</v>
      </c>
      <c r="AJ2135"/>
      <c r="AK2135"/>
    </row>
    <row r="2136" spans="18:37" ht="14">
      <c r="R2136" s="14">
        <v>10024</v>
      </c>
      <c r="S2136" s="14" t="s">
        <v>173</v>
      </c>
      <c r="T2136" s="12" t="s">
        <v>145</v>
      </c>
      <c r="U2136" s="15" t="str">
        <f t="shared" si="45"/>
        <v>WestField - SUP</v>
      </c>
      <c r="V2136" s="12" t="s">
        <v>117</v>
      </c>
      <c r="W2136" s="12" t="s">
        <v>117</v>
      </c>
      <c r="X2136" s="12" t="s">
        <v>117</v>
      </c>
      <c r="Y2136" s="12" t="s">
        <v>1038</v>
      </c>
      <c r="AJ2136"/>
      <c r="AK2136"/>
    </row>
    <row r="2137" spans="18:37" ht="14">
      <c r="R2137" s="14">
        <v>10013</v>
      </c>
      <c r="S2137" s="14" t="s">
        <v>1040</v>
      </c>
      <c r="T2137" s="12" t="s">
        <v>185</v>
      </c>
      <c r="U2137" s="15" t="str">
        <f t="shared" si="45"/>
        <v>Westfield F and A Operations. - TPS</v>
      </c>
      <c r="V2137" s="12" t="s">
        <v>126</v>
      </c>
      <c r="W2137" s="12" t="s">
        <v>163</v>
      </c>
      <c r="X2137" s="12" t="s">
        <v>164</v>
      </c>
      <c r="Y2137" s="12" t="s">
        <v>1038</v>
      </c>
      <c r="AJ2137"/>
      <c r="AK2137"/>
    </row>
    <row r="2138" spans="18:37" ht="14">
      <c r="R2138" s="14">
        <v>10922</v>
      </c>
      <c r="S2138" s="14" t="s">
        <v>467</v>
      </c>
      <c r="T2138" s="12" t="s">
        <v>431</v>
      </c>
      <c r="U2138" s="15" t="str">
        <f t="shared" si="45"/>
        <v>Westfield Insurance - AGA</v>
      </c>
      <c r="V2138" s="12" t="s">
        <v>126</v>
      </c>
      <c r="W2138" s="12" t="s">
        <v>163</v>
      </c>
      <c r="X2138" s="12" t="s">
        <v>164</v>
      </c>
      <c r="Y2138" s="12" t="s">
        <v>1038</v>
      </c>
      <c r="AJ2138"/>
      <c r="AK2138"/>
    </row>
    <row r="2139" spans="18:37" ht="14">
      <c r="R2139" s="14">
        <v>10922</v>
      </c>
      <c r="S2139" s="14" t="s">
        <v>467</v>
      </c>
      <c r="T2139" s="12" t="s">
        <v>721</v>
      </c>
      <c r="U2139" s="15" t="str">
        <f t="shared" si="45"/>
        <v>Westfield Insurance - AGC</v>
      </c>
      <c r="V2139" s="12" t="s">
        <v>126</v>
      </c>
      <c r="W2139" s="12" t="s">
        <v>163</v>
      </c>
      <c r="X2139" s="12" t="s">
        <v>164</v>
      </c>
      <c r="Y2139" s="12" t="s">
        <v>1038</v>
      </c>
      <c r="AJ2139"/>
      <c r="AK2139"/>
    </row>
    <row r="2140" spans="18:37" ht="14">
      <c r="R2140" s="14">
        <v>25608</v>
      </c>
      <c r="S2140" s="14" t="s">
        <v>652</v>
      </c>
      <c r="T2140" s="12" t="s">
        <v>150</v>
      </c>
      <c r="U2140" s="15" t="str">
        <f t="shared" si="45"/>
        <v>Wex Customer Care - CCS</v>
      </c>
      <c r="V2140" s="12" t="s">
        <v>126</v>
      </c>
      <c r="W2140" s="12" t="s">
        <v>980</v>
      </c>
      <c r="X2140" s="12" t="s">
        <v>981</v>
      </c>
      <c r="Y2140" s="12" t="s">
        <v>1038</v>
      </c>
      <c r="AJ2140"/>
      <c r="AK2140"/>
    </row>
    <row r="2141" spans="18:37" ht="14">
      <c r="R2141" s="14">
        <v>10941</v>
      </c>
      <c r="S2141" s="14" t="s">
        <v>482</v>
      </c>
      <c r="T2141" s="12" t="s">
        <v>150</v>
      </c>
      <c r="U2141" s="15" t="str">
        <f t="shared" si="45"/>
        <v>Wex_CustomerCare - CCS</v>
      </c>
      <c r="V2141" s="12" t="s">
        <v>126</v>
      </c>
      <c r="W2141" s="12" t="s">
        <v>980</v>
      </c>
      <c r="X2141" s="12" t="s">
        <v>981</v>
      </c>
      <c r="Y2141" s="12" t="s">
        <v>1038</v>
      </c>
      <c r="AJ2141"/>
      <c r="AK2141"/>
    </row>
    <row r="2142" spans="18:37" ht="14">
      <c r="R2142" s="14">
        <v>10941</v>
      </c>
      <c r="S2142" s="14" t="s">
        <v>482</v>
      </c>
      <c r="T2142" s="12" t="s">
        <v>172</v>
      </c>
      <c r="U2142" s="15" t="str">
        <f t="shared" si="45"/>
        <v>Wex_CustomerCare - SME</v>
      </c>
      <c r="V2142" s="12" t="s">
        <v>126</v>
      </c>
      <c r="W2142" s="12" t="s">
        <v>980</v>
      </c>
      <c r="X2142" s="12" t="s">
        <v>981</v>
      </c>
      <c r="Y2142" s="12" t="s">
        <v>1038</v>
      </c>
      <c r="AJ2142"/>
      <c r="AK2142"/>
    </row>
    <row r="2143" spans="18:37" ht="14">
      <c r="R2143" s="14">
        <v>10941</v>
      </c>
      <c r="S2143" s="14" t="s">
        <v>482</v>
      </c>
      <c r="T2143" s="12" t="s">
        <v>180</v>
      </c>
      <c r="U2143" s="15" t="str">
        <f t="shared" si="45"/>
        <v>Wex_CustomerCare - TMG</v>
      </c>
      <c r="V2143" s="12" t="s">
        <v>126</v>
      </c>
      <c r="W2143" s="12" t="s">
        <v>980</v>
      </c>
      <c r="X2143" s="12" t="s">
        <v>981</v>
      </c>
      <c r="Y2143" s="12" t="s">
        <v>1038</v>
      </c>
      <c r="AJ2143"/>
      <c r="AK2143"/>
    </row>
    <row r="2144" spans="18:37" ht="14">
      <c r="R2144" s="14">
        <v>10941</v>
      </c>
      <c r="S2144" s="14" t="s">
        <v>482</v>
      </c>
      <c r="T2144" s="12" t="s">
        <v>185</v>
      </c>
      <c r="U2144" s="15" t="str">
        <f t="shared" si="45"/>
        <v>Wex_CustomerCare - TPS</v>
      </c>
      <c r="V2144" s="12" t="s">
        <v>126</v>
      </c>
      <c r="W2144" s="12" t="s">
        <v>980</v>
      </c>
      <c r="X2144" s="12" t="s">
        <v>981</v>
      </c>
      <c r="Y2144" s="12" t="s">
        <v>1038</v>
      </c>
      <c r="AJ2144"/>
      <c r="AK2144"/>
    </row>
    <row r="2145" spans="18:37" ht="14">
      <c r="R2145" s="14">
        <v>86209</v>
      </c>
      <c r="S2145" s="14" t="s">
        <v>886</v>
      </c>
      <c r="T2145" s="12" t="s">
        <v>129</v>
      </c>
      <c r="U2145" s="15" t="str">
        <f t="shared" si="45"/>
        <v>WFM - Capacity Planning - MGT</v>
      </c>
      <c r="V2145" s="12" t="s">
        <v>112</v>
      </c>
      <c r="W2145" s="12" t="s">
        <v>867</v>
      </c>
      <c r="X2145" s="12" t="s">
        <v>114</v>
      </c>
      <c r="Y2145" s="12" t="s">
        <v>1038</v>
      </c>
      <c r="AJ2145"/>
      <c r="AK2145"/>
    </row>
    <row r="2146" spans="18:37" ht="14">
      <c r="R2146" s="14">
        <v>86209</v>
      </c>
      <c r="S2146" s="14" t="s">
        <v>886</v>
      </c>
      <c r="T2146" s="12" t="s">
        <v>177</v>
      </c>
      <c r="U2146" s="15" t="str">
        <f t="shared" si="45"/>
        <v>WFM - Capacity Planning - OPS</v>
      </c>
      <c r="V2146" s="12" t="s">
        <v>112</v>
      </c>
      <c r="W2146" s="12" t="s">
        <v>867</v>
      </c>
      <c r="X2146" s="12" t="s">
        <v>114</v>
      </c>
      <c r="Y2146" s="12" t="s">
        <v>1038</v>
      </c>
      <c r="AJ2146"/>
      <c r="AK2146"/>
    </row>
    <row r="2147" spans="18:37" ht="14">
      <c r="R2147" s="14">
        <v>86209</v>
      </c>
      <c r="S2147" s="14" t="s">
        <v>886</v>
      </c>
      <c r="T2147" s="12" t="s">
        <v>145</v>
      </c>
      <c r="U2147" s="15" t="str">
        <f t="shared" si="45"/>
        <v>WFM - Capacity Planning - SUP</v>
      </c>
      <c r="V2147" s="12" t="s">
        <v>112</v>
      </c>
      <c r="W2147" s="12" t="s">
        <v>867</v>
      </c>
      <c r="X2147" s="12" t="s">
        <v>114</v>
      </c>
      <c r="Y2147" s="12" t="s">
        <v>1038</v>
      </c>
      <c r="AJ2147"/>
      <c r="AK2147"/>
    </row>
    <row r="2148" spans="18:37" ht="14">
      <c r="R2148" s="14">
        <v>86210</v>
      </c>
      <c r="S2148" s="14" t="s">
        <v>888</v>
      </c>
      <c r="T2148" s="12" t="s">
        <v>150</v>
      </c>
      <c r="U2148" s="15" t="str">
        <f t="shared" si="45"/>
        <v>WFM - Program WFM Leads - CCS</v>
      </c>
      <c r="V2148" s="12" t="s">
        <v>112</v>
      </c>
      <c r="W2148" s="12" t="s">
        <v>867</v>
      </c>
      <c r="X2148" s="12" t="s">
        <v>114</v>
      </c>
      <c r="Y2148" s="12" t="s">
        <v>1038</v>
      </c>
      <c r="AJ2148"/>
      <c r="AK2148"/>
    </row>
    <row r="2149" spans="18:37" ht="14">
      <c r="R2149" s="14">
        <v>86210</v>
      </c>
      <c r="S2149" s="14" t="s">
        <v>888</v>
      </c>
      <c r="T2149" s="12" t="s">
        <v>129</v>
      </c>
      <c r="U2149" s="15" t="str">
        <f t="shared" si="45"/>
        <v>WFM - Program WFM Leads - MGT</v>
      </c>
      <c r="V2149" s="12" t="s">
        <v>112</v>
      </c>
      <c r="W2149" s="12" t="s">
        <v>867</v>
      </c>
      <c r="X2149" s="12" t="s">
        <v>114</v>
      </c>
      <c r="Y2149" s="12" t="s">
        <v>1038</v>
      </c>
      <c r="AJ2149"/>
      <c r="AK2149"/>
    </row>
    <row r="2150" spans="18:37" ht="14">
      <c r="R2150" s="14">
        <v>86210</v>
      </c>
      <c r="S2150" s="14" t="s">
        <v>888</v>
      </c>
      <c r="T2150" s="12" t="s">
        <v>177</v>
      </c>
      <c r="U2150" s="15" t="str">
        <f t="shared" si="45"/>
        <v>WFM - Program WFM Leads - OPS</v>
      </c>
      <c r="V2150" s="12" t="s">
        <v>112</v>
      </c>
      <c r="W2150" s="12" t="s">
        <v>867</v>
      </c>
      <c r="X2150" s="12" t="s">
        <v>114</v>
      </c>
      <c r="Y2150" s="12" t="s">
        <v>1038</v>
      </c>
      <c r="AJ2150"/>
      <c r="AK2150"/>
    </row>
    <row r="2151" spans="18:37" ht="14">
      <c r="R2151" s="14">
        <v>86210</v>
      </c>
      <c r="S2151" s="14" t="s">
        <v>888</v>
      </c>
      <c r="T2151" s="12" t="s">
        <v>139</v>
      </c>
      <c r="U2151" s="15" t="str">
        <f t="shared" si="45"/>
        <v>WFM - Program WFM Leads - SMGT</v>
      </c>
      <c r="V2151" s="12" t="s">
        <v>112</v>
      </c>
      <c r="W2151" s="12" t="s">
        <v>867</v>
      </c>
      <c r="X2151" s="12" t="s">
        <v>114</v>
      </c>
      <c r="Y2151" s="12" t="s">
        <v>1038</v>
      </c>
      <c r="AJ2151"/>
      <c r="AK2151"/>
    </row>
    <row r="2152" spans="18:37" ht="14">
      <c r="R2152" s="14">
        <v>86210</v>
      </c>
      <c r="S2152" s="14" t="s">
        <v>888</v>
      </c>
      <c r="T2152" s="12" t="s">
        <v>145</v>
      </c>
      <c r="U2152" s="15" t="str">
        <f t="shared" si="45"/>
        <v>WFM - Program WFM Leads - SUP</v>
      </c>
      <c r="V2152" s="12" t="s">
        <v>112</v>
      </c>
      <c r="W2152" s="12" t="s">
        <v>867</v>
      </c>
      <c r="X2152" s="12" t="s">
        <v>114</v>
      </c>
      <c r="Y2152" s="12" t="s">
        <v>1038</v>
      </c>
      <c r="AJ2152"/>
      <c r="AK2152"/>
    </row>
    <row r="2153" spans="18:37" ht="14">
      <c r="R2153" s="14">
        <v>86210</v>
      </c>
      <c r="S2153" s="14" t="s">
        <v>888</v>
      </c>
      <c r="T2153" s="12" t="s">
        <v>180</v>
      </c>
      <c r="U2153" s="15" t="str">
        <f t="shared" si="45"/>
        <v>WFM - Program WFM Leads - TMG</v>
      </c>
      <c r="V2153" s="12" t="s">
        <v>112</v>
      </c>
      <c r="W2153" s="12" t="s">
        <v>867</v>
      </c>
      <c r="X2153" s="12" t="s">
        <v>114</v>
      </c>
      <c r="Y2153" s="12" t="s">
        <v>1038</v>
      </c>
      <c r="AJ2153"/>
      <c r="AK2153"/>
    </row>
    <row r="2154" spans="18:37" ht="14">
      <c r="R2154" s="14">
        <v>86205</v>
      </c>
      <c r="S2154" s="14" t="s">
        <v>882</v>
      </c>
      <c r="T2154" s="12" t="s">
        <v>129</v>
      </c>
      <c r="U2154" s="15" t="str">
        <f t="shared" si="45"/>
        <v>WFM - Resource Planning - MGT</v>
      </c>
      <c r="V2154" s="12" t="s">
        <v>112</v>
      </c>
      <c r="W2154" s="12" t="s">
        <v>867</v>
      </c>
      <c r="X2154" s="12" t="s">
        <v>114</v>
      </c>
      <c r="Y2154" s="12" t="s">
        <v>1038</v>
      </c>
      <c r="AJ2154"/>
      <c r="AK2154"/>
    </row>
    <row r="2155" spans="18:37" ht="14">
      <c r="R2155" s="14">
        <v>86205</v>
      </c>
      <c r="S2155" s="14" t="s">
        <v>882</v>
      </c>
      <c r="T2155" s="12" t="s">
        <v>177</v>
      </c>
      <c r="U2155" s="15" t="str">
        <f t="shared" si="45"/>
        <v>WFM - Resource Planning - OPS</v>
      </c>
      <c r="V2155" s="12" t="s">
        <v>112</v>
      </c>
      <c r="W2155" s="12" t="s">
        <v>867</v>
      </c>
      <c r="X2155" s="12" t="s">
        <v>114</v>
      </c>
      <c r="Y2155" s="12" t="s">
        <v>1038</v>
      </c>
      <c r="AJ2155"/>
      <c r="AK2155"/>
    </row>
    <row r="2156" spans="18:37" ht="14">
      <c r="R2156" s="14">
        <v>86205</v>
      </c>
      <c r="S2156" s="14" t="s">
        <v>882</v>
      </c>
      <c r="T2156" s="12" t="s">
        <v>172</v>
      </c>
      <c r="U2156" s="15" t="str">
        <f t="shared" si="45"/>
        <v>WFM - Resource Planning - SME</v>
      </c>
      <c r="V2156" s="12" t="s">
        <v>112</v>
      </c>
      <c r="W2156" s="12" t="s">
        <v>867</v>
      </c>
      <c r="X2156" s="12" t="s">
        <v>114</v>
      </c>
      <c r="Y2156" s="12" t="s">
        <v>1038</v>
      </c>
      <c r="AJ2156"/>
      <c r="AK2156"/>
    </row>
    <row r="2157" spans="18:37" ht="14">
      <c r="R2157" s="14">
        <v>86205</v>
      </c>
      <c r="S2157" s="14" t="s">
        <v>882</v>
      </c>
      <c r="T2157" s="12" t="s">
        <v>145</v>
      </c>
      <c r="U2157" s="15" t="str">
        <f t="shared" si="45"/>
        <v>WFM - Resource Planning - SUP</v>
      </c>
      <c r="V2157" s="12" t="s">
        <v>112</v>
      </c>
      <c r="W2157" s="12" t="s">
        <v>867</v>
      </c>
      <c r="X2157" s="12" t="s">
        <v>114</v>
      </c>
      <c r="Y2157" s="12" t="s">
        <v>1038</v>
      </c>
      <c r="AJ2157"/>
      <c r="AK2157"/>
    </row>
    <row r="2158" spans="18:37" ht="14">
      <c r="R2158" s="14">
        <v>86205</v>
      </c>
      <c r="S2158" s="14" t="s">
        <v>882</v>
      </c>
      <c r="T2158" s="12" t="s">
        <v>180</v>
      </c>
      <c r="U2158" s="15" t="str">
        <f t="shared" si="45"/>
        <v>WFM - Resource Planning - TMG</v>
      </c>
      <c r="V2158" s="12" t="s">
        <v>112</v>
      </c>
      <c r="W2158" s="12" t="s">
        <v>867</v>
      </c>
      <c r="X2158" s="12" t="s">
        <v>114</v>
      </c>
      <c r="Y2158" s="12" t="s">
        <v>1038</v>
      </c>
      <c r="AJ2158"/>
      <c r="AK2158"/>
    </row>
    <row r="2159" spans="18:37" ht="14">
      <c r="R2159" s="14">
        <v>86207</v>
      </c>
      <c r="S2159" s="14" t="s">
        <v>885</v>
      </c>
      <c r="T2159" s="12" t="s">
        <v>144</v>
      </c>
      <c r="U2159" s="15" t="str">
        <f t="shared" si="45"/>
        <v>WFM - RTA/ CCOD - CCOD</v>
      </c>
      <c r="V2159" s="12" t="s">
        <v>112</v>
      </c>
      <c r="W2159" s="12" t="s">
        <v>1021</v>
      </c>
      <c r="X2159" s="12" t="s">
        <v>114</v>
      </c>
      <c r="Y2159" s="12" t="s">
        <v>1038</v>
      </c>
      <c r="AJ2159"/>
      <c r="AK2159"/>
    </row>
    <row r="2160" spans="18:37" ht="14">
      <c r="R2160" s="14">
        <v>86207</v>
      </c>
      <c r="S2160" s="14" t="s">
        <v>885</v>
      </c>
      <c r="T2160" s="12" t="s">
        <v>150</v>
      </c>
      <c r="U2160" s="15" t="str">
        <f t="shared" si="45"/>
        <v>WFM - RTA/ CCOD - CCS</v>
      </c>
      <c r="V2160" s="12" t="s">
        <v>112</v>
      </c>
      <c r="W2160" s="12" t="s">
        <v>1021</v>
      </c>
      <c r="X2160" s="12" t="s">
        <v>114</v>
      </c>
      <c r="Y2160" s="12" t="s">
        <v>1038</v>
      </c>
      <c r="AJ2160"/>
      <c r="AK2160"/>
    </row>
    <row r="2161" spans="18:37" ht="14">
      <c r="R2161" s="14">
        <v>86207</v>
      </c>
      <c r="S2161" s="14" t="s">
        <v>885</v>
      </c>
      <c r="T2161" s="12" t="s">
        <v>161</v>
      </c>
      <c r="U2161" s="15" t="str">
        <f t="shared" si="45"/>
        <v>WFM - RTA/ CCOD - ECC</v>
      </c>
      <c r="V2161" s="12" t="s">
        <v>112</v>
      </c>
      <c r="W2161" s="12" t="s">
        <v>1021</v>
      </c>
      <c r="X2161" s="12" t="s">
        <v>114</v>
      </c>
      <c r="Y2161" s="12" t="s">
        <v>1038</v>
      </c>
      <c r="AJ2161"/>
      <c r="AK2161"/>
    </row>
    <row r="2162" spans="18:37" ht="14">
      <c r="R2162" s="14">
        <v>86207</v>
      </c>
      <c r="S2162" s="14" t="s">
        <v>885</v>
      </c>
      <c r="T2162" s="12" t="s">
        <v>171</v>
      </c>
      <c r="U2162" s="15" t="str">
        <f t="shared" si="45"/>
        <v>WFM - RTA/ CCOD - ETE</v>
      </c>
      <c r="V2162" s="12" t="s">
        <v>112</v>
      </c>
      <c r="W2162" s="12" t="s">
        <v>1021</v>
      </c>
      <c r="X2162" s="12" t="s">
        <v>114</v>
      </c>
      <c r="Y2162" s="12" t="s">
        <v>1038</v>
      </c>
      <c r="AJ2162"/>
      <c r="AK2162"/>
    </row>
    <row r="2163" spans="18:37" ht="14">
      <c r="R2163" s="14">
        <v>86207</v>
      </c>
      <c r="S2163" s="14" t="s">
        <v>885</v>
      </c>
      <c r="T2163" s="12" t="s">
        <v>129</v>
      </c>
      <c r="U2163" s="15" t="str">
        <f t="shared" si="45"/>
        <v>WFM - RTA/ CCOD - MGT</v>
      </c>
      <c r="V2163" s="12" t="s">
        <v>112</v>
      </c>
      <c r="W2163" s="12" t="s">
        <v>1021</v>
      </c>
      <c r="X2163" s="12" t="s">
        <v>114</v>
      </c>
      <c r="Y2163" s="12" t="s">
        <v>1038</v>
      </c>
      <c r="AJ2163"/>
      <c r="AK2163"/>
    </row>
    <row r="2164" spans="18:37" ht="14">
      <c r="R2164" s="14">
        <v>86207</v>
      </c>
      <c r="S2164" s="14" t="s">
        <v>885</v>
      </c>
      <c r="T2164" s="12" t="s">
        <v>177</v>
      </c>
      <c r="U2164" s="15" t="str">
        <f t="shared" si="45"/>
        <v>WFM - RTA/ CCOD - OPS</v>
      </c>
      <c r="V2164" s="12" t="s">
        <v>112</v>
      </c>
      <c r="W2164" s="12" t="s">
        <v>1021</v>
      </c>
      <c r="X2164" s="12" t="s">
        <v>114</v>
      </c>
      <c r="Y2164" s="12" t="s">
        <v>1038</v>
      </c>
      <c r="AJ2164"/>
      <c r="AK2164"/>
    </row>
    <row r="2165" spans="18:37" ht="14">
      <c r="R2165" s="14">
        <v>86207</v>
      </c>
      <c r="S2165" s="14" t="s">
        <v>885</v>
      </c>
      <c r="T2165" s="12" t="s">
        <v>172</v>
      </c>
      <c r="U2165" s="15" t="str">
        <f t="shared" si="45"/>
        <v>WFM - RTA/ CCOD - SME</v>
      </c>
      <c r="V2165" s="12" t="s">
        <v>112</v>
      </c>
      <c r="W2165" s="12" t="s">
        <v>1021</v>
      </c>
      <c r="X2165" s="12" t="s">
        <v>114</v>
      </c>
      <c r="Y2165" s="12" t="s">
        <v>1038</v>
      </c>
      <c r="AJ2165"/>
      <c r="AK2165"/>
    </row>
    <row r="2166" spans="18:37" ht="14">
      <c r="R2166" s="14">
        <v>86207</v>
      </c>
      <c r="S2166" s="14" t="s">
        <v>885</v>
      </c>
      <c r="T2166" s="12" t="s">
        <v>145</v>
      </c>
      <c r="U2166" s="15" t="str">
        <f t="shared" si="45"/>
        <v>WFM - RTA/ CCOD - SUP</v>
      </c>
      <c r="V2166" s="12" t="s">
        <v>112</v>
      </c>
      <c r="W2166" s="12" t="s">
        <v>1021</v>
      </c>
      <c r="X2166" s="12" t="s">
        <v>114</v>
      </c>
      <c r="Y2166" s="12" t="s">
        <v>1038</v>
      </c>
      <c r="AJ2166"/>
      <c r="AK2166"/>
    </row>
    <row r="2167" spans="18:37" ht="14">
      <c r="R2167" s="14">
        <v>86207</v>
      </c>
      <c r="S2167" s="14" t="s">
        <v>885</v>
      </c>
      <c r="T2167" s="12" t="s">
        <v>196</v>
      </c>
      <c r="U2167" s="15" t="str">
        <f t="shared" si="45"/>
        <v>WFM - RTA/ CCOD - SUT</v>
      </c>
      <c r="V2167" s="12" t="s">
        <v>112</v>
      </c>
      <c r="W2167" s="12" t="s">
        <v>1021</v>
      </c>
      <c r="X2167" s="12" t="s">
        <v>114</v>
      </c>
      <c r="Y2167" s="12" t="s">
        <v>1038</v>
      </c>
      <c r="AJ2167"/>
      <c r="AK2167"/>
    </row>
    <row r="2168" spans="18:37" ht="14">
      <c r="R2168" s="14">
        <v>86207</v>
      </c>
      <c r="S2168" s="14" t="s">
        <v>885</v>
      </c>
      <c r="T2168" s="12" t="s">
        <v>198</v>
      </c>
      <c r="U2168" s="15" t="str">
        <f t="shared" si="45"/>
        <v>WFM - RTA/ CCOD - TEC</v>
      </c>
      <c r="V2168" s="12" t="s">
        <v>112</v>
      </c>
      <c r="W2168" s="12" t="s">
        <v>1021</v>
      </c>
      <c r="X2168" s="12" t="s">
        <v>114</v>
      </c>
      <c r="Y2168" s="12" t="s">
        <v>1038</v>
      </c>
      <c r="AJ2168"/>
      <c r="AK2168"/>
    </row>
    <row r="2169" spans="18:37" ht="14">
      <c r="R2169" s="14">
        <v>86207</v>
      </c>
      <c r="S2169" s="14" t="s">
        <v>885</v>
      </c>
      <c r="T2169" s="12" t="s">
        <v>180</v>
      </c>
      <c r="U2169" s="15" t="str">
        <f t="shared" si="45"/>
        <v>WFM - RTA/ CCOD - TMG</v>
      </c>
      <c r="V2169" s="12" t="s">
        <v>112</v>
      </c>
      <c r="W2169" s="12" t="s">
        <v>1021</v>
      </c>
      <c r="X2169" s="12" t="s">
        <v>114</v>
      </c>
      <c r="Y2169" s="12" t="s">
        <v>1038</v>
      </c>
      <c r="AJ2169"/>
      <c r="AK2169"/>
    </row>
    <row r="2170" spans="18:37" ht="14">
      <c r="R2170" s="14">
        <v>86218</v>
      </c>
      <c r="S2170" s="14" t="s">
        <v>889</v>
      </c>
      <c r="T2170" s="12" t="s">
        <v>129</v>
      </c>
      <c r="U2170" s="15" t="str">
        <f t="shared" si="45"/>
        <v>WFM Leads and &amp; Account Leads - MGT</v>
      </c>
      <c r="V2170" s="12" t="s">
        <v>112</v>
      </c>
      <c r="W2170" s="12" t="s">
        <v>1006</v>
      </c>
      <c r="X2170" s="12" t="s">
        <v>114</v>
      </c>
      <c r="Y2170" s="12" t="s">
        <v>1038</v>
      </c>
      <c r="AJ2170"/>
      <c r="AK2170"/>
    </row>
    <row r="2171" spans="18:37" ht="14">
      <c r="R2171" s="14">
        <v>86218</v>
      </c>
      <c r="S2171" s="14" t="s">
        <v>889</v>
      </c>
      <c r="T2171" s="12" t="s">
        <v>177</v>
      </c>
      <c r="U2171" s="15" t="str">
        <f t="shared" si="45"/>
        <v>WFM Leads and &amp; Account Leads - OPS</v>
      </c>
      <c r="V2171" s="12" t="s">
        <v>112</v>
      </c>
      <c r="W2171" s="12" t="s">
        <v>1006</v>
      </c>
      <c r="X2171" s="12" t="s">
        <v>114</v>
      </c>
      <c r="Y2171" s="12" t="s">
        <v>1038</v>
      </c>
      <c r="AJ2171"/>
      <c r="AK2171"/>
    </row>
    <row r="2172" spans="18:37" ht="14">
      <c r="R2172" s="14">
        <v>86218</v>
      </c>
      <c r="S2172" s="14" t="s">
        <v>889</v>
      </c>
      <c r="T2172" s="12" t="s">
        <v>145</v>
      </c>
      <c r="U2172" s="15" t="str">
        <f t="shared" si="45"/>
        <v>WFM Leads and &amp; Account Leads - SUP</v>
      </c>
      <c r="V2172" s="12" t="s">
        <v>112</v>
      </c>
      <c r="W2172" s="12" t="s">
        <v>1006</v>
      </c>
      <c r="X2172" s="12" t="s">
        <v>114</v>
      </c>
      <c r="Y2172" s="12" t="s">
        <v>1038</v>
      </c>
      <c r="AJ2172"/>
      <c r="AK2172"/>
    </row>
    <row r="2173" spans="18:37" ht="14">
      <c r="R2173" s="14">
        <v>86206</v>
      </c>
      <c r="S2173" s="14" t="s">
        <v>884</v>
      </c>
      <c r="T2173" s="12" t="s">
        <v>348</v>
      </c>
      <c r="U2173" s="15" t="str">
        <f t="shared" si="45"/>
        <v>WFM- WFM/Scheduling - ADM</v>
      </c>
      <c r="V2173" s="12" t="s">
        <v>112</v>
      </c>
      <c r="W2173" s="12" t="s">
        <v>1021</v>
      </c>
      <c r="X2173" s="12" t="s">
        <v>114</v>
      </c>
      <c r="Y2173" s="12" t="s">
        <v>1038</v>
      </c>
      <c r="AJ2173"/>
      <c r="AK2173"/>
    </row>
    <row r="2174" spans="18:37" ht="14">
      <c r="R2174" s="14">
        <v>86206</v>
      </c>
      <c r="S2174" s="14" t="s">
        <v>884</v>
      </c>
      <c r="T2174" s="12" t="s">
        <v>129</v>
      </c>
      <c r="U2174" s="15" t="str">
        <f t="shared" si="45"/>
        <v>WFM- WFM/Scheduling - MGT</v>
      </c>
      <c r="V2174" s="12" t="s">
        <v>112</v>
      </c>
      <c r="W2174" s="12" t="s">
        <v>1021</v>
      </c>
      <c r="X2174" s="12" t="s">
        <v>114</v>
      </c>
      <c r="Y2174" s="12" t="s">
        <v>1038</v>
      </c>
      <c r="AJ2174"/>
      <c r="AK2174"/>
    </row>
    <row r="2175" spans="18:37" ht="14">
      <c r="R2175" s="14">
        <v>86206</v>
      </c>
      <c r="S2175" s="14" t="s">
        <v>884</v>
      </c>
      <c r="T2175" s="12" t="s">
        <v>177</v>
      </c>
      <c r="U2175" s="15" t="str">
        <f t="shared" si="45"/>
        <v>WFM- WFM/Scheduling - OPS</v>
      </c>
      <c r="V2175" s="12" t="s">
        <v>112</v>
      </c>
      <c r="W2175" s="12" t="s">
        <v>1021</v>
      </c>
      <c r="X2175" s="12" t="s">
        <v>114</v>
      </c>
      <c r="Y2175" s="12" t="s">
        <v>1038</v>
      </c>
      <c r="AJ2175"/>
      <c r="AK2175"/>
    </row>
    <row r="2176" spans="18:37" ht="14">
      <c r="R2176" s="14">
        <v>86206</v>
      </c>
      <c r="S2176" s="14" t="s">
        <v>884</v>
      </c>
      <c r="T2176" s="12" t="s">
        <v>145</v>
      </c>
      <c r="U2176" s="15" t="str">
        <f t="shared" si="45"/>
        <v>WFM- WFM/Scheduling - SUP</v>
      </c>
      <c r="V2176" s="12" t="s">
        <v>112</v>
      </c>
      <c r="W2176" s="12" t="s">
        <v>1021</v>
      </c>
      <c r="X2176" s="12" t="s">
        <v>114</v>
      </c>
      <c r="Y2176" s="12" t="s">
        <v>1038</v>
      </c>
      <c r="AJ2176"/>
      <c r="AK2176"/>
    </row>
    <row r="2177" spans="18:37" ht="14">
      <c r="R2177" s="14">
        <v>51458</v>
      </c>
      <c r="S2177" s="14" t="s">
        <v>809</v>
      </c>
      <c r="T2177" s="12" t="s">
        <v>116</v>
      </c>
      <c r="U2177" s="15" t="str">
        <f t="shared" si="45"/>
        <v>WFS-2212-2304-EBS-WFS-Support - PRD</v>
      </c>
      <c r="V2177" s="12" t="s">
        <v>117</v>
      </c>
      <c r="W2177" s="12" t="s">
        <v>117</v>
      </c>
      <c r="X2177" s="12" t="s">
        <v>117</v>
      </c>
      <c r="Y2177" s="12" t="s">
        <v>1038</v>
      </c>
      <c r="AJ2177"/>
      <c r="AK2177"/>
    </row>
    <row r="2178" spans="18:37" ht="14">
      <c r="R2178" s="14">
        <v>40208</v>
      </c>
      <c r="S2178" s="14" t="s">
        <v>682</v>
      </c>
      <c r="T2178" s="12" t="s">
        <v>185</v>
      </c>
      <c r="U2178" s="15" t="str">
        <f t="shared" si="45"/>
        <v>Widroe Airlines - TPS</v>
      </c>
      <c r="V2178" s="12" t="s">
        <v>126</v>
      </c>
      <c r="W2178" s="12" t="s">
        <v>163</v>
      </c>
      <c r="X2178" s="12" t="s">
        <v>164</v>
      </c>
      <c r="Y2178" s="12" t="s">
        <v>1038</v>
      </c>
      <c r="AJ2178"/>
      <c r="AK2178"/>
    </row>
    <row r="2179" spans="18:37" ht="14">
      <c r="R2179" s="14">
        <v>10040</v>
      </c>
      <c r="S2179" s="14" t="s">
        <v>186</v>
      </c>
      <c r="T2179" s="12" t="s">
        <v>138</v>
      </c>
      <c r="U2179" s="15" t="str">
        <f t="shared" ref="U2179:U2185" si="46">S2179&amp;" - "&amp;T2179</f>
        <v>Windstream Order Management - BOS</v>
      </c>
      <c r="V2179" s="12" t="s">
        <v>126</v>
      </c>
      <c r="W2179" s="12" t="s">
        <v>163</v>
      </c>
      <c r="X2179" s="12" t="s">
        <v>164</v>
      </c>
      <c r="Y2179" s="12" t="s">
        <v>1038</v>
      </c>
      <c r="AJ2179"/>
      <c r="AK2179"/>
    </row>
    <row r="2180" spans="18:37" ht="14">
      <c r="R2180" s="14">
        <v>10040</v>
      </c>
      <c r="S2180" s="14" t="s">
        <v>186</v>
      </c>
      <c r="T2180" s="12" t="s">
        <v>306</v>
      </c>
      <c r="U2180" s="15" t="str">
        <f t="shared" si="46"/>
        <v>Windstream Order Management - FAO</v>
      </c>
      <c r="V2180" s="12" t="s">
        <v>126</v>
      </c>
      <c r="W2180" s="12" t="s">
        <v>163</v>
      </c>
      <c r="X2180" s="12" t="s">
        <v>164</v>
      </c>
      <c r="Y2180" s="12" t="s">
        <v>1038</v>
      </c>
      <c r="AJ2180"/>
      <c r="AK2180"/>
    </row>
    <row r="2181" spans="18:37" ht="14">
      <c r="R2181" s="14">
        <v>10040</v>
      </c>
      <c r="S2181" s="14" t="s">
        <v>186</v>
      </c>
      <c r="T2181" s="12" t="s">
        <v>180</v>
      </c>
      <c r="U2181" s="15" t="str">
        <f t="shared" si="46"/>
        <v>Windstream Order Management - TMG</v>
      </c>
      <c r="V2181" s="12" t="s">
        <v>126</v>
      </c>
      <c r="W2181" s="12" t="s">
        <v>163</v>
      </c>
      <c r="X2181" s="12" t="s">
        <v>164</v>
      </c>
      <c r="Y2181" s="12" t="s">
        <v>1038</v>
      </c>
      <c r="AJ2181"/>
      <c r="AK2181"/>
    </row>
    <row r="2182" spans="18:37" ht="14">
      <c r="R2182" s="14">
        <v>51374</v>
      </c>
      <c r="S2182" s="14" t="s">
        <v>1081</v>
      </c>
      <c r="T2182" s="12" t="s">
        <v>116</v>
      </c>
      <c r="U2182" s="15" t="str">
        <f t="shared" si="46"/>
        <v>WM22042409InfraManagedservi - PRD</v>
      </c>
      <c r="V2182" s="12" t="s">
        <v>117</v>
      </c>
      <c r="W2182" s="12" t="s">
        <v>117</v>
      </c>
      <c r="X2182" s="12" t="s">
        <v>117</v>
      </c>
      <c r="Y2182" s="12" t="s">
        <v>1038</v>
      </c>
      <c r="AJ2182"/>
      <c r="AK2182"/>
    </row>
    <row r="2183" spans="18:37" ht="14">
      <c r="R2183" s="14">
        <v>18069</v>
      </c>
      <c r="S2183" s="14" t="s">
        <v>630</v>
      </c>
      <c r="T2183" s="12" t="s">
        <v>185</v>
      </c>
      <c r="U2183" s="15" t="str">
        <f t="shared" si="46"/>
        <v>Xperience Title Search Analyst - TPS</v>
      </c>
      <c r="V2183" s="12" t="s">
        <v>126</v>
      </c>
      <c r="W2183" s="12" t="s">
        <v>163</v>
      </c>
      <c r="X2183" s="12" t="s">
        <v>164</v>
      </c>
      <c r="Y2183" s="12" t="s">
        <v>1038</v>
      </c>
      <c r="AJ2183"/>
      <c r="AK2183"/>
    </row>
    <row r="2184" spans="18:37" ht="14">
      <c r="R2184" s="14">
        <v>40138</v>
      </c>
      <c r="S2184" s="14" t="s">
        <v>675</v>
      </c>
      <c r="T2184" s="12" t="s">
        <v>180</v>
      </c>
      <c r="U2184" s="15" t="str">
        <f t="shared" si="46"/>
        <v>YES_BANK_CASA - TMG</v>
      </c>
      <c r="V2184" s="12" t="s">
        <v>126</v>
      </c>
      <c r="W2184" s="12" t="s">
        <v>163</v>
      </c>
      <c r="X2184" s="12" t="s">
        <v>164</v>
      </c>
      <c r="Y2184" s="12" t="s">
        <v>1038</v>
      </c>
      <c r="AJ2184"/>
      <c r="AK2184"/>
    </row>
    <row r="2185" spans="18:37" ht="14">
      <c r="R2185" s="14">
        <v>40138</v>
      </c>
      <c r="S2185" s="14" t="s">
        <v>675</v>
      </c>
      <c r="T2185" s="12" t="s">
        <v>185</v>
      </c>
      <c r="U2185" s="15" t="str">
        <f t="shared" si="46"/>
        <v>YES_BANK_CASA - TPS</v>
      </c>
      <c r="V2185" s="12" t="s">
        <v>126</v>
      </c>
      <c r="W2185" s="12" t="s">
        <v>163</v>
      </c>
      <c r="X2185" s="12" t="s">
        <v>164</v>
      </c>
      <c r="Y2185" s="12" t="s">
        <v>1038</v>
      </c>
      <c r="AJ2185"/>
      <c r="AK2185"/>
    </row>
    <row r="2186" spans="18:37" ht="14">
      <c r="R2186" s="14"/>
      <c r="S2186" s="14"/>
      <c r="T2186" s="12"/>
      <c r="U2186" s="15"/>
      <c r="V2186" s="12"/>
      <c r="W2186" s="12"/>
      <c r="X2186" s="12"/>
      <c r="Y2186" s="12"/>
      <c r="AJ2186"/>
      <c r="AK2186"/>
    </row>
    <row r="2187" spans="18:37" ht="14">
      <c r="R2187" s="14"/>
      <c r="S2187" s="14"/>
      <c r="T2187" s="12"/>
      <c r="U2187" s="15"/>
      <c r="V2187" s="12"/>
      <c r="W2187" s="12"/>
      <c r="X2187" s="12"/>
      <c r="Y2187" s="12"/>
      <c r="AJ2187"/>
      <c r="AK2187"/>
    </row>
    <row r="2188" spans="18:37" ht="14">
      <c r="R2188" s="14"/>
      <c r="S2188" s="14"/>
      <c r="T2188" s="12"/>
      <c r="U2188" s="15"/>
      <c r="V2188" s="12"/>
      <c r="W2188" s="12"/>
      <c r="X2188" s="12"/>
      <c r="Y2188" s="12"/>
      <c r="AJ2188"/>
      <c r="AK2188"/>
    </row>
    <row r="2189" spans="18:37" ht="14">
      <c r="R2189" s="14"/>
      <c r="S2189" s="14"/>
      <c r="T2189" s="12"/>
      <c r="U2189" s="15"/>
      <c r="V2189" s="12"/>
      <c r="W2189" s="12"/>
      <c r="X2189" s="12"/>
      <c r="Y2189" s="12"/>
      <c r="AJ2189"/>
      <c r="AK2189"/>
    </row>
    <row r="2190" spans="18:37" ht="14">
      <c r="R2190" s="14"/>
      <c r="S2190" s="14"/>
      <c r="T2190" s="12"/>
      <c r="U2190" s="15"/>
      <c r="V2190" s="12"/>
      <c r="W2190" s="12"/>
      <c r="X2190" s="12"/>
      <c r="Y2190" s="12"/>
      <c r="AJ2190"/>
      <c r="AK2190"/>
    </row>
    <row r="2191" spans="18:37" ht="14">
      <c r="R2191" s="14"/>
      <c r="S2191" s="14"/>
      <c r="T2191" s="12"/>
      <c r="U2191" s="15"/>
      <c r="V2191" s="12"/>
      <c r="W2191" s="12"/>
      <c r="X2191" s="12"/>
      <c r="Y2191" s="12"/>
      <c r="AJ2191"/>
      <c r="AK2191"/>
    </row>
    <row r="2192" spans="18:37" ht="14">
      <c r="R2192" s="14"/>
      <c r="S2192" s="14"/>
      <c r="T2192" s="12"/>
      <c r="U2192" s="15"/>
      <c r="V2192" s="12"/>
      <c r="W2192" s="12"/>
      <c r="X2192" s="12"/>
      <c r="Y2192" s="12"/>
      <c r="AJ2192"/>
      <c r="AK2192"/>
    </row>
    <row r="2193" spans="18:37" ht="14">
      <c r="R2193" s="14"/>
      <c r="S2193" s="14"/>
      <c r="T2193" s="12"/>
      <c r="U2193" s="15"/>
      <c r="V2193" s="12"/>
      <c r="W2193" s="12"/>
      <c r="X2193" s="12"/>
      <c r="Y2193" s="12"/>
      <c r="AJ2193"/>
      <c r="AK2193"/>
    </row>
    <row r="2194" spans="18:37" ht="14">
      <c r="R2194" s="14"/>
      <c r="S2194" s="14"/>
      <c r="T2194" s="12"/>
      <c r="U2194" s="15"/>
      <c r="V2194" s="12"/>
      <c r="W2194" s="12"/>
      <c r="X2194" s="12"/>
      <c r="Y2194" s="12"/>
      <c r="AJ2194"/>
      <c r="AK2194"/>
    </row>
    <row r="2195" spans="18:37" ht="14">
      <c r="R2195" s="14"/>
      <c r="S2195" s="14"/>
      <c r="T2195" s="12"/>
      <c r="U2195" s="15"/>
      <c r="V2195" s="12"/>
      <c r="W2195" s="12"/>
      <c r="X2195" s="12"/>
      <c r="Y2195" s="12"/>
      <c r="AJ2195"/>
      <c r="AK2195"/>
    </row>
    <row r="2196" spans="18:37" ht="14">
      <c r="R2196" s="14"/>
      <c r="S2196" s="14"/>
      <c r="T2196" s="12"/>
      <c r="U2196" s="15"/>
      <c r="V2196" s="12"/>
      <c r="W2196" s="12"/>
      <c r="X2196" s="12"/>
      <c r="Y2196" s="12"/>
      <c r="AJ2196"/>
      <c r="AK2196"/>
    </row>
    <row r="2197" spans="18:37" ht="14">
      <c r="R2197" s="14"/>
      <c r="S2197" s="14"/>
      <c r="T2197" s="12"/>
      <c r="U2197" s="15"/>
      <c r="V2197" s="12"/>
      <c r="W2197" s="12"/>
      <c r="X2197" s="12"/>
      <c r="Y2197" s="12"/>
      <c r="AJ2197"/>
      <c r="AK2197"/>
    </row>
    <row r="2198" spans="18:37" ht="14">
      <c r="R2198" s="14"/>
      <c r="S2198" s="14"/>
      <c r="T2198" s="12"/>
      <c r="U2198" s="15"/>
      <c r="V2198" s="12"/>
      <c r="W2198" s="12"/>
      <c r="X2198" s="12"/>
      <c r="Y2198" s="12"/>
      <c r="AJ2198"/>
      <c r="AK2198"/>
    </row>
    <row r="2199" spans="18:37" ht="14">
      <c r="R2199" s="14"/>
      <c r="S2199" s="14"/>
      <c r="T2199" s="12"/>
      <c r="U2199" s="15"/>
      <c r="V2199" s="12"/>
      <c r="W2199" s="12"/>
      <c r="X2199" s="12"/>
      <c r="Y2199" s="12"/>
      <c r="AJ2199"/>
      <c r="AK2199"/>
    </row>
    <row r="2200" spans="18:37" ht="14">
      <c r="R2200" s="14"/>
      <c r="S2200" s="14"/>
      <c r="T2200" s="12"/>
      <c r="U2200" s="15"/>
      <c r="V2200" s="12"/>
      <c r="W2200" s="12"/>
      <c r="X2200" s="12"/>
      <c r="Y2200" s="12"/>
      <c r="AJ2200"/>
      <c r="AK2200"/>
    </row>
    <row r="2201" spans="18:37" ht="14">
      <c r="R2201" s="14"/>
      <c r="S2201" s="14"/>
      <c r="T2201" s="12"/>
      <c r="U2201" s="15"/>
      <c r="V2201" s="12"/>
      <c r="W2201" s="12"/>
      <c r="X2201" s="12"/>
      <c r="Y2201" s="12"/>
      <c r="AJ2201"/>
      <c r="AK2201"/>
    </row>
    <row r="2202" spans="18:37" ht="14">
      <c r="R2202" s="14"/>
      <c r="S2202" s="14"/>
      <c r="T2202" s="12"/>
      <c r="U2202" s="15"/>
      <c r="V2202" s="12"/>
      <c r="W2202" s="12"/>
      <c r="X2202" s="12"/>
      <c r="Y2202" s="12"/>
      <c r="AJ2202"/>
      <c r="AK2202"/>
    </row>
    <row r="2203" spans="18:37" ht="14">
      <c r="R2203" s="14"/>
      <c r="S2203" s="14"/>
      <c r="T2203" s="12"/>
      <c r="U2203" s="15"/>
      <c r="V2203" s="12"/>
      <c r="W2203" s="12"/>
      <c r="X2203" s="12"/>
      <c r="Y2203" s="12"/>
      <c r="AJ2203"/>
      <c r="AK2203"/>
    </row>
    <row r="2204" spans="18:37" ht="14">
      <c r="R2204" s="14"/>
      <c r="S2204" s="14"/>
      <c r="T2204" s="12"/>
      <c r="U2204" s="15"/>
      <c r="V2204" s="12"/>
      <c r="W2204" s="12"/>
      <c r="X2204" s="12"/>
      <c r="Y2204" s="12"/>
      <c r="AJ2204"/>
      <c r="AK2204"/>
    </row>
    <row r="2205" spans="18:37" ht="14">
      <c r="R2205" s="14"/>
      <c r="S2205" s="14"/>
      <c r="T2205" s="12"/>
      <c r="U2205" s="15"/>
      <c r="V2205" s="12"/>
      <c r="W2205" s="12"/>
      <c r="X2205" s="12"/>
      <c r="Y2205" s="12"/>
      <c r="AJ2205"/>
      <c r="AK2205"/>
    </row>
    <row r="2206" spans="18:37" ht="14">
      <c r="R2206" s="14"/>
      <c r="S2206" s="14"/>
      <c r="T2206" s="12"/>
      <c r="U2206" s="15"/>
      <c r="V2206" s="12"/>
      <c r="W2206" s="12"/>
      <c r="X2206" s="12"/>
      <c r="Y2206" s="12"/>
      <c r="AJ2206"/>
      <c r="AK2206"/>
    </row>
    <row r="2207" spans="18:37" ht="14">
      <c r="R2207" s="14"/>
      <c r="S2207" s="14"/>
      <c r="T2207" s="12"/>
      <c r="U2207" s="15"/>
      <c r="V2207" s="12"/>
      <c r="W2207" s="12"/>
      <c r="X2207" s="12"/>
      <c r="Y2207" s="12"/>
      <c r="AJ2207"/>
      <c r="AK2207"/>
    </row>
    <row r="2208" spans="18:37" ht="14">
      <c r="R2208" s="14"/>
      <c r="S2208" s="14"/>
      <c r="T2208" s="12"/>
      <c r="U2208" s="15"/>
      <c r="V2208" s="12"/>
      <c r="W2208" s="12"/>
      <c r="X2208" s="12"/>
      <c r="Y2208" s="12"/>
      <c r="AJ2208"/>
      <c r="AK2208"/>
    </row>
    <row r="2209" spans="18:37" ht="14">
      <c r="R2209" s="14"/>
      <c r="S2209" s="14"/>
      <c r="T2209" s="12"/>
      <c r="U2209" s="15"/>
      <c r="V2209" s="12"/>
      <c r="W2209" s="12"/>
      <c r="X2209" s="12"/>
      <c r="Y2209" s="12"/>
      <c r="AJ2209"/>
      <c r="AK2209"/>
    </row>
    <row r="2210" spans="18:37" ht="14">
      <c r="R2210" s="14"/>
      <c r="S2210" s="14"/>
      <c r="T2210" s="12"/>
      <c r="U2210" s="15"/>
      <c r="V2210" s="12"/>
      <c r="W2210" s="12"/>
      <c r="X2210" s="12"/>
      <c r="Y2210" s="12"/>
      <c r="AJ2210"/>
      <c r="AK2210"/>
    </row>
    <row r="2211" spans="18:37" ht="14">
      <c r="R2211" s="14"/>
      <c r="S2211" s="14"/>
      <c r="T2211" s="12"/>
      <c r="U2211" s="15"/>
      <c r="V2211" s="12"/>
      <c r="W2211" s="12"/>
      <c r="X2211" s="12"/>
      <c r="Y2211" s="12"/>
      <c r="AJ2211"/>
      <c r="AK2211"/>
    </row>
    <row r="2212" spans="18:37" ht="14">
      <c r="R2212" s="14"/>
      <c r="S2212" s="14"/>
      <c r="T2212" s="12"/>
      <c r="U2212" s="15"/>
      <c r="V2212" s="12"/>
      <c r="W2212" s="12"/>
      <c r="X2212" s="12"/>
      <c r="Y2212" s="12"/>
      <c r="AJ2212"/>
      <c r="AK2212"/>
    </row>
    <row r="2213" spans="18:37" ht="14">
      <c r="R2213" s="14"/>
      <c r="S2213" s="14"/>
      <c r="T2213" s="12"/>
      <c r="U2213" s="15"/>
      <c r="V2213" s="12"/>
      <c r="W2213" s="12"/>
      <c r="X2213" s="12"/>
      <c r="Y2213" s="12"/>
      <c r="AJ2213"/>
      <c r="AK2213"/>
    </row>
    <row r="2214" spans="18:37" ht="14">
      <c r="R2214" s="14"/>
      <c r="S2214" s="14"/>
      <c r="T2214" s="12"/>
      <c r="U2214" s="15"/>
      <c r="V2214" s="12"/>
      <c r="W2214" s="12"/>
      <c r="X2214" s="12"/>
      <c r="Y2214" s="12"/>
      <c r="AJ2214"/>
      <c r="AK2214"/>
    </row>
    <row r="2215" spans="18:37" ht="14">
      <c r="R2215" s="14"/>
      <c r="S2215" s="14"/>
      <c r="T2215" s="12"/>
      <c r="U2215" s="15"/>
      <c r="V2215" s="12"/>
      <c r="W2215" s="12"/>
      <c r="X2215" s="12"/>
      <c r="Y2215" s="12"/>
      <c r="AJ2215"/>
      <c r="AK2215"/>
    </row>
    <row r="2216" spans="18:37" ht="14">
      <c r="R2216" s="14"/>
      <c r="S2216" s="14"/>
      <c r="T2216" s="12"/>
      <c r="U2216" s="15"/>
      <c r="V2216" s="12"/>
      <c r="W2216" s="12"/>
      <c r="X2216" s="12"/>
      <c r="Y2216" s="12"/>
      <c r="AJ2216"/>
      <c r="AK2216"/>
    </row>
    <row r="2217" spans="18:37" ht="14">
      <c r="R2217" s="14"/>
      <c r="S2217" s="14"/>
      <c r="T2217" s="12"/>
      <c r="U2217" s="15"/>
      <c r="V2217" s="12"/>
      <c r="W2217" s="12"/>
      <c r="X2217" s="12"/>
      <c r="Y2217" s="12"/>
      <c r="AJ2217"/>
      <c r="AK2217"/>
    </row>
    <row r="2218" spans="18:37" ht="14">
      <c r="R2218" s="14"/>
      <c r="S2218" s="14"/>
      <c r="T2218" s="12"/>
      <c r="U2218" s="15"/>
      <c r="V2218" s="12"/>
      <c r="W2218" s="12"/>
      <c r="X2218" s="12"/>
      <c r="Y2218" s="12"/>
      <c r="AJ2218"/>
      <c r="AK2218"/>
    </row>
    <row r="2219" spans="18:37" ht="14">
      <c r="R2219" s="14"/>
      <c r="S2219" s="14"/>
      <c r="T2219" s="12"/>
      <c r="U2219" s="15"/>
      <c r="V2219" s="12"/>
      <c r="W2219" s="12"/>
      <c r="X2219" s="12"/>
      <c r="Y2219" s="12"/>
      <c r="AJ2219"/>
      <c r="AK2219"/>
    </row>
    <row r="2220" spans="18:37" ht="14">
      <c r="R2220" s="14"/>
      <c r="S2220" s="14"/>
      <c r="T2220" s="12"/>
      <c r="U2220" s="15"/>
      <c r="V2220" s="12"/>
      <c r="W2220" s="12"/>
      <c r="X2220" s="12"/>
      <c r="Y2220" s="12"/>
      <c r="AJ2220"/>
      <c r="AK2220"/>
    </row>
    <row r="2221" spans="18:37" ht="14">
      <c r="R2221" s="14"/>
      <c r="S2221" s="14"/>
      <c r="T2221" s="12"/>
      <c r="U2221" s="15"/>
      <c r="V2221" s="12"/>
      <c r="W2221" s="12"/>
      <c r="X2221" s="12"/>
      <c r="Y2221" s="12"/>
      <c r="AJ2221"/>
      <c r="AK2221"/>
    </row>
    <row r="2222" spans="18:37" ht="14">
      <c r="R2222" s="14"/>
      <c r="S2222" s="14"/>
      <c r="T2222" s="12"/>
      <c r="U2222" s="15"/>
      <c r="V2222" s="12"/>
      <c r="W2222" s="12"/>
      <c r="X2222" s="12"/>
      <c r="Y2222" s="12"/>
      <c r="AJ2222"/>
      <c r="AK2222"/>
    </row>
    <row r="2223" spans="18:37" ht="14">
      <c r="R2223" s="14"/>
      <c r="S2223" s="14"/>
      <c r="T2223" s="12"/>
      <c r="U2223" s="15"/>
      <c r="V2223" s="12"/>
      <c r="W2223" s="12"/>
      <c r="X2223" s="12"/>
      <c r="Y2223" s="12"/>
      <c r="AJ2223"/>
      <c r="AK2223"/>
    </row>
    <row r="2224" spans="18:37" ht="14">
      <c r="R2224" s="14"/>
      <c r="S2224" s="14"/>
      <c r="T2224" s="12"/>
      <c r="U2224" s="15"/>
      <c r="V2224" s="12"/>
      <c r="W2224" s="12"/>
      <c r="X2224" s="12"/>
      <c r="Y2224" s="12"/>
      <c r="AJ2224"/>
      <c r="AK2224"/>
    </row>
    <row r="2225" spans="18:37" ht="14">
      <c r="R2225" s="14"/>
      <c r="S2225" s="14"/>
      <c r="T2225" s="12"/>
      <c r="U2225" s="15"/>
      <c r="V2225" s="12"/>
      <c r="W2225" s="12"/>
      <c r="X2225" s="12"/>
      <c r="Y2225" s="12"/>
      <c r="AJ2225"/>
      <c r="AK2225"/>
    </row>
    <row r="2226" spans="18:37" ht="14">
      <c r="R2226" s="14"/>
      <c r="S2226" s="14"/>
      <c r="T2226" s="12"/>
      <c r="U2226" s="15"/>
      <c r="V2226" s="12"/>
      <c r="W2226" s="12"/>
      <c r="X2226" s="12"/>
      <c r="Y2226" s="12"/>
      <c r="AJ2226"/>
      <c r="AK2226"/>
    </row>
    <row r="2227" spans="18:37" ht="14">
      <c r="R2227" s="14"/>
      <c r="S2227" s="14"/>
      <c r="T2227" s="12"/>
      <c r="U2227" s="15"/>
      <c r="V2227" s="12"/>
      <c r="W2227" s="12"/>
      <c r="X2227" s="12"/>
      <c r="Y2227" s="12"/>
      <c r="AJ2227"/>
      <c r="AK2227"/>
    </row>
    <row r="2228" spans="18:37" ht="14">
      <c r="R2228" s="14"/>
      <c r="S2228" s="14"/>
      <c r="T2228" s="12"/>
      <c r="U2228" s="15"/>
      <c r="V2228" s="12"/>
      <c r="W2228" s="12"/>
      <c r="X2228" s="12"/>
      <c r="Y2228" s="12"/>
      <c r="AJ2228"/>
      <c r="AK2228"/>
    </row>
    <row r="2229" spans="18:37" ht="14">
      <c r="R2229" s="14"/>
      <c r="S2229" s="14"/>
      <c r="T2229" s="12"/>
      <c r="U2229" s="15"/>
      <c r="V2229" s="12"/>
      <c r="W2229" s="12"/>
      <c r="X2229" s="12"/>
      <c r="Y2229" s="12"/>
      <c r="AJ2229"/>
      <c r="AK2229"/>
    </row>
    <row r="2230" spans="18:37" ht="14">
      <c r="R2230" s="14"/>
      <c r="S2230" s="14"/>
      <c r="T2230" s="12"/>
      <c r="U2230" s="15"/>
      <c r="V2230" s="12"/>
      <c r="W2230" s="12"/>
      <c r="X2230" s="12"/>
      <c r="Y2230" s="12"/>
      <c r="AJ2230"/>
      <c r="AK2230"/>
    </row>
    <row r="2231" spans="18:37" ht="14">
      <c r="R2231" s="14"/>
      <c r="S2231" s="14"/>
      <c r="T2231" s="12"/>
      <c r="U2231" s="15"/>
      <c r="V2231" s="12"/>
      <c r="W2231" s="12"/>
      <c r="X2231" s="12"/>
      <c r="Y2231" s="12"/>
      <c r="AJ2231"/>
      <c r="AK2231"/>
    </row>
    <row r="2232" spans="18:37" ht="14">
      <c r="R2232" s="14"/>
      <c r="S2232" s="14"/>
      <c r="T2232" s="12"/>
      <c r="U2232" s="15"/>
      <c r="V2232" s="12"/>
      <c r="W2232" s="12"/>
      <c r="X2232" s="12"/>
      <c r="Y2232" s="12"/>
      <c r="AJ2232"/>
      <c r="AK2232"/>
    </row>
    <row r="2233" spans="18:37" ht="14">
      <c r="R2233" s="14"/>
      <c r="S2233" s="14"/>
      <c r="T2233" s="12"/>
      <c r="U2233" s="15"/>
      <c r="V2233" s="12"/>
      <c r="W2233" s="12"/>
      <c r="X2233" s="12"/>
      <c r="Y2233" s="12"/>
      <c r="AJ2233"/>
      <c r="AK2233"/>
    </row>
    <row r="2234" spans="18:37" ht="14">
      <c r="R2234" s="14"/>
      <c r="S2234" s="14"/>
      <c r="T2234" s="12"/>
      <c r="U2234" s="15"/>
      <c r="V2234" s="12"/>
      <c r="W2234" s="12"/>
      <c r="X2234" s="12"/>
      <c r="Y2234" s="12"/>
      <c r="AJ2234"/>
      <c r="AK2234"/>
    </row>
    <row r="2235" spans="18:37" ht="14">
      <c r="R2235" s="14"/>
      <c r="S2235" s="14"/>
      <c r="T2235" s="12"/>
      <c r="U2235" s="15"/>
      <c r="V2235" s="12"/>
      <c r="W2235" s="12"/>
      <c r="X2235" s="12"/>
      <c r="Y2235" s="12"/>
      <c r="AJ2235"/>
      <c r="AK2235"/>
    </row>
    <row r="2236" spans="18:37" ht="14">
      <c r="R2236" s="14"/>
      <c r="S2236" s="14"/>
      <c r="T2236" s="12"/>
      <c r="U2236" s="15"/>
      <c r="V2236" s="12"/>
      <c r="W2236" s="12"/>
      <c r="X2236" s="12"/>
      <c r="Y2236" s="12"/>
      <c r="AJ2236"/>
      <c r="AK2236"/>
    </row>
    <row r="2237" spans="18:37" ht="14">
      <c r="R2237" s="14"/>
      <c r="S2237" s="14"/>
      <c r="T2237" s="12"/>
      <c r="U2237" s="15"/>
      <c r="V2237" s="12"/>
      <c r="W2237" s="12"/>
      <c r="X2237" s="12"/>
      <c r="Y2237" s="12"/>
      <c r="AJ2237"/>
      <c r="AK2237"/>
    </row>
    <row r="2238" spans="18:37" ht="14">
      <c r="R2238" s="14"/>
      <c r="S2238" s="14"/>
      <c r="T2238" s="12"/>
      <c r="U2238" s="15"/>
      <c r="V2238" s="12"/>
      <c r="W2238" s="12"/>
      <c r="X2238" s="12"/>
      <c r="Y2238" s="12"/>
      <c r="AJ2238"/>
      <c r="AK2238"/>
    </row>
    <row r="2239" spans="18:37" ht="14">
      <c r="R2239" s="14"/>
      <c r="S2239" s="14"/>
      <c r="T2239" s="12"/>
      <c r="U2239" s="15"/>
      <c r="V2239" s="12"/>
      <c r="W2239" s="12"/>
      <c r="X2239" s="12"/>
      <c r="Y2239" s="12"/>
      <c r="AJ2239"/>
      <c r="AK2239"/>
    </row>
    <row r="2240" spans="18:37" ht="14">
      <c r="R2240" s="14"/>
      <c r="S2240" s="14"/>
      <c r="T2240" s="12"/>
      <c r="U2240" s="15"/>
      <c r="V2240" s="12"/>
      <c r="W2240" s="12"/>
      <c r="X2240" s="12"/>
      <c r="Y2240" s="12"/>
      <c r="AJ2240"/>
      <c r="AK2240"/>
    </row>
    <row r="2241" spans="18:37" ht="14">
      <c r="R2241" s="14"/>
      <c r="S2241" s="14"/>
      <c r="T2241" s="12"/>
      <c r="U2241" s="15"/>
      <c r="V2241" s="12"/>
      <c r="W2241" s="12"/>
      <c r="X2241" s="12"/>
      <c r="Y2241" s="12"/>
      <c r="AJ2241"/>
      <c r="AK2241"/>
    </row>
    <row r="2242" spans="18:37" ht="14">
      <c r="R2242" s="14"/>
      <c r="S2242" s="14"/>
      <c r="T2242" s="12"/>
      <c r="U2242" s="15"/>
      <c r="V2242" s="12"/>
      <c r="W2242" s="12"/>
      <c r="X2242" s="12"/>
      <c r="Y2242" s="12"/>
      <c r="AJ2242"/>
      <c r="AK2242"/>
    </row>
    <row r="2243" spans="18:37" ht="14">
      <c r="R2243" s="14"/>
      <c r="S2243" s="14"/>
      <c r="T2243" s="12"/>
      <c r="U2243" s="15"/>
      <c r="V2243" s="12"/>
      <c r="W2243" s="12"/>
      <c r="X2243" s="12"/>
      <c r="Y2243" s="12"/>
      <c r="AJ2243"/>
      <c r="AK2243"/>
    </row>
    <row r="2244" spans="18:37" ht="14">
      <c r="R2244" s="14"/>
      <c r="S2244" s="14"/>
      <c r="T2244" s="12"/>
      <c r="U2244" s="15"/>
      <c r="V2244" s="12"/>
      <c r="W2244" s="12"/>
      <c r="X2244" s="12"/>
      <c r="Y2244" s="12"/>
      <c r="AJ2244"/>
      <c r="AK2244"/>
    </row>
    <row r="2245" spans="18:37" ht="14">
      <c r="R2245" s="14"/>
      <c r="S2245" s="14"/>
      <c r="T2245" s="12"/>
      <c r="U2245" s="15"/>
      <c r="V2245" s="12"/>
      <c r="W2245" s="12"/>
      <c r="X2245" s="12"/>
      <c r="Y2245" s="12"/>
      <c r="AJ2245"/>
      <c r="AK2245"/>
    </row>
    <row r="2246" spans="18:37" ht="14">
      <c r="R2246" s="14"/>
      <c r="S2246" s="14"/>
      <c r="T2246" s="12"/>
      <c r="U2246" s="15"/>
      <c r="V2246" s="12"/>
      <c r="W2246" s="12"/>
      <c r="X2246" s="12"/>
      <c r="Y2246" s="12"/>
      <c r="AJ2246"/>
      <c r="AK2246"/>
    </row>
    <row r="2247" spans="18:37" ht="14">
      <c r="R2247" s="14"/>
      <c r="S2247" s="14"/>
      <c r="T2247" s="12"/>
      <c r="U2247" s="15"/>
      <c r="V2247" s="12"/>
      <c r="W2247" s="12"/>
      <c r="X2247" s="12"/>
      <c r="Y2247" s="12"/>
      <c r="AJ2247"/>
      <c r="AK2247"/>
    </row>
    <row r="2248" spans="18:37" ht="14">
      <c r="R2248" s="14"/>
      <c r="S2248" s="14"/>
      <c r="T2248" s="12"/>
      <c r="U2248" s="15"/>
      <c r="V2248" s="12"/>
      <c r="W2248" s="12"/>
      <c r="X2248" s="12"/>
      <c r="Y2248" s="12"/>
      <c r="AJ2248"/>
      <c r="AK2248"/>
    </row>
    <row r="2249" spans="18:37" ht="14">
      <c r="R2249" s="14"/>
      <c r="S2249" s="14"/>
      <c r="T2249" s="12"/>
      <c r="U2249" s="15"/>
      <c r="V2249" s="12"/>
      <c r="W2249" s="12"/>
      <c r="X2249" s="12"/>
      <c r="Y2249" s="12"/>
      <c r="AJ2249"/>
      <c r="AK2249"/>
    </row>
    <row r="2250" spans="18:37" ht="14">
      <c r="R2250" s="14"/>
      <c r="S2250" s="14"/>
      <c r="T2250" s="12"/>
      <c r="U2250" s="15"/>
      <c r="V2250" s="12"/>
      <c r="W2250" s="12"/>
      <c r="X2250" s="12"/>
      <c r="Y2250" s="12"/>
      <c r="AJ2250"/>
      <c r="AK2250"/>
    </row>
    <row r="2251" spans="18:37" ht="14">
      <c r="R2251" s="14"/>
      <c r="S2251" s="14"/>
      <c r="T2251" s="12"/>
      <c r="U2251" s="15"/>
      <c r="V2251" s="12"/>
      <c r="W2251" s="12"/>
      <c r="X2251" s="12"/>
      <c r="Y2251" s="12"/>
      <c r="AJ2251"/>
      <c r="AK2251"/>
    </row>
    <row r="2252" spans="18:37" ht="14">
      <c r="R2252" s="14"/>
      <c r="S2252" s="14"/>
      <c r="T2252" s="12"/>
      <c r="U2252" s="15"/>
      <c r="V2252" s="12"/>
      <c r="W2252" s="12"/>
      <c r="X2252" s="12"/>
      <c r="Y2252" s="12"/>
      <c r="AJ2252"/>
      <c r="AK2252"/>
    </row>
    <row r="2253" spans="18:37" ht="14">
      <c r="R2253" s="14"/>
      <c r="S2253" s="14"/>
      <c r="T2253" s="12"/>
      <c r="U2253" s="15"/>
      <c r="V2253" s="12"/>
      <c r="W2253" s="12"/>
      <c r="X2253" s="12"/>
      <c r="Y2253" s="12"/>
      <c r="AJ2253"/>
      <c r="AK2253"/>
    </row>
    <row r="2254" spans="18:37" ht="14">
      <c r="R2254" s="14"/>
      <c r="S2254" s="14"/>
      <c r="T2254" s="12"/>
      <c r="U2254" s="15"/>
      <c r="V2254" s="12"/>
      <c r="W2254" s="12"/>
      <c r="X2254" s="12"/>
      <c r="Y2254" s="12"/>
      <c r="AJ2254"/>
      <c r="AK2254"/>
    </row>
    <row r="2255" spans="18:37" ht="14">
      <c r="R2255" s="14"/>
      <c r="S2255" s="14"/>
      <c r="T2255" s="12"/>
      <c r="U2255" s="15"/>
      <c r="V2255" s="12"/>
      <c r="W2255" s="12"/>
      <c r="X2255" s="12"/>
      <c r="Y2255" s="12"/>
      <c r="AJ2255"/>
      <c r="AK2255"/>
    </row>
    <row r="2256" spans="18:37" ht="14">
      <c r="R2256" s="14"/>
      <c r="S2256" s="14"/>
      <c r="T2256" s="12"/>
      <c r="U2256" s="15"/>
      <c r="V2256" s="12"/>
      <c r="W2256" s="12"/>
      <c r="X2256" s="12"/>
      <c r="Y2256" s="12"/>
      <c r="AJ2256"/>
      <c r="AK2256"/>
    </row>
    <row r="2257" spans="18:37" ht="14">
      <c r="R2257" s="14"/>
      <c r="S2257" s="14"/>
      <c r="T2257" s="12"/>
      <c r="U2257" s="15"/>
      <c r="V2257" s="12"/>
      <c r="W2257" s="12"/>
      <c r="X2257" s="12"/>
      <c r="Y2257" s="12"/>
      <c r="AJ2257"/>
      <c r="AK2257"/>
    </row>
    <row r="2258" spans="18:37" ht="14">
      <c r="R2258" s="14"/>
      <c r="S2258" s="14"/>
      <c r="T2258" s="12"/>
      <c r="U2258" s="15"/>
      <c r="V2258" s="12"/>
      <c r="W2258" s="12"/>
      <c r="X2258" s="12"/>
      <c r="Y2258" s="12"/>
      <c r="AJ2258"/>
      <c r="AK2258"/>
    </row>
    <row r="2259" spans="18:37" ht="14">
      <c r="R2259" s="14"/>
      <c r="S2259" s="14"/>
      <c r="T2259" s="12"/>
      <c r="U2259" s="15"/>
      <c r="V2259" s="12"/>
      <c r="W2259" s="12"/>
      <c r="X2259" s="12"/>
      <c r="Y2259" s="12"/>
      <c r="AJ2259"/>
      <c r="AK2259"/>
    </row>
    <row r="2260" spans="18:37" ht="14">
      <c r="R2260" s="14"/>
      <c r="S2260" s="14"/>
      <c r="T2260" s="12"/>
      <c r="U2260" s="15"/>
      <c r="V2260" s="12"/>
      <c r="W2260" s="12"/>
      <c r="X2260" s="12"/>
      <c r="Y2260" s="12"/>
      <c r="AJ2260"/>
      <c r="AK2260"/>
    </row>
    <row r="2261" spans="18:37" ht="14">
      <c r="R2261" s="14"/>
      <c r="S2261" s="14"/>
      <c r="T2261" s="12"/>
      <c r="U2261" s="15"/>
      <c r="V2261" s="12"/>
      <c r="W2261" s="12"/>
      <c r="X2261" s="12"/>
      <c r="Y2261" s="12"/>
      <c r="AJ2261"/>
      <c r="AK2261"/>
    </row>
    <row r="2262" spans="18:37" ht="14">
      <c r="R2262" s="14"/>
      <c r="S2262" s="14"/>
      <c r="T2262" s="12"/>
      <c r="U2262" s="15"/>
      <c r="V2262" s="12"/>
      <c r="W2262" s="12"/>
      <c r="X2262" s="12"/>
      <c r="Y2262" s="12"/>
      <c r="AJ2262"/>
      <c r="AK2262"/>
    </row>
    <row r="2263" spans="18:37" ht="14">
      <c r="R2263" s="14"/>
      <c r="S2263" s="14"/>
      <c r="T2263" s="12"/>
      <c r="U2263" s="15"/>
      <c r="V2263" s="12"/>
      <c r="W2263" s="12"/>
      <c r="X2263" s="12"/>
      <c r="Y2263" s="12"/>
      <c r="AJ2263"/>
      <c r="AK2263"/>
    </row>
    <row r="2264" spans="18:37" ht="14">
      <c r="R2264" s="14"/>
      <c r="S2264" s="14"/>
      <c r="T2264" s="12"/>
      <c r="U2264" s="15"/>
      <c r="V2264" s="12"/>
      <c r="W2264" s="12"/>
      <c r="X2264" s="12"/>
      <c r="Y2264" s="12"/>
      <c r="AJ2264"/>
      <c r="AK2264"/>
    </row>
    <row r="2265" spans="18:37" ht="14">
      <c r="R2265" s="14"/>
      <c r="S2265" s="14"/>
      <c r="T2265" s="12"/>
      <c r="U2265" s="15"/>
      <c r="V2265" s="12"/>
      <c r="W2265" s="12"/>
      <c r="X2265" s="12"/>
      <c r="Y2265" s="12"/>
      <c r="AJ2265"/>
      <c r="AK2265"/>
    </row>
    <row r="2266" spans="18:37" ht="14">
      <c r="R2266" s="14"/>
      <c r="S2266" s="14"/>
      <c r="T2266" s="12"/>
      <c r="U2266" s="15"/>
      <c r="V2266" s="12"/>
      <c r="W2266" s="12"/>
      <c r="X2266" s="12"/>
      <c r="Y2266" s="12"/>
      <c r="AJ2266"/>
      <c r="AK2266"/>
    </row>
    <row r="2267" spans="18:37" ht="14">
      <c r="R2267" s="14"/>
      <c r="S2267" s="14"/>
      <c r="T2267" s="12"/>
      <c r="U2267" s="15"/>
      <c r="V2267" s="12"/>
      <c r="W2267" s="12"/>
      <c r="X2267" s="12"/>
      <c r="Y2267" s="12"/>
      <c r="AJ2267"/>
      <c r="AK2267"/>
    </row>
    <row r="2268" spans="18:37" ht="14">
      <c r="R2268" s="14"/>
      <c r="S2268" s="14"/>
      <c r="T2268" s="12"/>
      <c r="U2268" s="15"/>
      <c r="V2268" s="12"/>
      <c r="W2268" s="12"/>
      <c r="X2268" s="12"/>
      <c r="Y2268" s="12"/>
      <c r="AJ2268"/>
      <c r="AK2268"/>
    </row>
    <row r="2269" spans="18:37" ht="14">
      <c r="R2269" s="14"/>
      <c r="S2269" s="14"/>
      <c r="T2269" s="12"/>
      <c r="U2269" s="15"/>
      <c r="V2269" s="12"/>
      <c r="W2269" s="12"/>
      <c r="X2269" s="12"/>
      <c r="Y2269" s="12"/>
      <c r="AJ2269"/>
      <c r="AK2269"/>
    </row>
    <row r="2270" spans="18:37" ht="14">
      <c r="R2270" s="14"/>
      <c r="S2270" s="14"/>
      <c r="T2270" s="12"/>
      <c r="U2270" s="15"/>
      <c r="V2270" s="12"/>
      <c r="W2270" s="12"/>
      <c r="X2270" s="12"/>
      <c r="Y2270" s="12"/>
      <c r="AJ2270"/>
      <c r="AK2270"/>
    </row>
    <row r="2271" spans="18:37" ht="14">
      <c r="R2271" s="14"/>
      <c r="S2271" s="14"/>
      <c r="T2271" s="12"/>
      <c r="U2271" s="15"/>
      <c r="V2271" s="12"/>
      <c r="W2271" s="12"/>
      <c r="X2271" s="12"/>
      <c r="Y2271" s="12"/>
      <c r="AJ2271"/>
      <c r="AK2271"/>
    </row>
    <row r="2272" spans="18:37" ht="14">
      <c r="R2272" s="14"/>
      <c r="S2272" s="14"/>
      <c r="T2272" s="12"/>
      <c r="U2272" s="15"/>
      <c r="V2272" s="12"/>
      <c r="W2272" s="12"/>
      <c r="X2272" s="12"/>
      <c r="Y2272" s="12"/>
      <c r="AJ2272"/>
      <c r="AK2272"/>
    </row>
    <row r="2273" spans="18:37" ht="14">
      <c r="R2273" s="14"/>
      <c r="S2273" s="14"/>
      <c r="T2273" s="12"/>
      <c r="U2273" s="15"/>
      <c r="V2273" s="12"/>
      <c r="W2273" s="12"/>
      <c r="X2273" s="12"/>
      <c r="Y2273" s="12"/>
      <c r="AJ2273"/>
      <c r="AK2273"/>
    </row>
    <row r="2274" spans="18:37" ht="14">
      <c r="R2274" s="14"/>
      <c r="S2274" s="14"/>
      <c r="T2274" s="12"/>
      <c r="U2274" s="15"/>
      <c r="V2274" s="12"/>
      <c r="W2274" s="12"/>
      <c r="X2274" s="12"/>
      <c r="Y2274" s="12"/>
      <c r="AJ2274"/>
      <c r="AK2274"/>
    </row>
    <row r="2275" spans="18:37" ht="14">
      <c r="R2275" s="14"/>
      <c r="S2275" s="14"/>
      <c r="T2275" s="12"/>
      <c r="U2275" s="15"/>
      <c r="V2275" s="12"/>
      <c r="W2275" s="12"/>
      <c r="X2275" s="12"/>
      <c r="Y2275" s="12"/>
      <c r="AJ2275"/>
      <c r="AK2275"/>
    </row>
    <row r="2276" spans="18:37" ht="14">
      <c r="R2276" s="14"/>
      <c r="S2276" s="14"/>
      <c r="T2276" s="12"/>
      <c r="U2276" s="15"/>
      <c r="V2276" s="12"/>
      <c r="W2276" s="12"/>
      <c r="X2276" s="12"/>
      <c r="Y2276" s="12"/>
      <c r="AJ2276"/>
      <c r="AK2276"/>
    </row>
    <row r="2277" spans="18:37" ht="14">
      <c r="R2277" s="14"/>
      <c r="S2277" s="14"/>
      <c r="T2277" s="12"/>
      <c r="U2277" s="15"/>
      <c r="V2277" s="12"/>
      <c r="W2277" s="12"/>
      <c r="X2277" s="12"/>
      <c r="Y2277" s="12"/>
      <c r="AJ2277"/>
      <c r="AK2277"/>
    </row>
    <row r="2278" spans="18:37" ht="14">
      <c r="R2278" s="14"/>
      <c r="S2278" s="14"/>
      <c r="T2278" s="12"/>
      <c r="U2278" s="15"/>
      <c r="V2278" s="12"/>
      <c r="W2278" s="12"/>
      <c r="X2278" s="12"/>
      <c r="Y2278" s="12"/>
      <c r="AJ2278"/>
      <c r="AK2278"/>
    </row>
    <row r="2279" spans="18:37" ht="14">
      <c r="R2279" s="14"/>
      <c r="S2279" s="14"/>
      <c r="T2279" s="12"/>
      <c r="U2279" s="15"/>
      <c r="V2279" s="12"/>
      <c r="W2279" s="12"/>
      <c r="X2279" s="12"/>
      <c r="Y2279" s="12"/>
      <c r="AJ2279"/>
      <c r="AK2279"/>
    </row>
    <row r="2280" spans="18:37" ht="14">
      <c r="R2280" s="14"/>
      <c r="S2280" s="14"/>
      <c r="T2280" s="12"/>
      <c r="U2280" s="15"/>
      <c r="V2280" s="12"/>
      <c r="W2280" s="12"/>
      <c r="X2280" s="12"/>
      <c r="Y2280" s="12"/>
      <c r="AJ2280"/>
      <c r="AK2280"/>
    </row>
    <row r="2281" spans="18:37" ht="14">
      <c r="R2281" s="14"/>
      <c r="S2281" s="14"/>
      <c r="T2281" s="12"/>
      <c r="U2281" s="15"/>
      <c r="V2281" s="12"/>
      <c r="W2281" s="12"/>
      <c r="X2281" s="12"/>
      <c r="Y2281" s="12"/>
      <c r="AJ2281"/>
      <c r="AK2281"/>
    </row>
    <row r="2282" spans="18:37" ht="14">
      <c r="R2282" s="14"/>
      <c r="S2282" s="14"/>
      <c r="T2282" s="12"/>
      <c r="U2282" s="15"/>
      <c r="V2282" s="12"/>
      <c r="W2282" s="12"/>
      <c r="X2282" s="12"/>
      <c r="Y2282" s="12"/>
      <c r="AJ2282"/>
      <c r="AK2282"/>
    </row>
    <row r="2283" spans="18:37" ht="14">
      <c r="R2283" s="14"/>
      <c r="S2283" s="14"/>
      <c r="T2283" s="12"/>
      <c r="U2283" s="15"/>
      <c r="V2283" s="12"/>
      <c r="W2283" s="12"/>
      <c r="X2283" s="12"/>
      <c r="Y2283" s="12"/>
      <c r="AJ2283"/>
      <c r="AK2283"/>
    </row>
    <row r="2284" spans="18:37" ht="14">
      <c r="R2284" s="14"/>
      <c r="S2284" s="14"/>
      <c r="T2284" s="12"/>
      <c r="U2284" s="15"/>
      <c r="V2284" s="12"/>
      <c r="W2284" s="12"/>
      <c r="X2284" s="12"/>
      <c r="Y2284" s="12"/>
      <c r="AJ2284"/>
      <c r="AK2284"/>
    </row>
    <row r="2285" spans="18:37" ht="14">
      <c r="R2285" s="14"/>
      <c r="S2285" s="14"/>
      <c r="T2285" s="12"/>
      <c r="U2285" s="15"/>
      <c r="V2285" s="12"/>
      <c r="W2285" s="12"/>
      <c r="X2285" s="12"/>
      <c r="Y2285" s="12"/>
      <c r="AJ2285"/>
      <c r="AK2285"/>
    </row>
    <row r="2286" spans="18:37" ht="14">
      <c r="R2286" s="14"/>
      <c r="S2286" s="14"/>
      <c r="T2286" s="12"/>
      <c r="U2286" s="15"/>
      <c r="V2286" s="12"/>
      <c r="W2286" s="12"/>
      <c r="X2286" s="12"/>
      <c r="Y2286" s="12"/>
      <c r="AJ2286"/>
      <c r="AK2286"/>
    </row>
    <row r="2287" spans="18:37" ht="14">
      <c r="R2287" s="14"/>
      <c r="S2287" s="14"/>
      <c r="T2287" s="12"/>
      <c r="U2287" s="15"/>
      <c r="V2287" s="12"/>
      <c r="W2287" s="12"/>
      <c r="X2287" s="12"/>
      <c r="Y2287" s="12"/>
      <c r="AJ2287"/>
      <c r="AK2287"/>
    </row>
    <row r="2288" spans="18:37" ht="14">
      <c r="R2288" s="14"/>
      <c r="S2288" s="14"/>
      <c r="T2288" s="12"/>
      <c r="U2288" s="15"/>
      <c r="V2288" s="12"/>
      <c r="W2288" s="12"/>
      <c r="X2288" s="12"/>
      <c r="Y2288" s="12"/>
      <c r="AJ2288"/>
      <c r="AK2288"/>
    </row>
    <row r="2289" spans="18:37" ht="14">
      <c r="R2289" s="14"/>
      <c r="S2289" s="14"/>
      <c r="T2289" s="12"/>
      <c r="U2289" s="15"/>
      <c r="V2289" s="12"/>
      <c r="W2289" s="12"/>
      <c r="X2289" s="12"/>
      <c r="Y2289" s="12"/>
      <c r="AJ2289"/>
      <c r="AK2289"/>
    </row>
    <row r="2290" spans="18:37" ht="14">
      <c r="R2290" s="14"/>
      <c r="S2290" s="14"/>
      <c r="T2290" s="12"/>
      <c r="U2290" s="15"/>
      <c r="V2290" s="12"/>
      <c r="W2290" s="12"/>
      <c r="X2290" s="12"/>
      <c r="Y2290" s="12"/>
      <c r="AJ2290"/>
      <c r="AK2290"/>
    </row>
    <row r="2291" spans="18:37" ht="14">
      <c r="R2291" s="14"/>
      <c r="S2291" s="14"/>
      <c r="T2291" s="12"/>
      <c r="U2291" s="15"/>
      <c r="V2291" s="12"/>
      <c r="W2291" s="12"/>
      <c r="X2291" s="12"/>
      <c r="Y2291" s="12"/>
      <c r="AJ2291"/>
      <c r="AK2291"/>
    </row>
    <row r="2292" spans="18:37" ht="14">
      <c r="R2292" s="14"/>
      <c r="S2292" s="14"/>
      <c r="T2292" s="12"/>
      <c r="U2292" s="15"/>
      <c r="V2292" s="12"/>
      <c r="W2292" s="12"/>
      <c r="X2292" s="12"/>
      <c r="Y2292" s="12"/>
      <c r="AJ2292"/>
      <c r="AK2292"/>
    </row>
    <row r="2293" spans="18:37" ht="14">
      <c r="R2293" s="14"/>
      <c r="S2293" s="14"/>
      <c r="T2293" s="12"/>
      <c r="U2293" s="15"/>
      <c r="V2293" s="12"/>
      <c r="W2293" s="12"/>
      <c r="X2293" s="12"/>
      <c r="Y2293" s="12"/>
      <c r="AJ2293"/>
      <c r="AK2293"/>
    </row>
    <row r="2294" spans="18:37" ht="14">
      <c r="R2294" s="14"/>
      <c r="S2294" s="14"/>
      <c r="T2294" s="12"/>
      <c r="U2294" s="15"/>
      <c r="V2294" s="12"/>
      <c r="W2294" s="12"/>
      <c r="X2294" s="12"/>
      <c r="Y2294" s="12"/>
      <c r="AJ2294"/>
      <c r="AK2294"/>
    </row>
    <row r="2295" spans="18:37" ht="14">
      <c r="R2295" s="14"/>
      <c r="S2295" s="14"/>
      <c r="T2295" s="12"/>
      <c r="U2295" s="15"/>
      <c r="V2295" s="12"/>
      <c r="W2295" s="12"/>
      <c r="X2295" s="12"/>
      <c r="Y2295" s="12"/>
      <c r="AJ2295"/>
      <c r="AK2295"/>
    </row>
    <row r="2296" spans="18:37" ht="14">
      <c r="R2296" s="14"/>
      <c r="S2296" s="14"/>
      <c r="T2296" s="12"/>
      <c r="U2296" s="15"/>
      <c r="V2296" s="12"/>
      <c r="W2296" s="12"/>
      <c r="X2296" s="12"/>
      <c r="Y2296" s="12"/>
      <c r="AJ2296"/>
      <c r="AK2296"/>
    </row>
    <row r="2297" spans="18:37" ht="14">
      <c r="R2297" s="14"/>
      <c r="S2297" s="14"/>
      <c r="T2297" s="12"/>
      <c r="U2297" s="15"/>
      <c r="V2297" s="12"/>
      <c r="W2297" s="12"/>
      <c r="X2297" s="12"/>
      <c r="Y2297" s="12"/>
      <c r="AJ2297"/>
      <c r="AK2297"/>
    </row>
    <row r="2298" spans="18:37" ht="14">
      <c r="R2298" s="14"/>
      <c r="S2298" s="14"/>
      <c r="T2298" s="12"/>
      <c r="U2298" s="15"/>
      <c r="V2298" s="12"/>
      <c r="W2298" s="12"/>
      <c r="X2298" s="12"/>
      <c r="Y2298" s="12"/>
      <c r="AJ2298"/>
      <c r="AK2298"/>
    </row>
    <row r="2299" spans="18:37" ht="14">
      <c r="R2299" s="14"/>
      <c r="S2299" s="14"/>
      <c r="T2299" s="12"/>
      <c r="U2299" s="15"/>
      <c r="V2299" s="12"/>
      <c r="W2299" s="12"/>
      <c r="X2299" s="12"/>
      <c r="Y2299" s="12"/>
      <c r="AJ2299"/>
      <c r="AK2299"/>
    </row>
    <row r="2300" spans="18:37" ht="14">
      <c r="R2300" s="14"/>
      <c r="S2300" s="14"/>
      <c r="T2300" s="12"/>
      <c r="U2300" s="15"/>
      <c r="V2300" s="12"/>
      <c r="W2300" s="12"/>
      <c r="X2300" s="12"/>
      <c r="Y2300" s="12"/>
      <c r="AJ2300"/>
      <c r="AK2300"/>
    </row>
    <row r="2301" spans="18:37" ht="14">
      <c r="R2301" s="14"/>
      <c r="S2301" s="14"/>
      <c r="T2301" s="12"/>
      <c r="U2301" s="15"/>
      <c r="V2301" s="12"/>
      <c r="W2301" s="12"/>
      <c r="X2301" s="12"/>
      <c r="Y2301" s="12"/>
      <c r="AJ2301"/>
      <c r="AK2301"/>
    </row>
    <row r="2302" spans="18:37" ht="14">
      <c r="R2302" s="14"/>
      <c r="S2302" s="14"/>
      <c r="T2302" s="12"/>
      <c r="U2302" s="15"/>
      <c r="V2302" s="12"/>
      <c r="W2302" s="12"/>
      <c r="X2302" s="12"/>
      <c r="Y2302" s="12"/>
      <c r="AJ2302"/>
      <c r="AK2302"/>
    </row>
    <row r="2303" spans="18:37" ht="14">
      <c r="R2303" s="14"/>
      <c r="S2303" s="14"/>
      <c r="T2303" s="12"/>
      <c r="U2303" s="15"/>
      <c r="V2303" s="12"/>
      <c r="W2303" s="12"/>
      <c r="X2303" s="12"/>
      <c r="Y2303" s="12"/>
      <c r="AJ2303"/>
      <c r="AK2303"/>
    </row>
    <row r="2304" spans="18:37" ht="14">
      <c r="R2304" s="14"/>
      <c r="S2304" s="14"/>
      <c r="T2304" s="12"/>
      <c r="U2304" s="15"/>
      <c r="V2304" s="12"/>
      <c r="W2304" s="12"/>
      <c r="X2304" s="12"/>
      <c r="Y2304" s="12"/>
      <c r="AJ2304"/>
      <c r="AK2304"/>
    </row>
    <row r="2305" spans="18:37" ht="14">
      <c r="R2305" s="14"/>
      <c r="S2305" s="14"/>
      <c r="T2305" s="12"/>
      <c r="U2305" s="15"/>
      <c r="V2305" s="12"/>
      <c r="W2305" s="12"/>
      <c r="X2305" s="12"/>
      <c r="Y2305" s="12"/>
      <c r="AJ2305"/>
      <c r="AK2305"/>
    </row>
    <row r="2306" spans="18:37" ht="14">
      <c r="R2306" s="14"/>
      <c r="S2306" s="14"/>
      <c r="T2306" s="12"/>
      <c r="U2306" s="15"/>
      <c r="V2306" s="12"/>
      <c r="W2306" s="12"/>
      <c r="X2306" s="12"/>
      <c r="Y2306" s="12"/>
      <c r="AJ2306"/>
      <c r="AK2306"/>
    </row>
    <row r="2307" spans="18:37" ht="14">
      <c r="R2307" s="14"/>
      <c r="S2307" s="14"/>
      <c r="T2307" s="12"/>
      <c r="U2307" s="15"/>
      <c r="V2307" s="12"/>
      <c r="W2307" s="12"/>
      <c r="X2307" s="12"/>
      <c r="Y2307" s="12"/>
      <c r="AJ2307"/>
      <c r="AK2307"/>
    </row>
    <row r="2308" spans="18:37" ht="14">
      <c r="R2308" s="14"/>
      <c r="S2308" s="14"/>
      <c r="T2308" s="12"/>
      <c r="U2308" s="15"/>
      <c r="V2308" s="12"/>
      <c r="W2308" s="12"/>
      <c r="X2308" s="12"/>
      <c r="Y2308" s="12"/>
      <c r="AJ2308"/>
      <c r="AK2308"/>
    </row>
    <row r="2309" spans="18:37" ht="14">
      <c r="R2309" s="14"/>
      <c r="S2309" s="14"/>
      <c r="T2309" s="12"/>
      <c r="U2309" s="15"/>
      <c r="V2309" s="12"/>
      <c r="W2309" s="12"/>
      <c r="X2309" s="12"/>
      <c r="Y2309" s="12"/>
      <c r="AJ2309"/>
      <c r="AK2309"/>
    </row>
    <row r="2310" spans="18:37" ht="14">
      <c r="R2310" s="14"/>
      <c r="S2310" s="14"/>
      <c r="T2310" s="12"/>
      <c r="U2310" s="15"/>
      <c r="V2310" s="12"/>
      <c r="W2310" s="12"/>
      <c r="X2310" s="12"/>
      <c r="Y2310" s="12"/>
      <c r="AJ2310"/>
      <c r="AK2310"/>
    </row>
    <row r="2311" spans="18:37" ht="14">
      <c r="R2311" s="14"/>
      <c r="S2311" s="14"/>
      <c r="T2311" s="12"/>
      <c r="U2311" s="15"/>
      <c r="V2311" s="12"/>
      <c r="W2311" s="12"/>
      <c r="X2311" s="12"/>
      <c r="Y2311" s="12"/>
      <c r="AJ2311"/>
      <c r="AK2311"/>
    </row>
    <row r="2312" spans="18:37" ht="14">
      <c r="R2312" s="14"/>
      <c r="S2312" s="14"/>
      <c r="T2312" s="12"/>
      <c r="U2312" s="15"/>
      <c r="V2312" s="12"/>
      <c r="W2312" s="12"/>
      <c r="X2312" s="12"/>
      <c r="Y2312" s="12"/>
      <c r="AJ2312"/>
      <c r="AK2312"/>
    </row>
    <row r="2313" spans="18:37" ht="14">
      <c r="R2313" s="14"/>
      <c r="S2313" s="14"/>
      <c r="T2313" s="12"/>
      <c r="U2313" s="15"/>
      <c r="V2313" s="12"/>
      <c r="W2313" s="12"/>
      <c r="X2313" s="12"/>
      <c r="Y2313" s="12"/>
      <c r="AJ2313"/>
      <c r="AK2313"/>
    </row>
    <row r="2314" spans="18:37" ht="14">
      <c r="R2314" s="14"/>
      <c r="S2314" s="14"/>
      <c r="T2314" s="12"/>
      <c r="U2314" s="15"/>
      <c r="V2314" s="12"/>
      <c r="W2314" s="12"/>
      <c r="X2314" s="12"/>
      <c r="Y2314" s="12"/>
      <c r="AJ2314"/>
      <c r="AK2314"/>
    </row>
    <row r="2315" spans="18:37" ht="14">
      <c r="R2315" s="14"/>
      <c r="S2315" s="14"/>
      <c r="T2315" s="12"/>
      <c r="U2315" s="15"/>
      <c r="V2315" s="12"/>
      <c r="W2315" s="12"/>
      <c r="X2315" s="12"/>
      <c r="Y2315" s="12"/>
      <c r="AJ2315"/>
      <c r="AK2315"/>
    </row>
    <row r="2316" spans="18:37" ht="14">
      <c r="R2316" s="14"/>
      <c r="S2316" s="14"/>
      <c r="T2316" s="12"/>
      <c r="U2316" s="15"/>
      <c r="V2316" s="12"/>
      <c r="W2316" s="12"/>
      <c r="X2316" s="12"/>
      <c r="Y2316" s="12"/>
      <c r="AJ2316"/>
      <c r="AK2316"/>
    </row>
    <row r="2317" spans="18:37" ht="14">
      <c r="R2317" s="14"/>
      <c r="S2317" s="14"/>
      <c r="T2317" s="12"/>
      <c r="U2317" s="15"/>
      <c r="V2317" s="12"/>
      <c r="W2317" s="12"/>
      <c r="X2317" s="12"/>
      <c r="Y2317" s="12"/>
      <c r="AJ2317"/>
      <c r="AK2317"/>
    </row>
    <row r="2318" spans="18:37" ht="14">
      <c r="R2318" s="14"/>
      <c r="S2318" s="14"/>
      <c r="T2318" s="12"/>
      <c r="U2318" s="15"/>
      <c r="V2318" s="12"/>
      <c r="W2318" s="12"/>
      <c r="X2318" s="12"/>
      <c r="Y2318" s="12"/>
      <c r="AJ2318"/>
      <c r="AK2318"/>
    </row>
    <row r="2319" spans="18:37" ht="14">
      <c r="R2319" s="14"/>
      <c r="S2319" s="14"/>
      <c r="T2319" s="12"/>
      <c r="U2319" s="15"/>
      <c r="V2319" s="12"/>
      <c r="W2319" s="12"/>
      <c r="X2319" s="12"/>
      <c r="Y2319" s="12"/>
      <c r="AJ2319"/>
      <c r="AK2319"/>
    </row>
    <row r="2320" spans="18:37" ht="14">
      <c r="R2320" s="14"/>
      <c r="S2320" s="14"/>
      <c r="T2320" s="12"/>
      <c r="U2320" s="15"/>
      <c r="V2320" s="12"/>
      <c r="W2320" s="12"/>
      <c r="X2320" s="12"/>
      <c r="Y2320" s="12"/>
      <c r="AJ2320"/>
      <c r="AK2320"/>
    </row>
    <row r="2321" spans="18:37" ht="14">
      <c r="R2321" s="14"/>
      <c r="S2321" s="14"/>
      <c r="T2321" s="12"/>
      <c r="U2321" s="15"/>
      <c r="V2321" s="12"/>
      <c r="W2321" s="12"/>
      <c r="X2321" s="12"/>
      <c r="Y2321" s="12"/>
      <c r="AJ2321"/>
      <c r="AK2321"/>
    </row>
    <row r="2322" spans="18:37" ht="14">
      <c r="R2322" s="14"/>
      <c r="S2322" s="14"/>
      <c r="T2322" s="12"/>
      <c r="U2322" s="15"/>
      <c r="V2322" s="12"/>
      <c r="W2322" s="12"/>
      <c r="X2322" s="12"/>
      <c r="Y2322" s="12"/>
      <c r="AJ2322"/>
      <c r="AK2322"/>
    </row>
    <row r="2323" spans="18:37" ht="14">
      <c r="R2323" s="14"/>
      <c r="S2323" s="14"/>
      <c r="T2323" s="12"/>
      <c r="U2323" s="15"/>
      <c r="V2323" s="12"/>
      <c r="W2323" s="12"/>
      <c r="X2323" s="12"/>
      <c r="Y2323" s="12"/>
      <c r="AJ2323"/>
      <c r="AK2323"/>
    </row>
    <row r="2324" spans="18:37" ht="14">
      <c r="R2324" s="14"/>
      <c r="S2324" s="14"/>
      <c r="T2324" s="12"/>
      <c r="U2324" s="15"/>
      <c r="V2324" s="12"/>
      <c r="W2324" s="12"/>
      <c r="X2324" s="12"/>
      <c r="Y2324" s="12"/>
      <c r="AJ2324"/>
      <c r="AK2324"/>
    </row>
    <row r="2325" spans="18:37" ht="14">
      <c r="R2325" s="14"/>
      <c r="S2325" s="14"/>
      <c r="T2325" s="12"/>
      <c r="U2325" s="15"/>
      <c r="V2325" s="12"/>
      <c r="W2325" s="12"/>
      <c r="X2325" s="12"/>
      <c r="Y2325" s="12"/>
      <c r="AJ2325"/>
      <c r="AK2325"/>
    </row>
    <row r="2326" spans="18:37" ht="14">
      <c r="R2326" s="14"/>
      <c r="S2326" s="14"/>
      <c r="T2326" s="12"/>
      <c r="U2326" s="15"/>
      <c r="V2326" s="12"/>
      <c r="W2326" s="12"/>
      <c r="X2326" s="12"/>
      <c r="Y2326" s="12"/>
      <c r="AJ2326"/>
      <c r="AK2326"/>
    </row>
    <row r="2327" spans="18:37" ht="14">
      <c r="R2327" s="14"/>
      <c r="S2327" s="14"/>
      <c r="T2327" s="12"/>
      <c r="U2327" s="15"/>
      <c r="V2327" s="12"/>
      <c r="W2327" s="12"/>
      <c r="X2327" s="12"/>
      <c r="Y2327" s="12"/>
      <c r="AJ2327"/>
      <c r="AK2327"/>
    </row>
    <row r="2328" spans="18:37" ht="14">
      <c r="R2328" s="14"/>
      <c r="S2328" s="14"/>
      <c r="T2328" s="12"/>
      <c r="U2328" s="15"/>
      <c r="V2328" s="12"/>
      <c r="W2328" s="12"/>
      <c r="X2328" s="12"/>
      <c r="Y2328" s="12"/>
      <c r="AJ2328"/>
      <c r="AK2328"/>
    </row>
    <row r="2329" spans="18:37" ht="14">
      <c r="R2329" s="14"/>
      <c r="S2329" s="14"/>
      <c r="T2329" s="12"/>
      <c r="U2329" s="15"/>
      <c r="V2329" s="12"/>
      <c r="W2329" s="12"/>
      <c r="X2329" s="12"/>
      <c r="Y2329" s="12"/>
      <c r="AJ2329"/>
      <c r="AK2329"/>
    </row>
    <row r="2330" spans="18:37" ht="14">
      <c r="R2330" s="14"/>
      <c r="S2330" s="14"/>
      <c r="T2330" s="12"/>
      <c r="U2330" s="15"/>
      <c r="V2330" s="12"/>
      <c r="W2330" s="12"/>
      <c r="X2330" s="12"/>
      <c r="Y2330" s="12"/>
      <c r="AJ2330"/>
      <c r="AK2330"/>
    </row>
    <row r="2331" spans="18:37" ht="14">
      <c r="R2331" s="14"/>
      <c r="S2331" s="14"/>
      <c r="T2331" s="12"/>
      <c r="U2331" s="15"/>
      <c r="V2331" s="12"/>
      <c r="W2331" s="12"/>
      <c r="X2331" s="12"/>
      <c r="Y2331" s="12"/>
      <c r="AJ2331"/>
      <c r="AK2331"/>
    </row>
    <row r="2332" spans="18:37" ht="14">
      <c r="R2332" s="14"/>
      <c r="S2332" s="14"/>
      <c r="T2332" s="12"/>
      <c r="U2332" s="15"/>
      <c r="V2332" s="12"/>
      <c r="W2332" s="12"/>
      <c r="X2332" s="12"/>
      <c r="Y2332" s="12"/>
      <c r="AJ2332"/>
      <c r="AK2332"/>
    </row>
    <row r="2333" spans="18:37" ht="14">
      <c r="R2333" s="14"/>
      <c r="S2333" s="14"/>
      <c r="T2333" s="12"/>
      <c r="U2333" s="15"/>
      <c r="V2333" s="12"/>
      <c r="W2333" s="12"/>
      <c r="X2333" s="12"/>
      <c r="Y2333" s="12"/>
      <c r="AJ2333"/>
      <c r="AK2333"/>
    </row>
    <row r="2334" spans="18:37" ht="14">
      <c r="R2334" s="14"/>
      <c r="S2334" s="14"/>
      <c r="T2334" s="12"/>
      <c r="U2334" s="15"/>
      <c r="V2334" s="12"/>
      <c r="W2334" s="12"/>
      <c r="X2334" s="12"/>
      <c r="Y2334" s="12"/>
      <c r="AJ2334"/>
      <c r="AK2334"/>
    </row>
    <row r="2335" spans="18:37" ht="14">
      <c r="R2335" s="14"/>
      <c r="S2335" s="14"/>
      <c r="T2335" s="12"/>
      <c r="U2335" s="15"/>
      <c r="V2335" s="12"/>
      <c r="W2335" s="12"/>
      <c r="X2335" s="12"/>
      <c r="Y2335" s="12"/>
      <c r="AJ2335"/>
      <c r="AK2335"/>
    </row>
    <row r="2336" spans="18:37" ht="14">
      <c r="R2336" s="14"/>
      <c r="S2336" s="14"/>
      <c r="T2336" s="12"/>
      <c r="U2336" s="15"/>
      <c r="V2336" s="12"/>
      <c r="W2336" s="12"/>
      <c r="X2336" s="12"/>
      <c r="Y2336" s="12"/>
      <c r="AJ2336"/>
      <c r="AK2336"/>
    </row>
    <row r="2337" spans="18:37" ht="14">
      <c r="R2337" s="14"/>
      <c r="S2337" s="14"/>
      <c r="T2337" s="12"/>
      <c r="U2337" s="15"/>
      <c r="V2337" s="12"/>
      <c r="W2337" s="12"/>
      <c r="X2337" s="12"/>
      <c r="Y2337" s="12"/>
      <c r="AJ2337"/>
      <c r="AK2337"/>
    </row>
    <row r="2338" spans="18:37" ht="14">
      <c r="R2338" s="14"/>
      <c r="S2338" s="14"/>
      <c r="T2338" s="12"/>
      <c r="U2338" s="15"/>
      <c r="V2338" s="12"/>
      <c r="W2338" s="12"/>
      <c r="X2338" s="12"/>
      <c r="Y2338" s="12"/>
      <c r="AJ2338"/>
      <c r="AK2338"/>
    </row>
    <row r="2339" spans="18:37" ht="14">
      <c r="R2339" s="14"/>
      <c r="S2339" s="14"/>
      <c r="T2339" s="12"/>
      <c r="U2339" s="15"/>
      <c r="V2339" s="12"/>
      <c r="W2339" s="12"/>
      <c r="X2339" s="12"/>
      <c r="Y2339" s="12"/>
      <c r="AJ2339"/>
      <c r="AK2339"/>
    </row>
    <row r="2340" spans="18:37" ht="14">
      <c r="R2340" s="14"/>
      <c r="S2340" s="14"/>
      <c r="T2340" s="12"/>
      <c r="U2340" s="15"/>
      <c r="V2340" s="12"/>
      <c r="W2340" s="12"/>
      <c r="X2340" s="12"/>
      <c r="Y2340" s="12"/>
      <c r="AJ2340"/>
      <c r="AK2340"/>
    </row>
    <row r="2341" spans="18:37" ht="14">
      <c r="R2341" s="14"/>
      <c r="S2341" s="14"/>
      <c r="T2341" s="12"/>
      <c r="U2341" s="15"/>
      <c r="V2341" s="12"/>
      <c r="W2341" s="12"/>
      <c r="X2341" s="12"/>
      <c r="Y2341" s="12"/>
      <c r="AJ2341"/>
      <c r="AK2341"/>
    </row>
    <row r="2342" spans="18:37" ht="14">
      <c r="R2342" s="14"/>
      <c r="S2342" s="14"/>
      <c r="T2342" s="12"/>
      <c r="U2342" s="15"/>
      <c r="V2342" s="12"/>
      <c r="W2342" s="12"/>
      <c r="X2342" s="12"/>
      <c r="Y2342" s="12"/>
      <c r="AJ2342"/>
      <c r="AK2342"/>
    </row>
    <row r="2343" spans="18:37" ht="14">
      <c r="R2343" s="14"/>
      <c r="S2343" s="14"/>
      <c r="T2343" s="12"/>
      <c r="U2343" s="15"/>
      <c r="V2343" s="12"/>
      <c r="W2343" s="12"/>
      <c r="X2343" s="12"/>
      <c r="Y2343" s="12"/>
      <c r="AJ2343"/>
      <c r="AK2343"/>
    </row>
    <row r="2344" spans="18:37" ht="14">
      <c r="R2344" s="14"/>
      <c r="S2344" s="14"/>
      <c r="T2344" s="12"/>
      <c r="U2344" s="15"/>
      <c r="V2344" s="12"/>
      <c r="W2344" s="12"/>
      <c r="X2344" s="12"/>
      <c r="Y2344" s="12"/>
      <c r="AJ2344"/>
      <c r="AK2344"/>
    </row>
    <row r="2345" spans="18:37" ht="14">
      <c r="R2345" s="14"/>
      <c r="S2345" s="14"/>
      <c r="T2345" s="12"/>
      <c r="U2345" s="15"/>
      <c r="V2345" s="12"/>
      <c r="W2345" s="12"/>
      <c r="X2345" s="12"/>
      <c r="Y2345" s="12"/>
      <c r="AJ2345"/>
      <c r="AK2345"/>
    </row>
    <row r="2346" spans="18:37" ht="14">
      <c r="R2346" s="14"/>
      <c r="S2346" s="14"/>
      <c r="T2346" s="12"/>
      <c r="U2346" s="15"/>
      <c r="V2346" s="12"/>
      <c r="W2346" s="12"/>
      <c r="X2346" s="12"/>
      <c r="Y2346" s="12"/>
      <c r="AJ2346"/>
      <c r="AK2346"/>
    </row>
    <row r="2347" spans="18:37" ht="14">
      <c r="R2347" s="14"/>
      <c r="S2347" s="14"/>
      <c r="T2347" s="12"/>
      <c r="U2347" s="15"/>
      <c r="V2347" s="12"/>
      <c r="W2347" s="12"/>
      <c r="X2347" s="12"/>
      <c r="Y2347" s="12"/>
      <c r="AJ2347"/>
      <c r="AK2347"/>
    </row>
    <row r="2348" spans="18:37" ht="14">
      <c r="R2348" s="14"/>
      <c r="S2348" s="14"/>
      <c r="T2348" s="12"/>
      <c r="U2348" s="15"/>
      <c r="V2348" s="12"/>
      <c r="W2348" s="12"/>
      <c r="X2348" s="12"/>
      <c r="Y2348" s="12"/>
      <c r="AJ2348"/>
      <c r="AK2348"/>
    </row>
    <row r="2349" spans="18:37" ht="14">
      <c r="R2349" s="14"/>
      <c r="S2349" s="14"/>
      <c r="T2349" s="12"/>
      <c r="U2349" s="15"/>
      <c r="V2349" s="12"/>
      <c r="W2349" s="12"/>
      <c r="X2349" s="12"/>
      <c r="Y2349" s="12"/>
      <c r="AJ2349"/>
      <c r="AK2349"/>
    </row>
    <row r="2350" spans="18:37" ht="14">
      <c r="R2350" s="14"/>
      <c r="S2350" s="14"/>
      <c r="T2350" s="12"/>
      <c r="U2350" s="15"/>
      <c r="V2350" s="12"/>
      <c r="W2350" s="12"/>
      <c r="X2350" s="12"/>
      <c r="Y2350" s="12"/>
      <c r="AJ2350"/>
      <c r="AK2350"/>
    </row>
    <row r="2351" spans="18:37" ht="14">
      <c r="R2351" s="14"/>
      <c r="S2351" s="14"/>
      <c r="T2351" s="12"/>
      <c r="U2351" s="15"/>
      <c r="V2351" s="12"/>
      <c r="W2351" s="12"/>
      <c r="X2351" s="12"/>
      <c r="Y2351" s="12"/>
      <c r="AJ2351"/>
      <c r="AK2351"/>
    </row>
    <row r="2352" spans="18:37" ht="14">
      <c r="R2352" s="14"/>
      <c r="S2352" s="14"/>
      <c r="T2352" s="12"/>
      <c r="U2352" s="15"/>
      <c r="V2352" s="12"/>
      <c r="W2352" s="12"/>
      <c r="X2352" s="12"/>
      <c r="Y2352" s="12"/>
      <c r="AJ2352"/>
      <c r="AK2352"/>
    </row>
    <row r="2353" spans="18:37" ht="14">
      <c r="R2353" s="14"/>
      <c r="S2353" s="14"/>
      <c r="T2353" s="12"/>
      <c r="U2353" s="15"/>
      <c r="V2353" s="12"/>
      <c r="W2353" s="12"/>
      <c r="X2353" s="12"/>
      <c r="Y2353" s="12"/>
      <c r="AJ2353"/>
      <c r="AK2353"/>
    </row>
    <row r="2354" spans="18:37" ht="14">
      <c r="R2354" s="14"/>
      <c r="S2354" s="14"/>
      <c r="T2354" s="12"/>
      <c r="U2354" s="15"/>
      <c r="V2354" s="12"/>
      <c r="W2354" s="12"/>
      <c r="X2354" s="12"/>
      <c r="Y2354" s="12"/>
      <c r="AJ2354"/>
      <c r="AK2354"/>
    </row>
    <row r="2355" spans="18:37" ht="14">
      <c r="R2355" s="14"/>
      <c r="S2355" s="14"/>
      <c r="T2355" s="12"/>
      <c r="U2355" s="15"/>
      <c r="V2355" s="12"/>
      <c r="W2355" s="12"/>
      <c r="X2355" s="12"/>
      <c r="Y2355" s="12"/>
      <c r="AJ2355"/>
      <c r="AK2355"/>
    </row>
    <row r="2356" spans="18:37" ht="14">
      <c r="R2356" s="14"/>
      <c r="S2356" s="14"/>
      <c r="T2356" s="12"/>
      <c r="U2356" s="15"/>
      <c r="V2356" s="12"/>
      <c r="W2356" s="12"/>
      <c r="X2356" s="12"/>
      <c r="Y2356" s="12"/>
      <c r="AJ2356"/>
      <c r="AK2356"/>
    </row>
    <row r="2357" spans="18:37" ht="14">
      <c r="R2357" s="14"/>
      <c r="S2357" s="14"/>
      <c r="T2357" s="12"/>
      <c r="U2357" s="15"/>
      <c r="V2357" s="12"/>
      <c r="W2357" s="12"/>
      <c r="X2357" s="12"/>
      <c r="Y2357" s="12"/>
      <c r="AJ2357"/>
      <c r="AK2357"/>
    </row>
    <row r="2358" spans="18:37" ht="14">
      <c r="R2358" s="14"/>
      <c r="S2358" s="14"/>
      <c r="T2358" s="12"/>
      <c r="U2358" s="15"/>
      <c r="V2358" s="12"/>
      <c r="W2358" s="12"/>
      <c r="X2358" s="12"/>
      <c r="Y2358" s="12"/>
      <c r="AJ2358"/>
      <c r="AK2358"/>
    </row>
    <row r="2359" spans="18:37" ht="14">
      <c r="R2359" s="14"/>
      <c r="S2359" s="14"/>
      <c r="T2359" s="12"/>
      <c r="U2359" s="15"/>
      <c r="V2359" s="12"/>
      <c r="W2359" s="12"/>
      <c r="X2359" s="12"/>
      <c r="Y2359" s="12"/>
      <c r="AJ2359"/>
      <c r="AK2359"/>
    </row>
    <row r="2360" spans="18:37" ht="14">
      <c r="R2360" s="14"/>
      <c r="S2360" s="14"/>
      <c r="T2360" s="12"/>
      <c r="U2360" s="15"/>
      <c r="V2360" s="12"/>
      <c r="W2360" s="12"/>
      <c r="X2360" s="12"/>
      <c r="Y2360" s="12"/>
      <c r="AJ2360"/>
      <c r="AK2360"/>
    </row>
    <row r="2361" spans="18:37" ht="14">
      <c r="R2361" s="14"/>
      <c r="S2361" s="14"/>
      <c r="T2361" s="12"/>
      <c r="U2361" s="15"/>
      <c r="V2361" s="12"/>
      <c r="W2361" s="12"/>
      <c r="X2361" s="12"/>
      <c r="Y2361" s="12"/>
      <c r="AJ2361"/>
      <c r="AK2361"/>
    </row>
    <row r="2362" spans="18:37" ht="14">
      <c r="R2362" s="14"/>
      <c r="S2362" s="14"/>
      <c r="T2362" s="12"/>
      <c r="U2362" s="15"/>
      <c r="V2362" s="12"/>
      <c r="W2362" s="12"/>
      <c r="X2362" s="12"/>
      <c r="Y2362" s="12"/>
      <c r="AJ2362"/>
      <c r="AK2362"/>
    </row>
    <row r="2363" spans="18:37" ht="14">
      <c r="R2363" s="14"/>
      <c r="S2363" s="14"/>
      <c r="T2363" s="12"/>
      <c r="U2363" s="15"/>
      <c r="V2363" s="12"/>
      <c r="W2363" s="12"/>
      <c r="X2363" s="12"/>
      <c r="Y2363" s="12"/>
      <c r="AJ2363"/>
      <c r="AK2363"/>
    </row>
    <row r="2364" spans="18:37" ht="14">
      <c r="R2364" s="14"/>
      <c r="S2364" s="14"/>
      <c r="T2364" s="12"/>
      <c r="U2364" s="15"/>
      <c r="V2364" s="12"/>
      <c r="W2364" s="12"/>
      <c r="X2364" s="12"/>
      <c r="Y2364" s="12"/>
      <c r="AJ2364"/>
      <c r="AK2364"/>
    </row>
    <row r="2365" spans="18:37" ht="14">
      <c r="R2365" s="14"/>
      <c r="S2365" s="14"/>
      <c r="T2365" s="12"/>
      <c r="U2365" s="15"/>
      <c r="V2365" s="12"/>
      <c r="W2365" s="12"/>
      <c r="X2365" s="12"/>
      <c r="Y2365" s="12"/>
      <c r="AJ2365"/>
      <c r="AK2365"/>
    </row>
    <row r="2366" spans="18:37" ht="14">
      <c r="R2366" s="14"/>
      <c r="S2366" s="14"/>
      <c r="T2366" s="12"/>
      <c r="U2366" s="15"/>
      <c r="V2366" s="12"/>
      <c r="W2366" s="12"/>
      <c r="X2366" s="12"/>
      <c r="Y2366" s="12"/>
      <c r="AJ2366"/>
      <c r="AK2366"/>
    </row>
    <row r="2367" spans="18:37" ht="14">
      <c r="R2367" s="14"/>
      <c r="S2367" s="14"/>
      <c r="T2367" s="12"/>
      <c r="U2367" s="15"/>
      <c r="V2367" s="12"/>
      <c r="W2367" s="12"/>
      <c r="X2367" s="12"/>
      <c r="Y2367" s="12"/>
      <c r="AJ2367"/>
      <c r="AK2367"/>
    </row>
    <row r="2368" spans="18:37" ht="14">
      <c r="R2368" s="14"/>
      <c r="S2368" s="14"/>
      <c r="T2368" s="12"/>
      <c r="U2368" s="15"/>
      <c r="V2368" s="12"/>
      <c r="W2368" s="12"/>
      <c r="X2368" s="12"/>
      <c r="Y2368" s="12"/>
      <c r="AJ2368"/>
      <c r="AK2368"/>
    </row>
    <row r="2369" spans="18:37" ht="14">
      <c r="R2369" s="14"/>
      <c r="S2369" s="14"/>
      <c r="T2369" s="12"/>
      <c r="U2369" s="15"/>
      <c r="V2369" s="12"/>
      <c r="W2369" s="12"/>
      <c r="X2369" s="12"/>
      <c r="Y2369" s="12"/>
      <c r="AJ2369"/>
      <c r="AK2369"/>
    </row>
    <row r="2370" spans="18:37" ht="14">
      <c r="R2370" s="14"/>
      <c r="S2370" s="14"/>
      <c r="T2370" s="12"/>
      <c r="U2370" s="15"/>
      <c r="V2370" s="12"/>
      <c r="W2370" s="12"/>
      <c r="X2370" s="12"/>
      <c r="Y2370" s="12"/>
      <c r="AJ2370"/>
      <c r="AK2370"/>
    </row>
    <row r="2371" spans="18:37" ht="14">
      <c r="R2371" s="14"/>
      <c r="S2371" s="14"/>
      <c r="T2371" s="12"/>
      <c r="U2371" s="15"/>
      <c r="V2371" s="12"/>
      <c r="W2371" s="12"/>
      <c r="X2371" s="12"/>
      <c r="Y2371" s="12"/>
      <c r="AJ2371"/>
      <c r="AK2371"/>
    </row>
    <row r="2372" spans="18:37" ht="14">
      <c r="R2372" s="14"/>
      <c r="S2372" s="14"/>
      <c r="T2372" s="12"/>
      <c r="U2372" s="15"/>
      <c r="V2372" s="12"/>
      <c r="W2372" s="12"/>
      <c r="X2372" s="12"/>
      <c r="Y2372" s="12"/>
      <c r="AJ2372"/>
      <c r="AK2372"/>
    </row>
    <row r="2373" spans="18:37" ht="14">
      <c r="R2373" s="14"/>
      <c r="S2373" s="14"/>
      <c r="T2373" s="12"/>
      <c r="U2373" s="15"/>
      <c r="V2373" s="12"/>
      <c r="W2373" s="12"/>
      <c r="X2373" s="12"/>
      <c r="Y2373" s="12"/>
      <c r="AJ2373"/>
      <c r="AK2373"/>
    </row>
    <row r="2374" spans="18:37" ht="14">
      <c r="R2374" s="14"/>
      <c r="S2374" s="14"/>
      <c r="T2374" s="12"/>
      <c r="U2374" s="15"/>
      <c r="V2374" s="12"/>
      <c r="W2374" s="12"/>
      <c r="X2374" s="12"/>
      <c r="Y2374" s="12"/>
      <c r="AJ2374"/>
      <c r="AK2374"/>
    </row>
    <row r="2375" spans="18:37" ht="14">
      <c r="R2375" s="14"/>
      <c r="S2375" s="14"/>
      <c r="T2375" s="12"/>
      <c r="U2375" s="15"/>
      <c r="V2375" s="12"/>
      <c r="W2375" s="12"/>
      <c r="X2375" s="12"/>
      <c r="Y2375" s="12"/>
      <c r="AJ2375"/>
      <c r="AK2375"/>
    </row>
    <row r="2376" spans="18:37" ht="14">
      <c r="R2376" s="14"/>
      <c r="S2376" s="14"/>
      <c r="T2376" s="12"/>
      <c r="U2376" s="15"/>
      <c r="V2376" s="12"/>
      <c r="W2376" s="12"/>
      <c r="X2376" s="12"/>
      <c r="Y2376" s="12"/>
      <c r="AJ2376"/>
      <c r="AK2376"/>
    </row>
    <row r="2377" spans="18:37" ht="14">
      <c r="R2377" s="14"/>
      <c r="S2377" s="14"/>
      <c r="T2377" s="12"/>
      <c r="U2377" s="15"/>
      <c r="V2377" s="12"/>
      <c r="W2377" s="12"/>
      <c r="X2377" s="12"/>
      <c r="Y2377" s="12"/>
      <c r="AJ2377"/>
      <c r="AK2377"/>
    </row>
    <row r="2378" spans="18:37" ht="14">
      <c r="R2378" s="14"/>
      <c r="S2378" s="14"/>
      <c r="T2378" s="12"/>
      <c r="U2378" s="15"/>
      <c r="V2378" s="12"/>
      <c r="W2378" s="12"/>
      <c r="X2378" s="12"/>
      <c r="Y2378" s="12"/>
      <c r="AJ2378"/>
      <c r="AK2378"/>
    </row>
    <row r="2379" spans="18:37" ht="14">
      <c r="R2379" s="14"/>
      <c r="S2379" s="14"/>
      <c r="T2379" s="12"/>
      <c r="U2379" s="15"/>
      <c r="V2379" s="12"/>
      <c r="W2379" s="12"/>
      <c r="X2379" s="12"/>
      <c r="Y2379" s="12"/>
      <c r="AJ2379"/>
      <c r="AK2379"/>
    </row>
    <row r="2380" spans="18:37" ht="14">
      <c r="R2380" s="14"/>
      <c r="S2380" s="14"/>
      <c r="T2380" s="12"/>
      <c r="U2380" s="15"/>
      <c r="V2380" s="12"/>
      <c r="W2380" s="12"/>
      <c r="X2380" s="12"/>
      <c r="Y2380" s="12"/>
      <c r="AJ2380"/>
      <c r="AK2380"/>
    </row>
    <row r="2381" spans="18:37" ht="14">
      <c r="R2381" s="14"/>
      <c r="S2381" s="14"/>
      <c r="T2381" s="12"/>
      <c r="U2381" s="15"/>
      <c r="V2381" s="12"/>
      <c r="W2381" s="12"/>
      <c r="X2381" s="12"/>
      <c r="Y2381" s="12"/>
      <c r="AJ2381"/>
      <c r="AK2381"/>
    </row>
    <row r="2382" spans="18:37" ht="14">
      <c r="R2382" s="14"/>
      <c r="S2382" s="14"/>
      <c r="T2382" s="12"/>
      <c r="U2382" s="15"/>
      <c r="V2382" s="12"/>
      <c r="W2382" s="12"/>
      <c r="X2382" s="12"/>
      <c r="Y2382" s="12"/>
      <c r="AJ2382"/>
      <c r="AK2382"/>
    </row>
    <row r="2383" spans="18:37" ht="14">
      <c r="R2383" s="14"/>
      <c r="S2383" s="14"/>
      <c r="T2383" s="12"/>
      <c r="U2383" s="15"/>
      <c r="V2383" s="12"/>
      <c r="W2383" s="12"/>
      <c r="X2383" s="12"/>
      <c r="Y2383" s="12"/>
      <c r="AJ2383"/>
      <c r="AK2383"/>
    </row>
    <row r="2384" spans="18:37" ht="14">
      <c r="R2384" s="14"/>
      <c r="S2384" s="14"/>
      <c r="T2384" s="12"/>
      <c r="U2384" s="15"/>
      <c r="V2384" s="12"/>
      <c r="W2384" s="12"/>
      <c r="X2384" s="12"/>
      <c r="Y2384" s="12"/>
      <c r="AJ2384"/>
      <c r="AK2384"/>
    </row>
    <row r="2385" spans="18:37" ht="14">
      <c r="R2385" s="14"/>
      <c r="S2385" s="14"/>
      <c r="T2385" s="12"/>
      <c r="U2385" s="15"/>
      <c r="V2385" s="12"/>
      <c r="W2385" s="12"/>
      <c r="X2385" s="12"/>
      <c r="Y2385" s="12"/>
      <c r="AJ2385"/>
      <c r="AK2385"/>
    </row>
    <row r="2386" spans="18:37" ht="14">
      <c r="R2386" s="14"/>
      <c r="S2386" s="14"/>
      <c r="T2386" s="12"/>
      <c r="U2386" s="15"/>
      <c r="V2386" s="12"/>
      <c r="W2386" s="12"/>
      <c r="X2386" s="12"/>
      <c r="Y2386" s="12"/>
      <c r="AJ2386"/>
      <c r="AK2386"/>
    </row>
    <row r="2387" spans="18:37" ht="14">
      <c r="R2387" s="14"/>
      <c r="S2387" s="14"/>
      <c r="T2387" s="12"/>
      <c r="U2387" s="15"/>
      <c r="V2387" s="12"/>
      <c r="W2387" s="12"/>
      <c r="X2387" s="12"/>
      <c r="Y2387" s="12"/>
      <c r="AJ2387"/>
      <c r="AK2387"/>
    </row>
    <row r="2388" spans="18:37" ht="14">
      <c r="R2388" s="14"/>
      <c r="S2388" s="14"/>
      <c r="T2388" s="12"/>
      <c r="U2388" s="15"/>
      <c r="V2388" s="12"/>
      <c r="W2388" s="12"/>
      <c r="X2388" s="12"/>
      <c r="Y2388" s="12"/>
      <c r="AJ2388"/>
      <c r="AK2388"/>
    </row>
    <row r="2389" spans="18:37" ht="14">
      <c r="R2389" s="14"/>
      <c r="S2389" s="14"/>
      <c r="T2389" s="12"/>
      <c r="U2389" s="15"/>
      <c r="V2389" s="12"/>
      <c r="W2389" s="12"/>
      <c r="X2389" s="12"/>
      <c r="Y2389" s="12"/>
      <c r="AJ2389"/>
      <c r="AK2389"/>
    </row>
    <row r="2390" spans="18:37" ht="14">
      <c r="R2390" s="14"/>
      <c r="S2390" s="14"/>
      <c r="T2390" s="12"/>
      <c r="U2390" s="15"/>
      <c r="V2390" s="12"/>
      <c r="W2390" s="12"/>
      <c r="X2390" s="12"/>
      <c r="Y2390" s="12"/>
      <c r="AJ2390"/>
      <c r="AK2390"/>
    </row>
    <row r="2391" spans="18:37" ht="14">
      <c r="R2391" s="14"/>
      <c r="S2391" s="14"/>
      <c r="T2391" s="12"/>
      <c r="U2391" s="15"/>
      <c r="V2391" s="12"/>
      <c r="W2391" s="12"/>
      <c r="X2391" s="12"/>
      <c r="Y2391" s="12"/>
      <c r="AJ2391"/>
      <c r="AK2391"/>
    </row>
    <row r="2392" spans="18:37" ht="14">
      <c r="R2392" s="14"/>
      <c r="S2392" s="14"/>
      <c r="T2392" s="12"/>
      <c r="U2392" s="15"/>
      <c r="V2392" s="12"/>
      <c r="W2392" s="12"/>
      <c r="X2392" s="12"/>
      <c r="Y2392" s="12"/>
      <c r="AJ2392"/>
      <c r="AK2392"/>
    </row>
    <row r="2393" spans="18:37" ht="14">
      <c r="R2393" s="14"/>
      <c r="S2393" s="14"/>
      <c r="T2393" s="12"/>
      <c r="U2393" s="15"/>
      <c r="V2393" s="12"/>
      <c r="W2393" s="12"/>
      <c r="X2393" s="12"/>
      <c r="Y2393" s="12"/>
      <c r="AJ2393"/>
      <c r="AK2393"/>
    </row>
    <row r="2394" spans="18:37" ht="14">
      <c r="R2394" s="14"/>
      <c r="S2394" s="14"/>
      <c r="T2394" s="12"/>
      <c r="U2394" s="15"/>
      <c r="V2394" s="12"/>
      <c r="W2394" s="12"/>
      <c r="X2394" s="12"/>
      <c r="Y2394" s="12"/>
      <c r="AJ2394"/>
      <c r="AK2394"/>
    </row>
    <row r="2395" spans="18:37" ht="14">
      <c r="R2395" s="14"/>
      <c r="S2395" s="14"/>
      <c r="T2395" s="12"/>
      <c r="U2395" s="15"/>
      <c r="V2395" s="12"/>
      <c r="W2395" s="12"/>
      <c r="X2395" s="12"/>
      <c r="Y2395" s="12"/>
      <c r="AJ2395"/>
      <c r="AK2395"/>
    </row>
    <row r="2396" spans="18:37" ht="14">
      <c r="R2396" s="14"/>
      <c r="S2396" s="14"/>
      <c r="T2396" s="12"/>
      <c r="U2396" s="15"/>
      <c r="V2396" s="12"/>
      <c r="W2396" s="12"/>
      <c r="X2396" s="12"/>
      <c r="Y2396" s="12"/>
      <c r="AJ2396"/>
      <c r="AK2396"/>
    </row>
    <row r="2397" spans="18:37" ht="14">
      <c r="R2397" s="14"/>
      <c r="S2397" s="14"/>
      <c r="T2397" s="12"/>
      <c r="U2397" s="15"/>
      <c r="V2397" s="12"/>
      <c r="W2397" s="12"/>
      <c r="X2397" s="12"/>
      <c r="Y2397" s="12"/>
      <c r="AJ2397"/>
      <c r="AK2397"/>
    </row>
    <row r="2398" spans="18:37" ht="14">
      <c r="R2398" s="14"/>
      <c r="S2398" s="14"/>
      <c r="T2398" s="12"/>
      <c r="U2398" s="15"/>
      <c r="V2398" s="12"/>
      <c r="W2398" s="12"/>
      <c r="X2398" s="12"/>
      <c r="Y2398" s="12"/>
      <c r="AJ2398"/>
      <c r="AK2398"/>
    </row>
    <row r="2399" spans="18:37" ht="14">
      <c r="R2399" s="14"/>
      <c r="S2399" s="14"/>
      <c r="T2399" s="12"/>
      <c r="U2399" s="15"/>
      <c r="V2399" s="12"/>
      <c r="W2399" s="12"/>
      <c r="X2399" s="12"/>
      <c r="Y2399" s="12"/>
      <c r="AJ2399"/>
      <c r="AK2399"/>
    </row>
    <row r="2400" spans="18:37" ht="14">
      <c r="R2400" s="14"/>
      <c r="S2400" s="14"/>
      <c r="T2400" s="12"/>
      <c r="U2400" s="15"/>
      <c r="V2400" s="12"/>
      <c r="W2400" s="12"/>
      <c r="X2400" s="12"/>
      <c r="Y2400" s="12"/>
      <c r="AJ2400"/>
      <c r="AK2400"/>
    </row>
    <row r="2401" spans="18:37" ht="14">
      <c r="R2401" s="14"/>
      <c r="S2401" s="14"/>
      <c r="T2401" s="12"/>
      <c r="U2401" s="15"/>
      <c r="V2401" s="12"/>
      <c r="W2401" s="12"/>
      <c r="X2401" s="12"/>
      <c r="Y2401" s="12"/>
      <c r="AJ2401"/>
      <c r="AK2401"/>
    </row>
    <row r="2402" spans="18:37" ht="14">
      <c r="R2402" s="14"/>
      <c r="S2402" s="14"/>
      <c r="T2402" s="12"/>
      <c r="U2402" s="15"/>
      <c r="V2402" s="12"/>
      <c r="W2402" s="12"/>
      <c r="X2402" s="12"/>
      <c r="Y2402" s="12"/>
      <c r="AJ2402"/>
      <c r="AK2402"/>
    </row>
    <row r="2403" spans="18:37" ht="14">
      <c r="R2403" s="14"/>
      <c r="S2403" s="14"/>
      <c r="T2403" s="12"/>
      <c r="U2403" s="15"/>
      <c r="V2403" s="12"/>
      <c r="W2403" s="12"/>
      <c r="X2403" s="12"/>
      <c r="Y2403" s="12"/>
      <c r="AJ2403"/>
      <c r="AK2403"/>
    </row>
    <row r="2404" spans="18:37" ht="14">
      <c r="R2404" s="14"/>
      <c r="S2404" s="14"/>
      <c r="T2404" s="12"/>
      <c r="U2404" s="15"/>
      <c r="V2404" s="12"/>
      <c r="W2404" s="12"/>
      <c r="X2404" s="12"/>
      <c r="Y2404" s="12"/>
      <c r="AJ2404"/>
      <c r="AK2404"/>
    </row>
    <row r="2405" spans="18:37" ht="14">
      <c r="R2405" s="14"/>
      <c r="S2405" s="14"/>
      <c r="T2405" s="12"/>
      <c r="U2405" s="15"/>
      <c r="V2405" s="12"/>
      <c r="W2405" s="12"/>
      <c r="X2405" s="12"/>
      <c r="Y2405" s="12"/>
      <c r="AJ2405"/>
      <c r="AK2405"/>
    </row>
    <row r="2406" spans="18:37" ht="14">
      <c r="R2406" s="14"/>
      <c r="S2406" s="14"/>
      <c r="T2406" s="12"/>
      <c r="U2406" s="15"/>
      <c r="V2406" s="12"/>
      <c r="W2406" s="12"/>
      <c r="X2406" s="12"/>
      <c r="Y2406" s="12"/>
      <c r="AJ2406"/>
      <c r="AK2406"/>
    </row>
    <row r="2407" spans="18:37" ht="14">
      <c r="R2407" s="14"/>
      <c r="S2407" s="14"/>
      <c r="T2407" s="12"/>
      <c r="U2407" s="15"/>
      <c r="V2407" s="12"/>
      <c r="W2407" s="12"/>
      <c r="X2407" s="12"/>
      <c r="Y2407" s="12"/>
      <c r="AJ2407"/>
      <c r="AK2407"/>
    </row>
    <row r="2408" spans="18:37" ht="14">
      <c r="R2408" s="14"/>
      <c r="S2408" s="14"/>
      <c r="T2408" s="12"/>
      <c r="U2408" s="15"/>
      <c r="V2408" s="12"/>
      <c r="W2408" s="12"/>
      <c r="X2408" s="12"/>
      <c r="Y2408" s="12"/>
      <c r="AJ2408"/>
      <c r="AK2408"/>
    </row>
    <row r="2409" spans="18:37" ht="14">
      <c r="R2409" s="14"/>
      <c r="S2409" s="14"/>
      <c r="T2409" s="12"/>
      <c r="U2409" s="15"/>
      <c r="V2409" s="12"/>
      <c r="W2409" s="12"/>
      <c r="X2409" s="12"/>
      <c r="Y2409" s="12"/>
      <c r="AJ2409"/>
      <c r="AK2409"/>
    </row>
    <row r="2410" spans="18:37" ht="14">
      <c r="R2410" s="14"/>
      <c r="S2410" s="14"/>
      <c r="T2410" s="12"/>
      <c r="U2410" s="15"/>
      <c r="V2410" s="12"/>
      <c r="W2410" s="12"/>
      <c r="X2410" s="12"/>
      <c r="Y2410" s="12"/>
      <c r="AJ2410"/>
      <c r="AK2410"/>
    </row>
    <row r="2411" spans="18:37" ht="14">
      <c r="R2411" s="14"/>
      <c r="S2411" s="14"/>
      <c r="T2411" s="12"/>
      <c r="U2411" s="15"/>
      <c r="V2411" s="12"/>
      <c r="W2411" s="12"/>
      <c r="X2411" s="12"/>
      <c r="Y2411" s="12"/>
      <c r="AJ2411"/>
      <c r="AK2411"/>
    </row>
    <row r="2412" spans="18:37" ht="14">
      <c r="R2412" s="14"/>
      <c r="S2412" s="14"/>
      <c r="T2412" s="12"/>
      <c r="U2412" s="15"/>
      <c r="V2412" s="12"/>
      <c r="W2412" s="12"/>
      <c r="X2412" s="12"/>
      <c r="Y2412" s="12"/>
      <c r="AJ2412"/>
      <c r="AK2412"/>
    </row>
    <row r="2413" spans="18:37" ht="14">
      <c r="R2413" s="14"/>
      <c r="S2413" s="14"/>
      <c r="T2413" s="12"/>
      <c r="U2413" s="15"/>
      <c r="V2413" s="12"/>
      <c r="W2413" s="12"/>
      <c r="X2413" s="12"/>
      <c r="Y2413" s="12"/>
      <c r="AJ2413"/>
      <c r="AK2413"/>
    </row>
    <row r="2414" spans="18:37" ht="14">
      <c r="R2414" s="14"/>
      <c r="S2414" s="14"/>
      <c r="T2414" s="12"/>
      <c r="U2414" s="15"/>
      <c r="V2414" s="12"/>
      <c r="W2414" s="12"/>
      <c r="X2414" s="12"/>
      <c r="Y2414" s="12"/>
      <c r="AJ2414"/>
      <c r="AK2414"/>
    </row>
    <row r="2415" spans="18:37" ht="14">
      <c r="R2415" s="14"/>
      <c r="S2415" s="14"/>
      <c r="T2415" s="12"/>
      <c r="U2415" s="15"/>
      <c r="V2415" s="12"/>
      <c r="W2415" s="12"/>
      <c r="X2415" s="12"/>
      <c r="Y2415" s="12"/>
      <c r="AJ2415"/>
      <c r="AK2415"/>
    </row>
    <row r="2416" spans="18:37" ht="14">
      <c r="R2416" s="14"/>
      <c r="S2416" s="14"/>
      <c r="T2416" s="12"/>
      <c r="U2416" s="15"/>
      <c r="V2416" s="12"/>
      <c r="W2416" s="12"/>
      <c r="X2416" s="12"/>
      <c r="Y2416" s="12"/>
      <c r="AJ2416"/>
      <c r="AK2416"/>
    </row>
    <row r="2417" spans="18:37" ht="14">
      <c r="R2417" s="14"/>
      <c r="S2417" s="14"/>
      <c r="T2417" s="12"/>
      <c r="U2417" s="15"/>
      <c r="V2417" s="12"/>
      <c r="W2417" s="12"/>
      <c r="X2417" s="12"/>
      <c r="Y2417" s="12"/>
      <c r="AJ2417"/>
      <c r="AK2417"/>
    </row>
    <row r="2418" spans="18:37" ht="14">
      <c r="R2418" s="14"/>
      <c r="S2418" s="14"/>
      <c r="T2418" s="12"/>
      <c r="U2418" s="15"/>
      <c r="V2418" s="12"/>
      <c r="W2418" s="12"/>
      <c r="X2418" s="12"/>
      <c r="Y2418" s="12"/>
      <c r="AJ2418"/>
      <c r="AK2418"/>
    </row>
    <row r="2419" spans="18:37" ht="14">
      <c r="R2419" s="14"/>
      <c r="S2419" s="14"/>
      <c r="T2419" s="12"/>
      <c r="U2419" s="15"/>
      <c r="V2419" s="12"/>
      <c r="W2419" s="12"/>
      <c r="X2419" s="12"/>
      <c r="Y2419" s="12"/>
      <c r="AJ2419"/>
      <c r="AK2419"/>
    </row>
    <row r="2420" spans="18:37" ht="14">
      <c r="R2420" s="14"/>
      <c r="S2420" s="14"/>
      <c r="T2420" s="12"/>
      <c r="U2420" s="15"/>
      <c r="V2420" s="12"/>
      <c r="W2420" s="12"/>
      <c r="X2420" s="12"/>
      <c r="Y2420" s="12"/>
      <c r="AJ2420"/>
      <c r="AK2420"/>
    </row>
    <row r="2421" spans="18:37" ht="14">
      <c r="R2421" s="14"/>
      <c r="S2421" s="14"/>
      <c r="T2421" s="12"/>
      <c r="U2421" s="15"/>
      <c r="V2421" s="12"/>
      <c r="W2421" s="12"/>
      <c r="X2421" s="12"/>
      <c r="Y2421" s="12"/>
      <c r="AJ2421"/>
      <c r="AK2421"/>
    </row>
    <row r="2422" spans="18:37" ht="14">
      <c r="R2422" s="14"/>
      <c r="S2422" s="14"/>
      <c r="T2422" s="12"/>
      <c r="U2422" s="15"/>
      <c r="V2422" s="12"/>
      <c r="W2422" s="12"/>
      <c r="X2422" s="12"/>
      <c r="Y2422" s="12"/>
      <c r="AJ2422"/>
      <c r="AK2422"/>
    </row>
    <row r="2423" spans="18:37" ht="14">
      <c r="R2423" s="14"/>
      <c r="S2423" s="14"/>
      <c r="T2423" s="12"/>
      <c r="U2423" s="15"/>
      <c r="V2423" s="12"/>
      <c r="W2423" s="12"/>
      <c r="X2423" s="12"/>
      <c r="Y2423" s="12"/>
      <c r="AJ2423"/>
      <c r="AK2423"/>
    </row>
    <row r="2424" spans="18:37" ht="14">
      <c r="R2424" s="14"/>
      <c r="S2424" s="14"/>
      <c r="T2424" s="12"/>
      <c r="U2424" s="15"/>
      <c r="V2424" s="12"/>
      <c r="W2424" s="12"/>
      <c r="X2424" s="12"/>
      <c r="Y2424" s="12"/>
      <c r="AJ2424"/>
      <c r="AK2424"/>
    </row>
    <row r="2425" spans="18:37" ht="14">
      <c r="R2425" s="14"/>
      <c r="S2425" s="14"/>
      <c r="T2425" s="12"/>
      <c r="U2425" s="15"/>
      <c r="V2425" s="12"/>
      <c r="W2425" s="12"/>
      <c r="X2425" s="12"/>
      <c r="Y2425" s="12"/>
      <c r="AJ2425"/>
      <c r="AK2425"/>
    </row>
    <row r="2426" spans="18:37" ht="14">
      <c r="R2426" s="14"/>
      <c r="S2426" s="14"/>
      <c r="T2426" s="12"/>
      <c r="U2426" s="15"/>
      <c r="V2426" s="12"/>
      <c r="W2426" s="12"/>
      <c r="X2426" s="12"/>
      <c r="Y2426" s="12"/>
      <c r="AJ2426"/>
      <c r="AK2426"/>
    </row>
    <row r="2427" spans="18:37" ht="14">
      <c r="R2427" s="14"/>
      <c r="S2427" s="14"/>
      <c r="T2427" s="12"/>
      <c r="U2427" s="15"/>
      <c r="V2427" s="12"/>
      <c r="W2427" s="12"/>
      <c r="X2427" s="12"/>
      <c r="Y2427" s="12"/>
      <c r="AJ2427"/>
      <c r="AK2427"/>
    </row>
    <row r="2428" spans="18:37" ht="14">
      <c r="R2428" s="14"/>
      <c r="S2428" s="14"/>
      <c r="T2428" s="12"/>
      <c r="U2428" s="15"/>
      <c r="V2428" s="12"/>
      <c r="W2428" s="12"/>
      <c r="X2428" s="12"/>
      <c r="Y2428" s="12"/>
      <c r="AJ2428"/>
      <c r="AK2428"/>
    </row>
    <row r="2429" spans="18:37" ht="14">
      <c r="R2429" s="14"/>
      <c r="S2429" s="14"/>
      <c r="T2429" s="12"/>
      <c r="U2429" s="15"/>
      <c r="V2429" s="12"/>
      <c r="W2429" s="12"/>
      <c r="X2429" s="12"/>
      <c r="Y2429" s="12"/>
      <c r="AJ2429"/>
      <c r="AK2429"/>
    </row>
    <row r="2430" spans="18:37" ht="14">
      <c r="R2430" s="14"/>
      <c r="S2430" s="14"/>
      <c r="T2430" s="12"/>
      <c r="U2430" s="15"/>
      <c r="V2430" s="12"/>
      <c r="W2430" s="12"/>
      <c r="X2430" s="12"/>
      <c r="Y2430" s="12"/>
      <c r="AJ2430"/>
      <c r="AK2430"/>
    </row>
    <row r="2431" spans="18:37" ht="14">
      <c r="R2431" s="14"/>
      <c r="S2431" s="14"/>
      <c r="T2431" s="12"/>
      <c r="U2431" s="15"/>
      <c r="V2431" s="12"/>
      <c r="W2431" s="12"/>
      <c r="X2431" s="12"/>
      <c r="Y2431" s="12"/>
      <c r="AJ2431"/>
      <c r="AK2431"/>
    </row>
    <row r="2432" spans="18:37" ht="14">
      <c r="R2432" s="14"/>
      <c r="S2432" s="14"/>
      <c r="T2432" s="12"/>
      <c r="U2432" s="15"/>
      <c r="V2432" s="12"/>
      <c r="W2432" s="12"/>
      <c r="X2432" s="12"/>
      <c r="Y2432" s="12"/>
      <c r="AJ2432"/>
      <c r="AK2432"/>
    </row>
    <row r="2433" spans="18:37" ht="14">
      <c r="R2433" s="14"/>
      <c r="S2433" s="14"/>
      <c r="T2433" s="12"/>
      <c r="U2433" s="15"/>
      <c r="V2433" s="12"/>
      <c r="W2433" s="12"/>
      <c r="X2433" s="12"/>
      <c r="Y2433" s="12"/>
      <c r="AJ2433"/>
      <c r="AK2433"/>
    </row>
    <row r="2434" spans="18:37" ht="14">
      <c r="R2434" s="14"/>
      <c r="S2434" s="14"/>
      <c r="T2434" s="12"/>
      <c r="U2434" s="15"/>
      <c r="V2434" s="12"/>
      <c r="W2434" s="12"/>
      <c r="X2434" s="12"/>
      <c r="Y2434" s="12"/>
      <c r="AJ2434"/>
      <c r="AK2434"/>
    </row>
    <row r="2435" spans="18:37" ht="14">
      <c r="R2435" s="14"/>
      <c r="S2435" s="14"/>
      <c r="T2435" s="12"/>
      <c r="U2435" s="15"/>
      <c r="V2435" s="12"/>
      <c r="W2435" s="12"/>
      <c r="X2435" s="12"/>
      <c r="Y2435" s="12"/>
      <c r="AJ2435"/>
      <c r="AK2435"/>
    </row>
    <row r="2436" spans="18:37" ht="14">
      <c r="R2436" s="14"/>
      <c r="S2436" s="14"/>
      <c r="T2436" s="12"/>
      <c r="U2436" s="15"/>
      <c r="V2436" s="12"/>
      <c r="W2436" s="12"/>
      <c r="X2436" s="12"/>
      <c r="Y2436" s="12"/>
      <c r="AJ2436"/>
      <c r="AK2436"/>
    </row>
    <row r="2437" spans="18:37" ht="14">
      <c r="R2437" s="14"/>
      <c r="S2437" s="14"/>
      <c r="T2437" s="12"/>
      <c r="U2437" s="15"/>
      <c r="V2437" s="12"/>
      <c r="W2437" s="12"/>
      <c r="X2437" s="12"/>
      <c r="Y2437" s="12"/>
      <c r="AJ2437"/>
      <c r="AK2437"/>
    </row>
    <row r="2438" spans="18:37" ht="14">
      <c r="R2438" s="14"/>
      <c r="S2438" s="14"/>
      <c r="T2438" s="12"/>
      <c r="U2438" s="15"/>
      <c r="V2438" s="12"/>
      <c r="W2438" s="12"/>
      <c r="X2438" s="12"/>
      <c r="Y2438" s="12"/>
      <c r="AJ2438"/>
      <c r="AK2438"/>
    </row>
    <row r="2439" spans="18:37" ht="14">
      <c r="R2439" s="14"/>
      <c r="S2439" s="14"/>
      <c r="T2439" s="12"/>
      <c r="U2439" s="15"/>
      <c r="V2439" s="12"/>
      <c r="W2439" s="12"/>
      <c r="X2439" s="12"/>
      <c r="Y2439" s="12"/>
      <c r="AJ2439"/>
      <c r="AK2439"/>
    </row>
    <row r="2440" spans="18:37" ht="14">
      <c r="R2440" s="14"/>
      <c r="S2440" s="14"/>
      <c r="T2440" s="12"/>
      <c r="U2440" s="15"/>
      <c r="V2440" s="12"/>
      <c r="W2440" s="12"/>
      <c r="X2440" s="12"/>
      <c r="Y2440" s="12"/>
      <c r="AJ2440"/>
      <c r="AK2440"/>
    </row>
    <row r="2441" spans="18:37" ht="14">
      <c r="R2441" s="14"/>
      <c r="S2441" s="14"/>
      <c r="T2441" s="12"/>
      <c r="U2441" s="15"/>
      <c r="V2441" s="12"/>
      <c r="W2441" s="12"/>
      <c r="X2441" s="12"/>
      <c r="Y2441" s="12"/>
      <c r="AJ2441"/>
      <c r="AK2441"/>
    </row>
    <row r="2442" spans="18:37" ht="14">
      <c r="R2442" s="14"/>
      <c r="S2442" s="14"/>
      <c r="T2442" s="12"/>
      <c r="U2442" s="15"/>
      <c r="V2442" s="12"/>
      <c r="W2442" s="12"/>
      <c r="X2442" s="12"/>
      <c r="Y2442" s="12"/>
      <c r="AJ2442"/>
      <c r="AK2442"/>
    </row>
    <row r="2443" spans="18:37" ht="14">
      <c r="R2443" s="14"/>
      <c r="S2443" s="14"/>
      <c r="T2443" s="12"/>
      <c r="U2443" s="15"/>
      <c r="V2443" s="12"/>
      <c r="W2443" s="12"/>
      <c r="X2443" s="12"/>
      <c r="Y2443" s="12"/>
      <c r="AJ2443"/>
      <c r="AK2443"/>
    </row>
    <row r="2444" spans="18:37" ht="14">
      <c r="R2444" s="14"/>
      <c r="S2444" s="14"/>
      <c r="T2444" s="12"/>
      <c r="U2444" s="15"/>
      <c r="V2444" s="12"/>
      <c r="W2444" s="12"/>
      <c r="X2444" s="12"/>
      <c r="Y2444" s="12"/>
      <c r="AJ2444"/>
      <c r="AK2444"/>
    </row>
    <row r="2445" spans="18:37" ht="14">
      <c r="R2445" s="14"/>
      <c r="S2445" s="14"/>
      <c r="T2445" s="12"/>
      <c r="U2445" s="15"/>
      <c r="V2445" s="12"/>
      <c r="W2445" s="12"/>
      <c r="X2445" s="12"/>
      <c r="Y2445" s="12"/>
      <c r="AJ2445"/>
      <c r="AK2445"/>
    </row>
    <row r="2446" spans="18:37" ht="14">
      <c r="R2446" s="14"/>
      <c r="S2446" s="14"/>
      <c r="T2446" s="12"/>
      <c r="U2446" s="15"/>
      <c r="V2446" s="12"/>
      <c r="W2446" s="12"/>
      <c r="X2446" s="12"/>
      <c r="Y2446" s="12"/>
      <c r="AJ2446"/>
      <c r="AK2446"/>
    </row>
    <row r="2447" spans="18:37" ht="14">
      <c r="R2447" s="14"/>
      <c r="S2447" s="14"/>
      <c r="T2447" s="12"/>
      <c r="U2447" s="15"/>
      <c r="V2447" s="12"/>
      <c r="W2447" s="12"/>
      <c r="X2447" s="12"/>
      <c r="Y2447" s="12"/>
      <c r="AJ2447"/>
      <c r="AK2447"/>
    </row>
    <row r="2448" spans="18:37" ht="14">
      <c r="R2448" s="14"/>
      <c r="S2448" s="14"/>
      <c r="T2448" s="12"/>
      <c r="U2448" s="15"/>
      <c r="V2448" s="12"/>
      <c r="W2448" s="12"/>
      <c r="X2448" s="12"/>
      <c r="Y2448" s="12"/>
      <c r="AJ2448"/>
      <c r="AK2448"/>
    </row>
    <row r="2449" spans="18:37" ht="14">
      <c r="R2449" s="14"/>
      <c r="S2449" s="14"/>
      <c r="T2449" s="12"/>
      <c r="U2449" s="15"/>
      <c r="V2449" s="12"/>
      <c r="W2449" s="12"/>
      <c r="X2449" s="12"/>
      <c r="Y2449" s="12"/>
      <c r="AJ2449"/>
      <c r="AK2449"/>
    </row>
    <row r="2450" spans="18:37" ht="14">
      <c r="R2450" s="14"/>
      <c r="S2450" s="14"/>
      <c r="T2450" s="12"/>
      <c r="U2450" s="15"/>
      <c r="V2450" s="12"/>
      <c r="W2450" s="12"/>
      <c r="X2450" s="12"/>
      <c r="Y2450" s="12"/>
      <c r="AJ2450"/>
      <c r="AK2450"/>
    </row>
    <row r="2451" spans="18:37" ht="14">
      <c r="R2451" s="14"/>
      <c r="S2451" s="14"/>
      <c r="T2451" s="12"/>
      <c r="U2451" s="15"/>
      <c r="V2451" s="12"/>
      <c r="W2451" s="12"/>
      <c r="X2451" s="12"/>
      <c r="Y2451" s="12"/>
      <c r="AJ2451"/>
      <c r="AK2451"/>
    </row>
    <row r="2452" spans="18:37" ht="14">
      <c r="R2452" s="14"/>
      <c r="S2452" s="14"/>
      <c r="T2452" s="12"/>
      <c r="U2452" s="15"/>
      <c r="V2452" s="12"/>
      <c r="W2452" s="12"/>
      <c r="X2452" s="12"/>
      <c r="Y2452" s="12"/>
      <c r="AJ2452"/>
      <c r="AK2452"/>
    </row>
    <row r="2453" spans="18:37" ht="14">
      <c r="R2453" s="14"/>
      <c r="S2453" s="14"/>
      <c r="T2453" s="12"/>
      <c r="U2453" s="15"/>
      <c r="V2453" s="12"/>
      <c r="W2453" s="12"/>
      <c r="X2453" s="12"/>
      <c r="Y2453" s="12"/>
      <c r="AJ2453"/>
      <c r="AK2453"/>
    </row>
    <row r="2454" spans="18:37" ht="14">
      <c r="R2454" s="14"/>
      <c r="S2454" s="14"/>
      <c r="T2454" s="12"/>
      <c r="U2454" s="15"/>
      <c r="V2454" s="12"/>
      <c r="W2454" s="12"/>
      <c r="X2454" s="12"/>
      <c r="Y2454" s="12"/>
      <c r="AJ2454"/>
      <c r="AK2454"/>
    </row>
    <row r="2455" spans="18:37" ht="14">
      <c r="R2455" s="14"/>
      <c r="S2455" s="14"/>
      <c r="T2455" s="12"/>
      <c r="U2455" s="15"/>
      <c r="V2455" s="12"/>
      <c r="W2455" s="12"/>
      <c r="X2455" s="12"/>
      <c r="Y2455" s="12"/>
      <c r="AJ2455"/>
      <c r="AK2455"/>
    </row>
    <row r="2456" spans="18:37" ht="14">
      <c r="R2456" s="14"/>
      <c r="S2456" s="14"/>
      <c r="T2456" s="12"/>
      <c r="U2456" s="15"/>
      <c r="V2456" s="12"/>
      <c r="W2456" s="12"/>
      <c r="X2456" s="12"/>
      <c r="Y2456" s="12"/>
      <c r="AJ2456"/>
      <c r="AK2456"/>
    </row>
    <row r="2457" spans="18:37" ht="14">
      <c r="R2457" s="14"/>
      <c r="S2457" s="14"/>
      <c r="T2457" s="12"/>
      <c r="U2457" s="15"/>
      <c r="V2457" s="12"/>
      <c r="W2457" s="12"/>
      <c r="X2457" s="12"/>
      <c r="Y2457" s="12"/>
      <c r="AJ2457"/>
      <c r="AK2457"/>
    </row>
    <row r="2458" spans="18:37" ht="14">
      <c r="R2458" s="14"/>
      <c r="S2458" s="14"/>
      <c r="T2458" s="12"/>
      <c r="U2458" s="15"/>
      <c r="V2458" s="12"/>
      <c r="W2458" s="12"/>
      <c r="X2458" s="12"/>
      <c r="Y2458" s="12"/>
      <c r="AJ2458"/>
      <c r="AK2458"/>
    </row>
    <row r="2459" spans="18:37" ht="14">
      <c r="R2459" s="14"/>
      <c r="S2459" s="14"/>
      <c r="T2459" s="12"/>
      <c r="U2459" s="15"/>
      <c r="V2459" s="12"/>
      <c r="W2459" s="12"/>
      <c r="X2459" s="12"/>
      <c r="Y2459" s="12"/>
      <c r="AJ2459"/>
      <c r="AK2459"/>
    </row>
    <row r="2460" spans="18:37" ht="14">
      <c r="R2460" s="14"/>
      <c r="S2460" s="14"/>
      <c r="T2460" s="12"/>
      <c r="U2460" s="15"/>
      <c r="V2460" s="12"/>
      <c r="W2460" s="12"/>
      <c r="X2460" s="12"/>
      <c r="Y2460" s="12"/>
      <c r="AJ2460"/>
      <c r="AK2460"/>
    </row>
    <row r="2461" spans="18:37" ht="14">
      <c r="R2461" s="14"/>
      <c r="S2461" s="14"/>
      <c r="T2461" s="12"/>
      <c r="U2461" s="15"/>
      <c r="V2461" s="12"/>
      <c r="W2461" s="12"/>
      <c r="X2461" s="12"/>
      <c r="Y2461" s="12"/>
      <c r="AJ2461"/>
      <c r="AK2461"/>
    </row>
    <row r="2462" spans="18:37" ht="14">
      <c r="R2462" s="14"/>
      <c r="S2462" s="14"/>
      <c r="T2462" s="12"/>
      <c r="U2462" s="15"/>
      <c r="V2462" s="12"/>
      <c r="W2462" s="12"/>
      <c r="X2462" s="12"/>
      <c r="Y2462" s="12"/>
      <c r="AJ2462"/>
      <c r="AK2462"/>
    </row>
    <row r="2463" spans="18:37" ht="14">
      <c r="R2463" s="14"/>
      <c r="S2463" s="14"/>
      <c r="T2463" s="12"/>
      <c r="U2463" s="15"/>
      <c r="V2463" s="12"/>
      <c r="W2463" s="12"/>
      <c r="X2463" s="12"/>
      <c r="Y2463" s="12"/>
      <c r="AJ2463"/>
      <c r="AK2463"/>
    </row>
    <row r="2464" spans="18:37" ht="14">
      <c r="R2464" s="14"/>
      <c r="S2464" s="14"/>
      <c r="T2464" s="12"/>
      <c r="U2464" s="15"/>
      <c r="V2464" s="12"/>
      <c r="W2464" s="12"/>
      <c r="X2464" s="12"/>
      <c r="Y2464" s="12"/>
      <c r="AJ2464"/>
      <c r="AK2464"/>
    </row>
    <row r="2465" spans="18:37" ht="14">
      <c r="R2465" s="14"/>
      <c r="S2465" s="14"/>
      <c r="T2465" s="12"/>
      <c r="U2465" s="15"/>
      <c r="V2465" s="12"/>
      <c r="W2465" s="12"/>
      <c r="X2465" s="12"/>
      <c r="Y2465" s="12"/>
      <c r="AJ2465"/>
      <c r="AK2465"/>
    </row>
    <row r="2466" spans="18:37" ht="14">
      <c r="R2466" s="14"/>
      <c r="S2466" s="14"/>
      <c r="T2466" s="12"/>
      <c r="U2466" s="15"/>
      <c r="V2466" s="12"/>
      <c r="W2466" s="12"/>
      <c r="X2466" s="12"/>
      <c r="Y2466" s="12"/>
      <c r="AJ2466"/>
      <c r="AK2466"/>
    </row>
    <row r="2467" spans="18:37" ht="14">
      <c r="R2467" s="14"/>
      <c r="S2467" s="14"/>
      <c r="T2467" s="12"/>
      <c r="U2467" s="15"/>
      <c r="V2467" s="12"/>
      <c r="W2467" s="12"/>
      <c r="X2467" s="12"/>
      <c r="Y2467" s="12"/>
      <c r="AJ2467"/>
      <c r="AK2467"/>
    </row>
    <row r="2468" spans="18:37" ht="14">
      <c r="R2468" s="14"/>
      <c r="S2468" s="14"/>
      <c r="T2468" s="12"/>
      <c r="U2468" s="15"/>
      <c r="V2468" s="12"/>
      <c r="W2468" s="12"/>
      <c r="X2468" s="12"/>
      <c r="Y2468" s="12"/>
      <c r="AJ2468"/>
      <c r="AK2468"/>
    </row>
    <row r="2469" spans="18:37" ht="14">
      <c r="R2469" s="14"/>
      <c r="S2469" s="14"/>
      <c r="T2469" s="12"/>
      <c r="U2469" s="15"/>
      <c r="V2469" s="12"/>
      <c r="W2469" s="12"/>
      <c r="X2469" s="12"/>
      <c r="Y2469" s="12"/>
      <c r="AJ2469"/>
      <c r="AK2469"/>
    </row>
    <row r="2470" spans="18:37" ht="14">
      <c r="R2470" s="14"/>
      <c r="S2470" s="14"/>
      <c r="T2470" s="12"/>
      <c r="U2470" s="15"/>
      <c r="V2470" s="12"/>
      <c r="W2470" s="12"/>
      <c r="X2470" s="12"/>
      <c r="Y2470" s="12"/>
      <c r="AJ2470"/>
      <c r="AK2470"/>
    </row>
    <row r="2471" spans="18:37" ht="14">
      <c r="R2471" s="14"/>
      <c r="S2471" s="14"/>
      <c r="T2471" s="12"/>
      <c r="U2471" s="15"/>
      <c r="V2471" s="12"/>
      <c r="W2471" s="12"/>
      <c r="X2471" s="12"/>
      <c r="Y2471" s="12"/>
      <c r="AJ2471"/>
      <c r="AK2471"/>
    </row>
    <row r="2472" spans="18:37" ht="14">
      <c r="R2472" s="14"/>
      <c r="S2472" s="14"/>
      <c r="T2472" s="12"/>
      <c r="U2472" s="15"/>
      <c r="V2472" s="12"/>
      <c r="W2472" s="12"/>
      <c r="X2472" s="12"/>
      <c r="Y2472" s="12"/>
      <c r="AJ2472"/>
      <c r="AK2472"/>
    </row>
    <row r="2473" spans="18:37" ht="14">
      <c r="R2473" s="14"/>
      <c r="S2473" s="14"/>
      <c r="T2473" s="12"/>
      <c r="U2473" s="15"/>
      <c r="V2473" s="12"/>
      <c r="W2473" s="12"/>
      <c r="X2473" s="12"/>
      <c r="Y2473" s="12"/>
      <c r="AJ2473"/>
      <c r="AK2473"/>
    </row>
    <row r="2474" spans="18:37" ht="14">
      <c r="R2474" s="14"/>
      <c r="S2474" s="14"/>
      <c r="T2474" s="12"/>
      <c r="U2474" s="15"/>
      <c r="V2474" s="12"/>
      <c r="W2474" s="12"/>
      <c r="X2474" s="12"/>
      <c r="Y2474" s="12"/>
      <c r="AJ2474"/>
      <c r="AK2474"/>
    </row>
    <row r="2475" spans="18:37" ht="14">
      <c r="R2475" s="14"/>
      <c r="S2475" s="14"/>
      <c r="T2475" s="12"/>
      <c r="U2475" s="15"/>
      <c r="V2475" s="12"/>
      <c r="W2475" s="12"/>
      <c r="X2475" s="12"/>
      <c r="Y2475" s="12"/>
      <c r="AJ2475"/>
      <c r="AK2475"/>
    </row>
    <row r="2476" spans="18:37" ht="14">
      <c r="R2476" s="14"/>
      <c r="S2476" s="14"/>
      <c r="T2476" s="12"/>
      <c r="U2476" s="15"/>
      <c r="V2476" s="12"/>
      <c r="W2476" s="12"/>
      <c r="X2476" s="12"/>
      <c r="Y2476" s="12"/>
      <c r="AJ2476"/>
      <c r="AK2476"/>
    </row>
    <row r="2477" spans="18:37" ht="14">
      <c r="R2477" s="14"/>
      <c r="S2477" s="14"/>
      <c r="T2477" s="12"/>
      <c r="U2477" s="15"/>
      <c r="V2477" s="12"/>
      <c r="W2477" s="12"/>
      <c r="X2477" s="12"/>
      <c r="Y2477" s="12"/>
      <c r="AJ2477"/>
      <c r="AK2477"/>
    </row>
    <row r="2478" spans="18:37" ht="14">
      <c r="R2478" s="14"/>
      <c r="S2478" s="14"/>
      <c r="T2478" s="12"/>
      <c r="U2478" s="15"/>
      <c r="V2478" s="12"/>
      <c r="W2478" s="12"/>
      <c r="X2478" s="12"/>
      <c r="Y2478" s="12"/>
      <c r="AJ2478"/>
      <c r="AK2478"/>
    </row>
    <row r="2479" spans="18:37" ht="14">
      <c r="R2479" s="14"/>
      <c r="S2479" s="14"/>
      <c r="T2479" s="12"/>
      <c r="U2479" s="15"/>
      <c r="V2479" s="12"/>
      <c r="W2479" s="12"/>
      <c r="X2479" s="12"/>
      <c r="Y2479" s="12"/>
      <c r="AJ2479"/>
      <c r="AK2479"/>
    </row>
    <row r="2480" spans="18:37" ht="14">
      <c r="R2480" s="14"/>
      <c r="S2480" s="14"/>
      <c r="T2480" s="12"/>
      <c r="U2480" s="15"/>
      <c r="V2480" s="12"/>
      <c r="W2480" s="12"/>
      <c r="X2480" s="12"/>
      <c r="Y2480" s="12"/>
      <c r="AJ2480"/>
      <c r="AK2480"/>
    </row>
    <row r="2481" spans="18:37" ht="14">
      <c r="R2481" s="14"/>
      <c r="S2481" s="14"/>
      <c r="T2481" s="12"/>
      <c r="U2481" s="15"/>
      <c r="V2481" s="12"/>
      <c r="W2481" s="12"/>
      <c r="X2481" s="12"/>
      <c r="Y2481" s="12"/>
      <c r="AJ2481"/>
      <c r="AK2481"/>
    </row>
    <row r="2482" spans="18:37" ht="14">
      <c r="R2482" s="14"/>
      <c r="S2482" s="14"/>
      <c r="T2482" s="12"/>
      <c r="U2482" s="15"/>
      <c r="V2482" s="12"/>
      <c r="W2482" s="12"/>
      <c r="X2482" s="12"/>
      <c r="Y2482" s="12"/>
      <c r="AJ2482"/>
      <c r="AK2482"/>
    </row>
    <row r="2483" spans="18:37" ht="14">
      <c r="R2483" s="14"/>
      <c r="S2483" s="14"/>
      <c r="T2483" s="12"/>
      <c r="U2483" s="15"/>
      <c r="V2483" s="12"/>
      <c r="W2483" s="12"/>
      <c r="X2483" s="12"/>
      <c r="Y2483" s="12"/>
      <c r="AJ2483"/>
      <c r="AK2483"/>
    </row>
    <row r="2484" spans="18:37" ht="14">
      <c r="R2484" s="14"/>
      <c r="S2484" s="14"/>
      <c r="T2484" s="12"/>
      <c r="U2484" s="15"/>
      <c r="V2484" s="12"/>
      <c r="W2484" s="12"/>
      <c r="X2484" s="12"/>
      <c r="Y2484" s="12"/>
      <c r="AJ2484"/>
      <c r="AK2484"/>
    </row>
    <row r="2485" spans="18:37" ht="14">
      <c r="R2485" s="14"/>
      <c r="S2485" s="14"/>
      <c r="T2485" s="12"/>
      <c r="U2485" s="15"/>
      <c r="V2485" s="12"/>
      <c r="W2485" s="12"/>
      <c r="X2485" s="12"/>
      <c r="Y2485" s="12"/>
      <c r="AJ2485"/>
      <c r="AK2485"/>
    </row>
    <row r="2486" spans="18:37" ht="14">
      <c r="R2486" s="14"/>
      <c r="S2486" s="14"/>
      <c r="T2486" s="12"/>
      <c r="U2486" s="15"/>
      <c r="V2486" s="12"/>
      <c r="W2486" s="12"/>
      <c r="X2486" s="12"/>
      <c r="Y2486" s="12"/>
      <c r="AJ2486"/>
      <c r="AK2486"/>
    </row>
    <row r="2487" spans="18:37" ht="14">
      <c r="R2487" s="14"/>
      <c r="S2487" s="14"/>
      <c r="T2487" s="12"/>
      <c r="U2487" s="15"/>
      <c r="V2487" s="12"/>
      <c r="W2487" s="12"/>
      <c r="X2487" s="12"/>
      <c r="Y2487" s="12"/>
      <c r="AJ2487"/>
      <c r="AK2487"/>
    </row>
    <row r="2488" spans="18:37" ht="14">
      <c r="R2488" s="14"/>
      <c r="S2488" s="14"/>
      <c r="T2488" s="12"/>
      <c r="U2488" s="15"/>
      <c r="V2488" s="12"/>
      <c r="W2488" s="12"/>
      <c r="X2488" s="12"/>
      <c r="Y2488" s="12"/>
      <c r="AJ2488"/>
      <c r="AK2488"/>
    </row>
    <row r="2489" spans="18:37" ht="14">
      <c r="R2489" s="14"/>
      <c r="S2489" s="14"/>
      <c r="T2489" s="12"/>
      <c r="U2489" s="15"/>
      <c r="V2489" s="12"/>
      <c r="W2489" s="12"/>
      <c r="X2489" s="12"/>
      <c r="Y2489" s="12"/>
      <c r="AJ2489"/>
      <c r="AK2489"/>
    </row>
    <row r="2490" spans="18:37" ht="14">
      <c r="R2490" s="14"/>
      <c r="S2490" s="14"/>
      <c r="T2490" s="12"/>
      <c r="U2490" s="15"/>
      <c r="V2490" s="12"/>
      <c r="W2490" s="12"/>
      <c r="X2490" s="12"/>
      <c r="Y2490" s="12"/>
      <c r="AJ2490"/>
      <c r="AK2490"/>
    </row>
    <row r="2491" spans="18:37" ht="14">
      <c r="R2491" s="14"/>
      <c r="S2491" s="14"/>
      <c r="T2491" s="12"/>
      <c r="U2491" s="15"/>
      <c r="V2491" s="12"/>
      <c r="W2491" s="12"/>
      <c r="X2491" s="12"/>
      <c r="Y2491" s="12"/>
      <c r="AJ2491"/>
      <c r="AK2491"/>
    </row>
    <row r="2492" spans="18:37" ht="14">
      <c r="R2492" s="14"/>
      <c r="S2492" s="14"/>
      <c r="T2492" s="12"/>
      <c r="U2492" s="15"/>
      <c r="V2492" s="12"/>
      <c r="W2492" s="12"/>
      <c r="X2492" s="12"/>
      <c r="Y2492" s="12"/>
      <c r="AJ2492"/>
      <c r="AK2492"/>
    </row>
    <row r="2493" spans="18:37" ht="14">
      <c r="R2493" s="14"/>
      <c r="S2493" s="14"/>
      <c r="T2493" s="12"/>
      <c r="U2493" s="15"/>
      <c r="V2493" s="12"/>
      <c r="W2493" s="12"/>
      <c r="X2493" s="12"/>
      <c r="Y2493" s="12"/>
      <c r="AJ2493"/>
      <c r="AK2493"/>
    </row>
    <row r="2494" spans="18:37" ht="14">
      <c r="R2494" s="14"/>
      <c r="S2494" s="14"/>
      <c r="T2494" s="12"/>
      <c r="U2494" s="15"/>
      <c r="V2494" s="12"/>
      <c r="W2494" s="12"/>
      <c r="X2494" s="12"/>
      <c r="Y2494" s="12"/>
      <c r="AJ2494"/>
      <c r="AK2494"/>
    </row>
    <row r="2495" spans="18:37" ht="14">
      <c r="R2495" s="14"/>
      <c r="S2495" s="14"/>
      <c r="T2495" s="12"/>
      <c r="U2495" s="15"/>
      <c r="V2495" s="12"/>
      <c r="W2495" s="12"/>
      <c r="X2495" s="12"/>
      <c r="Y2495" s="12"/>
      <c r="AJ2495"/>
      <c r="AK2495"/>
    </row>
    <row r="2496" spans="18:37" ht="14">
      <c r="R2496" s="14"/>
      <c r="S2496" s="14"/>
      <c r="T2496" s="12"/>
      <c r="U2496" s="15"/>
      <c r="V2496" s="12"/>
      <c r="W2496" s="12"/>
      <c r="X2496" s="12"/>
      <c r="Y2496" s="12"/>
      <c r="AJ2496"/>
      <c r="AK2496"/>
    </row>
    <row r="2497" spans="18:37" ht="14">
      <c r="R2497" s="14"/>
      <c r="S2497" s="14"/>
      <c r="T2497" s="12"/>
      <c r="U2497" s="15"/>
      <c r="V2497" s="12"/>
      <c r="W2497" s="12"/>
      <c r="X2497" s="12"/>
      <c r="Y2497" s="12"/>
      <c r="AJ2497"/>
      <c r="AK2497"/>
    </row>
    <row r="2498" spans="18:37" ht="14">
      <c r="R2498" s="14"/>
      <c r="S2498" s="14"/>
      <c r="T2498" s="12"/>
      <c r="U2498" s="15"/>
      <c r="V2498" s="12"/>
      <c r="W2498" s="12"/>
      <c r="X2498" s="12"/>
      <c r="Y2498" s="12"/>
      <c r="AJ2498"/>
      <c r="AK2498"/>
    </row>
    <row r="2499" spans="18:37" ht="14">
      <c r="R2499" s="14"/>
      <c r="S2499" s="14"/>
      <c r="T2499" s="12"/>
      <c r="U2499" s="15"/>
      <c r="V2499" s="12"/>
      <c r="W2499" s="12"/>
      <c r="X2499" s="12"/>
      <c r="Y2499" s="12"/>
      <c r="AJ2499"/>
      <c r="AK2499"/>
    </row>
    <row r="2500" spans="18:37" ht="14">
      <c r="R2500" s="14"/>
      <c r="S2500" s="14"/>
      <c r="T2500" s="12"/>
      <c r="U2500" s="15"/>
      <c r="V2500" s="12"/>
      <c r="W2500" s="12"/>
      <c r="X2500" s="12"/>
      <c r="Y2500" s="12"/>
      <c r="AJ2500"/>
      <c r="AK2500"/>
    </row>
    <row r="2501" spans="18:37" ht="14">
      <c r="R2501" s="14"/>
      <c r="S2501" s="14"/>
      <c r="T2501" s="12"/>
      <c r="U2501" s="15"/>
      <c r="V2501" s="12"/>
      <c r="W2501" s="12"/>
      <c r="X2501" s="12"/>
      <c r="Y2501" s="12"/>
      <c r="AJ2501"/>
      <c r="AK2501"/>
    </row>
    <row r="2502" spans="18:37" ht="14">
      <c r="R2502" s="14"/>
      <c r="S2502" s="14"/>
      <c r="T2502" s="12"/>
      <c r="U2502" s="15"/>
      <c r="V2502" s="12"/>
      <c r="W2502" s="12"/>
      <c r="X2502" s="12"/>
      <c r="Y2502" s="12"/>
      <c r="AJ2502"/>
      <c r="AK2502"/>
    </row>
    <row r="2503" spans="18:37" ht="14">
      <c r="R2503" s="14"/>
      <c r="S2503" s="14"/>
      <c r="T2503" s="12"/>
      <c r="U2503" s="15"/>
      <c r="V2503" s="12"/>
      <c r="W2503" s="12"/>
      <c r="X2503" s="12"/>
      <c r="Y2503" s="12"/>
      <c r="AJ2503"/>
      <c r="AK2503"/>
    </row>
    <row r="2504" spans="18:37" ht="14">
      <c r="R2504" s="14"/>
      <c r="S2504" s="14"/>
      <c r="T2504" s="12"/>
      <c r="U2504" s="15"/>
      <c r="V2504" s="12"/>
      <c r="W2504" s="12"/>
      <c r="X2504" s="12"/>
      <c r="Y2504" s="12"/>
      <c r="AJ2504"/>
      <c r="AK2504"/>
    </row>
    <row r="2505" spans="18:37" ht="14">
      <c r="R2505" s="14"/>
      <c r="S2505" s="14"/>
      <c r="T2505" s="12"/>
      <c r="U2505" s="15"/>
      <c r="V2505" s="12"/>
      <c r="W2505" s="12"/>
      <c r="X2505" s="12"/>
      <c r="Y2505" s="12"/>
      <c r="AJ2505"/>
      <c r="AK2505"/>
    </row>
    <row r="2506" spans="18:37" ht="14">
      <c r="R2506" s="14"/>
      <c r="S2506" s="14"/>
      <c r="T2506" s="12"/>
      <c r="U2506" s="15"/>
      <c r="V2506" s="12"/>
      <c r="W2506" s="12"/>
      <c r="X2506" s="12"/>
      <c r="Y2506" s="12"/>
      <c r="AJ2506"/>
      <c r="AK2506"/>
    </row>
    <row r="2507" spans="18:37" ht="14">
      <c r="R2507" s="14"/>
      <c r="S2507" s="14"/>
      <c r="T2507" s="12"/>
      <c r="U2507" s="15"/>
      <c r="V2507" s="12"/>
      <c r="W2507" s="12"/>
      <c r="X2507" s="12"/>
      <c r="Y2507" s="12"/>
      <c r="AJ2507"/>
      <c r="AK2507"/>
    </row>
    <row r="2508" spans="18:37" ht="14">
      <c r="R2508" s="14"/>
      <c r="S2508" s="14"/>
      <c r="T2508" s="12"/>
      <c r="U2508" s="15"/>
      <c r="V2508" s="12"/>
      <c r="W2508" s="12"/>
      <c r="X2508" s="12"/>
      <c r="Y2508" s="12"/>
      <c r="AJ2508"/>
      <c r="AK2508"/>
    </row>
    <row r="2509" spans="18:37" ht="14">
      <c r="R2509" s="14"/>
      <c r="S2509" s="14"/>
      <c r="T2509" s="12"/>
      <c r="U2509" s="15"/>
      <c r="V2509" s="12"/>
      <c r="W2509" s="12"/>
      <c r="X2509" s="12"/>
      <c r="Y2509" s="12"/>
      <c r="AJ2509"/>
      <c r="AK2509"/>
    </row>
    <row r="2510" spans="18:37" ht="14">
      <c r="R2510" s="14"/>
      <c r="S2510" s="14"/>
      <c r="T2510" s="12"/>
      <c r="U2510" s="15"/>
      <c r="V2510" s="12"/>
      <c r="W2510" s="12"/>
      <c r="X2510" s="12"/>
      <c r="Y2510" s="12"/>
      <c r="AJ2510"/>
      <c r="AK2510"/>
    </row>
    <row r="2511" spans="18:37" ht="14">
      <c r="R2511" s="14"/>
      <c r="S2511" s="14"/>
      <c r="T2511" s="12"/>
      <c r="U2511" s="15"/>
      <c r="V2511" s="12"/>
      <c r="W2511" s="12"/>
      <c r="X2511" s="12"/>
      <c r="Y2511" s="12"/>
      <c r="AJ2511"/>
      <c r="AK2511"/>
    </row>
    <row r="2512" spans="18:37" ht="14">
      <c r="R2512" s="14"/>
      <c r="S2512" s="14"/>
      <c r="T2512" s="12"/>
      <c r="U2512" s="15"/>
      <c r="V2512" s="12"/>
      <c r="W2512" s="12"/>
      <c r="X2512" s="12"/>
      <c r="Y2512" s="12"/>
      <c r="AJ2512"/>
      <c r="AK2512"/>
    </row>
    <row r="2513" spans="18:37" ht="14">
      <c r="R2513" s="14"/>
      <c r="S2513" s="14"/>
      <c r="T2513" s="12"/>
      <c r="U2513" s="15"/>
      <c r="V2513" s="12"/>
      <c r="W2513" s="12"/>
      <c r="X2513" s="12"/>
      <c r="Y2513" s="12"/>
      <c r="AJ2513"/>
      <c r="AK2513"/>
    </row>
    <row r="2514" spans="18:37" ht="14">
      <c r="R2514" s="14"/>
      <c r="S2514" s="14"/>
      <c r="T2514" s="12"/>
      <c r="U2514" s="15"/>
      <c r="V2514" s="12"/>
      <c r="W2514" s="12"/>
      <c r="X2514" s="12"/>
      <c r="Y2514" s="12"/>
      <c r="AJ2514"/>
      <c r="AK2514"/>
    </row>
    <row r="2515" spans="18:37" ht="14">
      <c r="R2515" s="14"/>
      <c r="S2515" s="14"/>
      <c r="T2515" s="12"/>
      <c r="U2515" s="15"/>
      <c r="V2515" s="12"/>
      <c r="W2515" s="12"/>
      <c r="X2515" s="12"/>
      <c r="Y2515" s="12"/>
      <c r="AJ2515"/>
      <c r="AK2515"/>
    </row>
    <row r="2516" spans="18:37" ht="14">
      <c r="R2516" s="14"/>
      <c r="S2516" s="14"/>
      <c r="T2516" s="12"/>
      <c r="U2516" s="15"/>
      <c r="V2516" s="12"/>
      <c r="W2516" s="12"/>
      <c r="X2516" s="12"/>
      <c r="Y2516" s="12"/>
      <c r="AJ2516"/>
      <c r="AK2516"/>
    </row>
    <row r="2517" spans="18:37" ht="14">
      <c r="R2517" s="14"/>
      <c r="S2517" s="14"/>
      <c r="T2517" s="12"/>
      <c r="U2517" s="15"/>
      <c r="V2517" s="12"/>
      <c r="W2517" s="12"/>
      <c r="X2517" s="12"/>
      <c r="Y2517" s="12"/>
      <c r="AJ2517"/>
      <c r="AK2517"/>
    </row>
    <row r="2518" spans="18:37" ht="14">
      <c r="R2518" s="14"/>
      <c r="S2518" s="14"/>
      <c r="T2518" s="12"/>
      <c r="U2518" s="15"/>
      <c r="V2518" s="12"/>
      <c r="W2518" s="12"/>
      <c r="X2518" s="12"/>
      <c r="Y2518" s="12"/>
      <c r="AJ2518"/>
      <c r="AK2518"/>
    </row>
    <row r="2519" spans="18:37" ht="14">
      <c r="R2519" s="14"/>
      <c r="S2519" s="14"/>
      <c r="T2519" s="12"/>
      <c r="U2519" s="15"/>
      <c r="V2519" s="12"/>
      <c r="W2519" s="12"/>
      <c r="X2519" s="12"/>
      <c r="Y2519" s="12"/>
      <c r="AJ2519"/>
      <c r="AK2519"/>
    </row>
    <row r="2520" spans="18:37" ht="14">
      <c r="R2520" s="14"/>
      <c r="S2520" s="14"/>
      <c r="T2520" s="12"/>
      <c r="U2520" s="15"/>
      <c r="V2520" s="12"/>
      <c r="W2520" s="12"/>
      <c r="X2520" s="12"/>
      <c r="Y2520" s="12"/>
      <c r="AJ2520"/>
      <c r="AK2520"/>
    </row>
    <row r="2521" spans="18:37" ht="14">
      <c r="R2521" s="14"/>
      <c r="S2521" s="14"/>
      <c r="T2521" s="12"/>
      <c r="U2521" s="15"/>
      <c r="V2521" s="12"/>
      <c r="W2521" s="12"/>
      <c r="X2521" s="12"/>
      <c r="Y2521" s="12"/>
      <c r="AJ2521"/>
      <c r="AK2521"/>
    </row>
    <row r="2522" spans="18:37" ht="14">
      <c r="R2522" s="14"/>
      <c r="S2522" s="14"/>
      <c r="T2522" s="12"/>
      <c r="U2522" s="15"/>
      <c r="V2522" s="12"/>
      <c r="W2522" s="12"/>
      <c r="X2522" s="12"/>
      <c r="Y2522" s="12"/>
      <c r="AJ2522"/>
      <c r="AK2522"/>
    </row>
    <row r="2523" spans="18:37" ht="14">
      <c r="R2523" s="14"/>
      <c r="S2523" s="14"/>
      <c r="T2523" s="12"/>
      <c r="U2523" s="15"/>
      <c r="V2523" s="12"/>
      <c r="W2523" s="12"/>
      <c r="X2523" s="12"/>
      <c r="Y2523" s="12"/>
      <c r="AJ2523"/>
      <c r="AK2523"/>
    </row>
    <row r="2524" spans="18:37" ht="14">
      <c r="R2524" s="14"/>
      <c r="S2524" s="14"/>
      <c r="T2524" s="12"/>
      <c r="U2524" s="15"/>
      <c r="V2524" s="12"/>
      <c r="W2524" s="12"/>
      <c r="X2524" s="12"/>
      <c r="Y2524" s="12"/>
      <c r="AJ2524"/>
      <c r="AK2524"/>
    </row>
    <row r="2525" spans="18:37" ht="14">
      <c r="R2525" s="14"/>
      <c r="S2525" s="14"/>
      <c r="T2525" s="12"/>
      <c r="U2525" s="15"/>
      <c r="V2525" s="12"/>
      <c r="W2525" s="12"/>
      <c r="X2525" s="12"/>
      <c r="Y2525" s="12"/>
      <c r="AJ2525"/>
      <c r="AK2525"/>
    </row>
    <row r="2526" spans="18:37" ht="14">
      <c r="R2526" s="14"/>
      <c r="S2526" s="14"/>
      <c r="T2526" s="12"/>
      <c r="U2526" s="15"/>
      <c r="V2526" s="12"/>
      <c r="W2526" s="12"/>
      <c r="X2526" s="12"/>
      <c r="Y2526" s="12"/>
      <c r="AJ2526"/>
      <c r="AK2526"/>
    </row>
    <row r="2527" spans="18:37" ht="14">
      <c r="R2527" s="14"/>
      <c r="S2527" s="14"/>
      <c r="T2527" s="12"/>
      <c r="U2527" s="15"/>
      <c r="V2527" s="12"/>
      <c r="W2527" s="12"/>
      <c r="X2527" s="12"/>
      <c r="Y2527" s="12"/>
      <c r="AJ2527"/>
      <c r="AK2527"/>
    </row>
    <row r="2528" spans="18:37" ht="14">
      <c r="R2528" s="14"/>
      <c r="S2528" s="14"/>
      <c r="T2528" s="12"/>
      <c r="U2528" s="15"/>
      <c r="V2528" s="12"/>
      <c r="W2528" s="12"/>
      <c r="X2528" s="12"/>
      <c r="Y2528" s="12"/>
      <c r="AJ2528"/>
      <c r="AK2528"/>
    </row>
    <row r="2529" spans="18:37" ht="14">
      <c r="R2529" s="14"/>
      <c r="S2529" s="14"/>
      <c r="T2529" s="12"/>
      <c r="U2529" s="15"/>
      <c r="V2529" s="12"/>
      <c r="W2529" s="12"/>
      <c r="X2529" s="12"/>
      <c r="Y2529" s="12"/>
      <c r="AJ2529"/>
      <c r="AK2529"/>
    </row>
    <row r="2530" spans="18:37" ht="14">
      <c r="R2530" s="14"/>
      <c r="S2530" s="14"/>
      <c r="T2530" s="12"/>
      <c r="U2530" s="15"/>
      <c r="V2530" s="12"/>
      <c r="W2530" s="12"/>
      <c r="X2530" s="12"/>
      <c r="Y2530" s="12"/>
      <c r="AJ2530"/>
      <c r="AK2530"/>
    </row>
    <row r="2531" spans="18:37" ht="14">
      <c r="R2531" s="14"/>
      <c r="S2531" s="14"/>
      <c r="T2531" s="12"/>
      <c r="U2531" s="15"/>
      <c r="V2531" s="12"/>
      <c r="W2531" s="12"/>
      <c r="X2531" s="12"/>
      <c r="Y2531" s="12"/>
      <c r="AJ2531"/>
      <c r="AK2531"/>
    </row>
    <row r="2532" spans="18:37" ht="14">
      <c r="R2532" s="14"/>
      <c r="S2532" s="14"/>
      <c r="T2532" s="12"/>
      <c r="U2532" s="15"/>
      <c r="V2532" s="12"/>
      <c r="W2532" s="12"/>
      <c r="X2532" s="12"/>
      <c r="Y2532" s="12"/>
      <c r="AJ2532"/>
      <c r="AK2532"/>
    </row>
    <row r="2533" spans="18:37" ht="14">
      <c r="R2533" s="14"/>
      <c r="S2533" s="14"/>
      <c r="T2533" s="12"/>
      <c r="U2533" s="15"/>
      <c r="V2533" s="12"/>
      <c r="W2533" s="12"/>
      <c r="X2533" s="12"/>
      <c r="Y2533" s="12"/>
      <c r="AJ2533"/>
      <c r="AK2533"/>
    </row>
    <row r="2534" spans="18:37" ht="14">
      <c r="R2534" s="14"/>
      <c r="S2534" s="14"/>
      <c r="T2534" s="12"/>
      <c r="U2534" s="15"/>
      <c r="V2534" s="12"/>
      <c r="W2534" s="12"/>
      <c r="X2534" s="12"/>
      <c r="Y2534" s="12"/>
      <c r="AJ2534"/>
      <c r="AK2534"/>
    </row>
    <row r="2535" spans="18:37" ht="14">
      <c r="R2535" s="14"/>
      <c r="S2535" s="14"/>
      <c r="T2535" s="12"/>
      <c r="U2535" s="15"/>
      <c r="V2535" s="12"/>
      <c r="W2535" s="12"/>
      <c r="X2535" s="12"/>
      <c r="Y2535" s="12"/>
      <c r="AJ2535"/>
      <c r="AK2535"/>
    </row>
    <row r="2536" spans="18:37" ht="14">
      <c r="R2536" s="14"/>
      <c r="S2536" s="14"/>
      <c r="T2536" s="12"/>
      <c r="U2536" s="15"/>
      <c r="V2536" s="12"/>
      <c r="W2536" s="12"/>
      <c r="X2536" s="12"/>
      <c r="Y2536" s="12"/>
      <c r="AJ2536"/>
      <c r="AK2536"/>
    </row>
    <row r="2537" spans="18:37" ht="14">
      <c r="R2537" s="14"/>
      <c r="S2537" s="14"/>
      <c r="T2537" s="12"/>
      <c r="U2537" s="15"/>
      <c r="V2537" s="12"/>
      <c r="W2537" s="12"/>
      <c r="X2537" s="12"/>
      <c r="Y2537" s="12"/>
      <c r="AJ2537"/>
      <c r="AK2537"/>
    </row>
    <row r="2538" spans="18:37" ht="14">
      <c r="R2538" s="14"/>
      <c r="S2538" s="14"/>
      <c r="T2538" s="12"/>
      <c r="U2538" s="15"/>
      <c r="V2538" s="12"/>
      <c r="W2538" s="12"/>
      <c r="X2538" s="12"/>
      <c r="Y2538" s="12"/>
      <c r="AJ2538"/>
      <c r="AK2538"/>
    </row>
    <row r="2539" spans="18:37" ht="14">
      <c r="R2539" s="14"/>
      <c r="S2539" s="14"/>
      <c r="T2539" s="12"/>
      <c r="U2539" s="15"/>
      <c r="V2539" s="12"/>
      <c r="W2539" s="12"/>
      <c r="X2539" s="12"/>
      <c r="Y2539" s="12"/>
      <c r="AJ2539"/>
      <c r="AK2539"/>
    </row>
    <row r="2540" spans="18:37" ht="14">
      <c r="R2540" s="14"/>
      <c r="S2540" s="14"/>
      <c r="T2540" s="12"/>
      <c r="U2540" s="15"/>
      <c r="V2540" s="12"/>
      <c r="W2540" s="12"/>
      <c r="X2540" s="12"/>
      <c r="Y2540" s="12"/>
      <c r="AJ2540"/>
      <c r="AK2540"/>
    </row>
    <row r="2541" spans="18:37" ht="14">
      <c r="R2541" s="14"/>
      <c r="S2541" s="14"/>
      <c r="T2541" s="12"/>
      <c r="U2541" s="15"/>
      <c r="V2541" s="12"/>
      <c r="W2541" s="12"/>
      <c r="X2541" s="12"/>
      <c r="Y2541" s="12"/>
      <c r="AJ2541"/>
      <c r="AK2541"/>
    </row>
    <row r="2542" spans="18:37" ht="14">
      <c r="R2542" s="14"/>
      <c r="S2542" s="14"/>
      <c r="T2542" s="12"/>
      <c r="U2542" s="15"/>
      <c r="V2542" s="12"/>
      <c r="W2542" s="12"/>
      <c r="X2542" s="12"/>
      <c r="Y2542" s="12"/>
      <c r="AJ2542"/>
      <c r="AK2542"/>
    </row>
    <row r="2543" spans="18:37" ht="14">
      <c r="R2543" s="14"/>
      <c r="S2543" s="14"/>
      <c r="T2543" s="12"/>
      <c r="U2543" s="15"/>
      <c r="V2543" s="12"/>
      <c r="W2543" s="12"/>
      <c r="X2543" s="12"/>
      <c r="Y2543" s="12"/>
      <c r="AJ2543"/>
      <c r="AK2543"/>
    </row>
    <row r="2544" spans="18:37" ht="14">
      <c r="R2544" s="14"/>
      <c r="S2544" s="14"/>
      <c r="T2544" s="12"/>
      <c r="U2544" s="15"/>
      <c r="V2544" s="12"/>
      <c r="W2544" s="12"/>
      <c r="X2544" s="12"/>
      <c r="Y2544" s="12"/>
      <c r="AJ2544"/>
      <c r="AK2544"/>
    </row>
    <row r="2545" spans="18:37" ht="14">
      <c r="R2545" s="14"/>
      <c r="S2545" s="14"/>
      <c r="T2545" s="12"/>
      <c r="U2545" s="15"/>
      <c r="V2545" s="12"/>
      <c r="W2545" s="12"/>
      <c r="X2545" s="12"/>
      <c r="Y2545" s="12"/>
      <c r="AJ2545"/>
      <c r="AK2545"/>
    </row>
    <row r="2546" spans="18:37" ht="14">
      <c r="R2546" s="14"/>
      <c r="S2546" s="14"/>
      <c r="T2546" s="12"/>
      <c r="U2546" s="15"/>
      <c r="V2546" s="12"/>
      <c r="W2546" s="12"/>
      <c r="X2546" s="12"/>
      <c r="Y2546" s="12"/>
      <c r="AJ2546"/>
      <c r="AK2546"/>
    </row>
    <row r="2547" spans="18:37" ht="14">
      <c r="R2547" s="14"/>
      <c r="S2547" s="14"/>
      <c r="T2547" s="12"/>
      <c r="U2547" s="15"/>
      <c r="V2547" s="12"/>
      <c r="W2547" s="12"/>
      <c r="X2547" s="12"/>
      <c r="Y2547" s="12"/>
      <c r="AJ2547"/>
      <c r="AK2547"/>
    </row>
    <row r="2548" spans="18:37" ht="14">
      <c r="R2548" s="14"/>
      <c r="S2548" s="14"/>
      <c r="T2548" s="12"/>
      <c r="U2548" s="15"/>
      <c r="V2548" s="12"/>
      <c r="W2548" s="12"/>
      <c r="X2548" s="12"/>
      <c r="Y2548" s="12"/>
      <c r="AJ2548"/>
      <c r="AK2548"/>
    </row>
    <row r="2549" spans="18:37" ht="14">
      <c r="R2549" s="14"/>
      <c r="S2549" s="14"/>
      <c r="T2549" s="12"/>
      <c r="U2549" s="15"/>
      <c r="V2549" s="12"/>
      <c r="W2549" s="12"/>
      <c r="X2549" s="12"/>
      <c r="Y2549" s="12"/>
      <c r="AJ2549"/>
      <c r="AK2549"/>
    </row>
    <row r="2550" spans="18:37" ht="14">
      <c r="R2550" s="14"/>
      <c r="S2550" s="14"/>
      <c r="T2550" s="12"/>
      <c r="U2550" s="15"/>
      <c r="V2550" s="12"/>
      <c r="W2550" s="12"/>
      <c r="X2550" s="12"/>
      <c r="Y2550" s="12"/>
      <c r="AJ2550"/>
      <c r="AK2550"/>
    </row>
    <row r="2551" spans="18:37" ht="14">
      <c r="R2551" s="14"/>
      <c r="S2551" s="14"/>
      <c r="T2551" s="12"/>
      <c r="U2551" s="15"/>
      <c r="V2551" s="12"/>
      <c r="W2551" s="12"/>
      <c r="X2551" s="12"/>
      <c r="Y2551" s="12"/>
      <c r="AJ2551"/>
      <c r="AK2551"/>
    </row>
    <row r="2552" spans="18:37" ht="14">
      <c r="R2552" s="14"/>
      <c r="S2552" s="14"/>
      <c r="T2552" s="12"/>
      <c r="U2552" s="15"/>
      <c r="V2552" s="12"/>
      <c r="W2552" s="12"/>
      <c r="X2552" s="12"/>
      <c r="Y2552" s="12"/>
      <c r="AJ2552"/>
      <c r="AK2552"/>
    </row>
    <row r="2553" spans="18:37" ht="14">
      <c r="R2553" s="14"/>
      <c r="S2553" s="14"/>
      <c r="T2553" s="12"/>
      <c r="U2553" s="15"/>
      <c r="V2553" s="12"/>
      <c r="W2553" s="12"/>
      <c r="X2553" s="12"/>
      <c r="Y2553" s="12"/>
      <c r="AJ2553"/>
      <c r="AK2553"/>
    </row>
    <row r="2554" spans="18:37" ht="14">
      <c r="R2554" s="14"/>
      <c r="S2554" s="14"/>
      <c r="T2554" s="12"/>
      <c r="U2554" s="15"/>
      <c r="V2554" s="12"/>
      <c r="W2554" s="12"/>
      <c r="X2554" s="12"/>
      <c r="Y2554" s="12"/>
      <c r="AJ2554"/>
      <c r="AK2554"/>
    </row>
    <row r="2555" spans="18:37" ht="14">
      <c r="R2555" s="14"/>
      <c r="S2555" s="14"/>
      <c r="T2555" s="12"/>
      <c r="U2555" s="15"/>
      <c r="V2555" s="12"/>
      <c r="W2555" s="12"/>
      <c r="X2555" s="12"/>
      <c r="Y2555" s="12"/>
      <c r="AJ2555"/>
      <c r="AK2555"/>
    </row>
    <row r="2556" spans="18:37" ht="14">
      <c r="R2556" s="14"/>
      <c r="S2556" s="14"/>
      <c r="T2556" s="12"/>
      <c r="U2556" s="15"/>
      <c r="V2556" s="12"/>
      <c r="W2556" s="12"/>
      <c r="X2556" s="12"/>
      <c r="Y2556" s="12"/>
      <c r="AJ2556"/>
      <c r="AK2556"/>
    </row>
    <row r="2557" spans="18:37" ht="14">
      <c r="R2557" s="14"/>
      <c r="S2557" s="14"/>
      <c r="T2557" s="12"/>
      <c r="U2557" s="15"/>
      <c r="V2557" s="12"/>
      <c r="W2557" s="12"/>
      <c r="X2557" s="12"/>
      <c r="Y2557" s="12"/>
      <c r="AJ2557"/>
      <c r="AK2557"/>
    </row>
    <row r="2558" spans="18:37" ht="14">
      <c r="R2558" s="14"/>
      <c r="S2558" s="14"/>
      <c r="T2558" s="12"/>
      <c r="U2558" s="15"/>
      <c r="V2558" s="12"/>
      <c r="W2558" s="12"/>
      <c r="X2558" s="12"/>
      <c r="Y2558" s="12"/>
      <c r="AJ2558"/>
      <c r="AK2558"/>
    </row>
    <row r="2559" spans="18:37" ht="14">
      <c r="R2559" s="14"/>
      <c r="S2559" s="14"/>
      <c r="T2559" s="12"/>
      <c r="U2559" s="15"/>
      <c r="V2559" s="12"/>
      <c r="W2559" s="12"/>
      <c r="X2559" s="12"/>
      <c r="Y2559" s="12"/>
      <c r="AJ2559"/>
      <c r="AK2559"/>
    </row>
    <row r="2560" spans="18:37" ht="14">
      <c r="R2560" s="14"/>
      <c r="S2560" s="14"/>
      <c r="T2560" s="12"/>
      <c r="U2560" s="15"/>
      <c r="V2560" s="12"/>
      <c r="W2560" s="12"/>
      <c r="X2560" s="12"/>
      <c r="Y2560" s="12"/>
      <c r="AJ2560"/>
      <c r="AK2560"/>
    </row>
    <row r="2561" spans="18:37" ht="14">
      <c r="R2561" s="14"/>
      <c r="S2561" s="14"/>
      <c r="T2561" s="12"/>
      <c r="U2561" s="15"/>
      <c r="V2561" s="12"/>
      <c r="W2561" s="12"/>
      <c r="X2561" s="12"/>
      <c r="Y2561" s="12"/>
      <c r="AJ2561"/>
      <c r="AK2561"/>
    </row>
    <row r="2562" spans="18:37" ht="14">
      <c r="R2562" s="14"/>
      <c r="S2562" s="14"/>
      <c r="T2562" s="12"/>
      <c r="U2562" s="15"/>
      <c r="V2562" s="12"/>
      <c r="W2562" s="12"/>
      <c r="X2562" s="12"/>
      <c r="Y2562" s="12"/>
      <c r="AJ2562"/>
      <c r="AK2562"/>
    </row>
    <row r="2563" spans="18:37" ht="14">
      <c r="R2563" s="14"/>
      <c r="S2563" s="14"/>
      <c r="T2563" s="12"/>
      <c r="U2563" s="15"/>
      <c r="V2563" s="12"/>
      <c r="W2563" s="12"/>
      <c r="X2563" s="12"/>
      <c r="Y2563" s="12"/>
      <c r="AJ2563"/>
      <c r="AK2563"/>
    </row>
    <row r="2564" spans="18:37" ht="14">
      <c r="R2564" s="14"/>
      <c r="S2564" s="14"/>
      <c r="T2564" s="12"/>
      <c r="U2564" s="15"/>
      <c r="V2564" s="12"/>
      <c r="W2564" s="12"/>
      <c r="X2564" s="12"/>
      <c r="Y2564" s="12"/>
      <c r="AJ2564"/>
      <c r="AK2564"/>
    </row>
    <row r="2565" spans="18:37" ht="14">
      <c r="R2565" s="14"/>
      <c r="S2565" s="14"/>
      <c r="T2565" s="12"/>
      <c r="U2565" s="15"/>
      <c r="V2565" s="12"/>
      <c r="W2565" s="12"/>
      <c r="X2565" s="12"/>
      <c r="Y2565" s="12"/>
      <c r="AJ2565"/>
      <c r="AK2565"/>
    </row>
    <row r="2566" spans="18:37" ht="14">
      <c r="R2566" s="14"/>
      <c r="S2566" s="14"/>
      <c r="T2566" s="12"/>
      <c r="U2566" s="15"/>
      <c r="V2566" s="12"/>
      <c r="W2566" s="12"/>
      <c r="X2566" s="12"/>
      <c r="Y2566" s="12"/>
      <c r="AJ2566"/>
      <c r="AK2566"/>
    </row>
    <row r="2567" spans="18:37" ht="14">
      <c r="R2567" s="14"/>
      <c r="S2567" s="14"/>
      <c r="T2567" s="12"/>
      <c r="U2567" s="15"/>
      <c r="V2567" s="12"/>
      <c r="W2567" s="12"/>
      <c r="X2567" s="12"/>
      <c r="Y2567" s="12"/>
      <c r="AJ2567"/>
      <c r="AK2567"/>
    </row>
    <row r="2568" spans="18:37" ht="14">
      <c r="R2568" s="14"/>
      <c r="S2568" s="14"/>
      <c r="T2568" s="12"/>
      <c r="U2568" s="15"/>
      <c r="V2568" s="12"/>
      <c r="W2568" s="12"/>
      <c r="X2568" s="12"/>
      <c r="Y2568" s="12"/>
      <c r="AJ2568"/>
      <c r="AK2568"/>
    </row>
    <row r="2569" spans="18:37" ht="14">
      <c r="R2569" s="14"/>
      <c r="S2569" s="14"/>
      <c r="T2569" s="12"/>
      <c r="U2569" s="15"/>
      <c r="V2569" s="12"/>
      <c r="W2569" s="12"/>
      <c r="X2569" s="12"/>
      <c r="Y2569" s="12"/>
      <c r="AJ2569"/>
      <c r="AK2569"/>
    </row>
    <row r="2570" spans="18:37" ht="14">
      <c r="R2570" s="14"/>
      <c r="S2570" s="14"/>
      <c r="T2570" s="12"/>
      <c r="U2570" s="15"/>
      <c r="V2570" s="12"/>
      <c r="W2570" s="12"/>
      <c r="X2570" s="12"/>
      <c r="Y2570" s="12"/>
      <c r="AJ2570"/>
      <c r="AK2570"/>
    </row>
    <row r="2571" spans="18:37" ht="14">
      <c r="R2571" s="14"/>
      <c r="S2571" s="14"/>
      <c r="T2571" s="12"/>
      <c r="U2571" s="15"/>
      <c r="V2571" s="12"/>
      <c r="W2571" s="12"/>
      <c r="X2571" s="12"/>
      <c r="Y2571" s="12"/>
      <c r="AJ2571"/>
      <c r="AK2571"/>
    </row>
    <row r="2572" spans="18:37" ht="14">
      <c r="R2572" s="14"/>
      <c r="S2572" s="14"/>
      <c r="T2572" s="12"/>
      <c r="U2572" s="15"/>
      <c r="V2572" s="12"/>
      <c r="W2572" s="12"/>
      <c r="X2572" s="12"/>
      <c r="Y2572" s="12"/>
      <c r="AJ2572"/>
      <c r="AK2572"/>
    </row>
    <row r="2573" spans="18:37" ht="14">
      <c r="R2573" s="14"/>
      <c r="S2573" s="14"/>
      <c r="T2573" s="12"/>
      <c r="U2573" s="15"/>
      <c r="V2573" s="12"/>
      <c r="W2573" s="12"/>
      <c r="X2573" s="12"/>
      <c r="Y2573" s="12"/>
      <c r="AJ2573"/>
      <c r="AK2573"/>
    </row>
    <row r="2574" spans="18:37" ht="14">
      <c r="R2574" s="14"/>
      <c r="S2574" s="14"/>
      <c r="T2574" s="12"/>
      <c r="U2574" s="15"/>
      <c r="V2574" s="12"/>
      <c r="W2574" s="12"/>
      <c r="X2574" s="12"/>
      <c r="Y2574" s="12"/>
      <c r="AJ2574"/>
      <c r="AK2574"/>
    </row>
    <row r="2575" spans="18:37" ht="14">
      <c r="R2575" s="14"/>
      <c r="S2575" s="14"/>
      <c r="T2575" s="12"/>
      <c r="U2575" s="15"/>
      <c r="V2575" s="12"/>
      <c r="W2575" s="12"/>
      <c r="X2575" s="12"/>
      <c r="Y2575" s="12"/>
      <c r="AJ2575"/>
      <c r="AK2575"/>
    </row>
    <row r="2576" spans="18:37" ht="14">
      <c r="R2576" s="14"/>
      <c r="S2576" s="14"/>
      <c r="T2576" s="12"/>
      <c r="U2576" s="15"/>
      <c r="V2576" s="12"/>
      <c r="W2576" s="12"/>
      <c r="X2576" s="12"/>
      <c r="Y2576" s="12"/>
      <c r="AJ2576"/>
      <c r="AK2576"/>
    </row>
    <row r="2577" spans="18:37" ht="14">
      <c r="R2577" s="14"/>
      <c r="S2577" s="14"/>
      <c r="T2577" s="12"/>
      <c r="U2577" s="15"/>
      <c r="V2577" s="12"/>
      <c r="W2577" s="12"/>
      <c r="X2577" s="12"/>
      <c r="Y2577" s="12"/>
      <c r="AJ2577"/>
      <c r="AK2577"/>
    </row>
    <row r="2578" spans="18:37" ht="14">
      <c r="R2578" s="14"/>
      <c r="S2578" s="14"/>
      <c r="T2578" s="12"/>
      <c r="U2578" s="15"/>
      <c r="V2578" s="12"/>
      <c r="W2578" s="12"/>
      <c r="X2578" s="12"/>
      <c r="Y2578" s="12"/>
      <c r="AJ2578"/>
      <c r="AK2578"/>
    </row>
    <row r="2579" spans="18:37" ht="14">
      <c r="R2579" s="14"/>
      <c r="S2579" s="14"/>
      <c r="T2579" s="12"/>
      <c r="U2579" s="15"/>
      <c r="V2579" s="12"/>
      <c r="W2579" s="12"/>
      <c r="X2579" s="12"/>
      <c r="Y2579" s="12"/>
      <c r="AJ2579"/>
      <c r="AK2579"/>
    </row>
    <row r="2580" spans="18:37" ht="14">
      <c r="R2580" s="14"/>
      <c r="S2580" s="14"/>
      <c r="T2580" s="12"/>
      <c r="U2580" s="15"/>
      <c r="V2580" s="12"/>
      <c r="W2580" s="12"/>
      <c r="X2580" s="12"/>
      <c r="Y2580" s="12"/>
      <c r="AJ2580"/>
      <c r="AK2580"/>
    </row>
    <row r="2581" spans="18:37" ht="14">
      <c r="R2581" s="14"/>
      <c r="S2581" s="14"/>
      <c r="T2581" s="12"/>
      <c r="U2581" s="15"/>
      <c r="V2581" s="12"/>
      <c r="W2581" s="12"/>
      <c r="X2581" s="12"/>
      <c r="Y2581" s="12"/>
      <c r="AJ2581"/>
      <c r="AK2581"/>
    </row>
    <row r="2582" spans="18:37" ht="14">
      <c r="R2582" s="14"/>
      <c r="S2582" s="14"/>
      <c r="T2582" s="12"/>
      <c r="U2582" s="15"/>
      <c r="V2582" s="12"/>
      <c r="W2582" s="12"/>
      <c r="X2582" s="12"/>
      <c r="Y2582" s="12"/>
      <c r="AJ2582"/>
      <c r="AK2582"/>
    </row>
    <row r="2583" spans="18:37" ht="14">
      <c r="R2583" s="14"/>
      <c r="S2583" s="14"/>
      <c r="T2583" s="12"/>
      <c r="U2583" s="15"/>
      <c r="V2583" s="12"/>
      <c r="W2583" s="12"/>
      <c r="X2583" s="12"/>
      <c r="Y2583" s="12"/>
      <c r="AJ2583"/>
      <c r="AK2583"/>
    </row>
    <row r="2584" spans="18:37" ht="14">
      <c r="R2584" s="14"/>
      <c r="S2584" s="14"/>
      <c r="T2584" s="12"/>
      <c r="U2584" s="15"/>
      <c r="V2584" s="12"/>
      <c r="W2584" s="12"/>
      <c r="X2584" s="12"/>
      <c r="Y2584" s="12"/>
      <c r="AJ2584"/>
      <c r="AK2584"/>
    </row>
    <row r="2585" spans="18:37" ht="14">
      <c r="R2585" s="14"/>
      <c r="S2585" s="14"/>
      <c r="T2585" s="12"/>
      <c r="U2585" s="15"/>
      <c r="V2585" s="12"/>
      <c r="W2585" s="12"/>
      <c r="X2585" s="12"/>
      <c r="Y2585" s="12"/>
      <c r="AJ2585"/>
      <c r="AK2585"/>
    </row>
    <row r="2586" spans="18:37" ht="14">
      <c r="R2586" s="14"/>
      <c r="S2586" s="14"/>
      <c r="T2586" s="12"/>
      <c r="U2586" s="15"/>
      <c r="V2586" s="12"/>
      <c r="W2586" s="12"/>
      <c r="X2586" s="12"/>
      <c r="Y2586" s="12"/>
      <c r="AJ2586"/>
      <c r="AK2586"/>
    </row>
    <row r="2587" spans="18:37" ht="14">
      <c r="R2587" s="14"/>
      <c r="S2587" s="14"/>
      <c r="T2587" s="12"/>
      <c r="U2587" s="15"/>
      <c r="V2587" s="12"/>
      <c r="W2587" s="12"/>
      <c r="X2587" s="12"/>
      <c r="Y2587" s="12"/>
      <c r="AJ2587"/>
      <c r="AK2587"/>
    </row>
    <row r="2588" spans="18:37" ht="14">
      <c r="R2588" s="14"/>
      <c r="S2588" s="14"/>
      <c r="T2588" s="12"/>
      <c r="U2588" s="15"/>
      <c r="V2588" s="12"/>
      <c r="W2588" s="12"/>
      <c r="X2588" s="12"/>
      <c r="Y2588" s="12"/>
      <c r="AJ2588"/>
      <c r="AK2588"/>
    </row>
    <row r="2589" spans="18:37" ht="14">
      <c r="R2589" s="14"/>
      <c r="S2589" s="14"/>
      <c r="T2589" s="12"/>
      <c r="U2589" s="15"/>
      <c r="V2589" s="12"/>
      <c r="W2589" s="12"/>
      <c r="X2589" s="12"/>
      <c r="Y2589" s="12"/>
      <c r="AJ2589"/>
      <c r="AK2589"/>
    </row>
    <row r="2590" spans="18:37" ht="14">
      <c r="R2590" s="14"/>
      <c r="S2590" s="14"/>
      <c r="T2590" s="12"/>
      <c r="U2590" s="15"/>
      <c r="V2590" s="12"/>
      <c r="W2590" s="12"/>
      <c r="X2590" s="12"/>
      <c r="Y2590" s="12"/>
      <c r="AJ2590"/>
      <c r="AK2590"/>
    </row>
    <row r="2591" spans="18:37" ht="14">
      <c r="R2591" s="14"/>
      <c r="S2591" s="14"/>
      <c r="T2591" s="12"/>
      <c r="U2591" s="15"/>
      <c r="V2591" s="12"/>
      <c r="W2591" s="12"/>
      <c r="X2591" s="12"/>
      <c r="Y2591" s="12"/>
      <c r="AJ2591"/>
      <c r="AK2591"/>
    </row>
    <row r="2592" spans="18:37" ht="14">
      <c r="R2592" s="14"/>
      <c r="S2592" s="14"/>
      <c r="T2592" s="12"/>
      <c r="U2592" s="15"/>
      <c r="V2592" s="12"/>
      <c r="W2592" s="12"/>
      <c r="X2592" s="12"/>
      <c r="Y2592" s="12"/>
      <c r="AJ2592"/>
      <c r="AK2592"/>
    </row>
    <row r="2593" spans="18:37" ht="14">
      <c r="R2593" s="14"/>
      <c r="S2593" s="14"/>
      <c r="T2593" s="12"/>
      <c r="U2593" s="15"/>
      <c r="V2593" s="12"/>
      <c r="W2593" s="12"/>
      <c r="X2593" s="12"/>
      <c r="Y2593" s="12"/>
      <c r="AJ2593"/>
      <c r="AK2593"/>
    </row>
    <row r="2594" spans="18:37" ht="14">
      <c r="R2594" s="14"/>
      <c r="S2594" s="14"/>
      <c r="T2594" s="12"/>
      <c r="U2594" s="15"/>
      <c r="V2594" s="12"/>
      <c r="W2594" s="12"/>
      <c r="X2594" s="12"/>
      <c r="Y2594" s="12"/>
      <c r="AJ2594"/>
      <c r="AK2594"/>
    </row>
    <row r="2595" spans="18:37" ht="14">
      <c r="R2595" s="14"/>
      <c r="S2595" s="14"/>
      <c r="T2595" s="12"/>
      <c r="U2595" s="15"/>
      <c r="V2595" s="12"/>
      <c r="W2595" s="12"/>
      <c r="X2595" s="12"/>
      <c r="Y2595" s="12"/>
      <c r="AJ2595"/>
      <c r="AK2595"/>
    </row>
    <row r="2596" spans="18:37" ht="14">
      <c r="R2596" s="14"/>
      <c r="S2596" s="14"/>
      <c r="T2596" s="12"/>
      <c r="U2596" s="15"/>
      <c r="V2596" s="12"/>
      <c r="W2596" s="12"/>
      <c r="X2596" s="12"/>
      <c r="Y2596" s="12"/>
      <c r="AJ2596"/>
      <c r="AK2596"/>
    </row>
    <row r="2597" spans="18:37" ht="14">
      <c r="R2597" s="14"/>
      <c r="S2597" s="14"/>
      <c r="T2597" s="12"/>
      <c r="U2597" s="15"/>
      <c r="V2597" s="12"/>
      <c r="W2597" s="12"/>
      <c r="X2597" s="12"/>
      <c r="Y2597" s="12"/>
      <c r="AJ2597"/>
      <c r="AK2597"/>
    </row>
    <row r="2598" spans="18:37" ht="14">
      <c r="R2598" s="14"/>
      <c r="S2598" s="14"/>
      <c r="T2598" s="12"/>
      <c r="U2598" s="15"/>
      <c r="V2598" s="12"/>
      <c r="W2598" s="12"/>
      <c r="X2598" s="12"/>
      <c r="Y2598" s="12"/>
      <c r="AJ2598"/>
      <c r="AK2598"/>
    </row>
    <row r="2599" spans="18:37" ht="14">
      <c r="R2599" s="14"/>
      <c r="S2599" s="14"/>
      <c r="T2599" s="12"/>
      <c r="U2599" s="15"/>
      <c r="V2599" s="12"/>
      <c r="W2599" s="12"/>
      <c r="X2599" s="12"/>
      <c r="Y2599" s="12"/>
      <c r="AJ2599"/>
      <c r="AK2599"/>
    </row>
    <row r="2600" spans="18:37" ht="14">
      <c r="R2600" s="14"/>
      <c r="S2600" s="14"/>
      <c r="T2600" s="12"/>
      <c r="U2600" s="15"/>
      <c r="V2600" s="12"/>
      <c r="W2600" s="12"/>
      <c r="X2600" s="12"/>
      <c r="Y2600" s="12"/>
      <c r="AJ2600"/>
      <c r="AK2600"/>
    </row>
    <row r="2601" spans="18:37" ht="14">
      <c r="R2601" s="14"/>
      <c r="S2601" s="14"/>
      <c r="T2601" s="12"/>
      <c r="U2601" s="15"/>
      <c r="V2601" s="12"/>
      <c r="W2601" s="12"/>
      <c r="X2601" s="12"/>
      <c r="Y2601" s="12"/>
      <c r="AJ2601"/>
      <c r="AK2601"/>
    </row>
    <row r="2602" spans="18:37" ht="14">
      <c r="R2602" s="14"/>
      <c r="S2602" s="14"/>
      <c r="T2602" s="12"/>
      <c r="U2602" s="15"/>
      <c r="V2602" s="12"/>
      <c r="W2602" s="12"/>
      <c r="X2602" s="12"/>
      <c r="Y2602" s="12"/>
      <c r="AJ2602"/>
      <c r="AK2602"/>
    </row>
    <row r="2603" spans="18:37" ht="14">
      <c r="R2603" s="14"/>
      <c r="S2603" s="14"/>
      <c r="T2603" s="12"/>
      <c r="U2603" s="15"/>
      <c r="V2603" s="12"/>
      <c r="W2603" s="12"/>
      <c r="X2603" s="12"/>
      <c r="Y2603" s="12"/>
      <c r="AJ2603"/>
      <c r="AK2603"/>
    </row>
    <row r="2604" spans="18:37" ht="14">
      <c r="R2604" s="14"/>
      <c r="S2604" s="14"/>
      <c r="T2604" s="12"/>
      <c r="U2604" s="15"/>
      <c r="V2604" s="12"/>
      <c r="W2604" s="12"/>
      <c r="X2604" s="12"/>
      <c r="Y2604" s="12"/>
      <c r="AJ2604"/>
      <c r="AK2604"/>
    </row>
    <row r="2605" spans="18:37" ht="14">
      <c r="R2605" s="14"/>
      <c r="S2605" s="14"/>
      <c r="T2605" s="12"/>
      <c r="U2605" s="15"/>
      <c r="V2605" s="12"/>
      <c r="W2605" s="12"/>
      <c r="X2605" s="12"/>
      <c r="Y2605" s="12"/>
      <c r="AJ2605"/>
      <c r="AK2605"/>
    </row>
    <row r="2606" spans="18:37" ht="14">
      <c r="R2606" s="14"/>
      <c r="S2606" s="14"/>
      <c r="T2606" s="12"/>
      <c r="U2606" s="15"/>
      <c r="V2606" s="12"/>
      <c r="W2606" s="12"/>
      <c r="X2606" s="12"/>
      <c r="Y2606" s="12"/>
      <c r="AJ2606"/>
      <c r="AK2606"/>
    </row>
    <row r="2607" spans="18:37" ht="14">
      <c r="R2607" s="14"/>
      <c r="S2607" s="14"/>
      <c r="T2607" s="12"/>
      <c r="U2607" s="15"/>
      <c r="V2607" s="12"/>
      <c r="W2607" s="12"/>
      <c r="X2607" s="12"/>
      <c r="Y2607" s="12"/>
      <c r="AJ2607"/>
      <c r="AK2607"/>
    </row>
    <row r="2608" spans="18:37" ht="14">
      <c r="R2608" s="14"/>
      <c r="S2608" s="14"/>
      <c r="T2608" s="12"/>
      <c r="U2608" s="15"/>
      <c r="V2608" s="12"/>
      <c r="W2608" s="12"/>
      <c r="X2608" s="12"/>
      <c r="Y2608" s="12"/>
      <c r="AJ2608"/>
      <c r="AK2608"/>
    </row>
    <row r="2609" spans="18:37" ht="14">
      <c r="R2609" s="14"/>
      <c r="S2609" s="14"/>
      <c r="T2609" s="12"/>
      <c r="U2609" s="15"/>
      <c r="V2609" s="12"/>
      <c r="W2609" s="12"/>
      <c r="X2609" s="12"/>
      <c r="Y2609" s="12"/>
      <c r="AJ2609"/>
      <c r="AK2609"/>
    </row>
    <row r="2610" spans="18:37" ht="14">
      <c r="R2610" s="14"/>
      <c r="S2610" s="14"/>
      <c r="T2610" s="12"/>
      <c r="U2610" s="15"/>
      <c r="V2610" s="12"/>
      <c r="W2610" s="12"/>
      <c r="X2610" s="12"/>
      <c r="Y2610" s="12"/>
      <c r="AJ2610"/>
      <c r="AK2610"/>
    </row>
    <row r="2611" spans="18:37" ht="14">
      <c r="R2611" s="14"/>
      <c r="S2611" s="14"/>
      <c r="T2611" s="12"/>
      <c r="U2611" s="15"/>
      <c r="V2611" s="12"/>
      <c r="W2611" s="12"/>
      <c r="X2611" s="12"/>
      <c r="Y2611" s="12"/>
      <c r="AJ2611"/>
      <c r="AK2611"/>
    </row>
    <row r="2612" spans="18:37" ht="14">
      <c r="R2612" s="14"/>
      <c r="S2612" s="14"/>
      <c r="T2612" s="12"/>
      <c r="U2612" s="15"/>
      <c r="V2612" s="12"/>
      <c r="W2612" s="12"/>
      <c r="X2612" s="12"/>
      <c r="Y2612" s="12"/>
      <c r="AJ2612"/>
      <c r="AK2612"/>
    </row>
    <row r="2613" spans="18:37" ht="14">
      <c r="R2613" s="14"/>
      <c r="S2613" s="14"/>
      <c r="T2613" s="12"/>
      <c r="U2613" s="15"/>
      <c r="V2613" s="12"/>
      <c r="W2613" s="12"/>
      <c r="X2613" s="12"/>
      <c r="Y2613" s="12"/>
      <c r="AJ2613"/>
      <c r="AK2613"/>
    </row>
    <row r="2614" spans="18:37" ht="14">
      <c r="R2614" s="14"/>
      <c r="S2614" s="14"/>
      <c r="T2614" s="12"/>
      <c r="U2614" s="15"/>
      <c r="V2614" s="12"/>
      <c r="W2614" s="12"/>
      <c r="X2614" s="12"/>
      <c r="Y2614" s="12"/>
      <c r="AJ2614"/>
      <c r="AK2614"/>
    </row>
    <row r="2615" spans="18:37" ht="14">
      <c r="R2615" s="14"/>
      <c r="S2615" s="14"/>
      <c r="T2615" s="12"/>
      <c r="U2615" s="15"/>
      <c r="V2615" s="12"/>
      <c r="W2615" s="12"/>
      <c r="X2615" s="12"/>
      <c r="Y2615" s="12"/>
      <c r="AJ2615"/>
      <c r="AK2615"/>
    </row>
    <row r="2616" spans="18:37" ht="14">
      <c r="R2616" s="14"/>
      <c r="S2616" s="14"/>
      <c r="T2616" s="12"/>
      <c r="U2616" s="15"/>
      <c r="V2616" s="12"/>
      <c r="W2616" s="12"/>
      <c r="X2616" s="12"/>
      <c r="Y2616" s="12"/>
      <c r="AJ2616"/>
      <c r="AK2616"/>
    </row>
    <row r="2617" spans="18:37" ht="14">
      <c r="R2617" s="14"/>
      <c r="S2617" s="14"/>
      <c r="T2617" s="12"/>
      <c r="U2617" s="15"/>
      <c r="V2617" s="12"/>
      <c r="W2617" s="12"/>
      <c r="X2617" s="12"/>
      <c r="Y2617" s="12"/>
      <c r="AJ2617"/>
      <c r="AK2617"/>
    </row>
    <row r="2618" spans="18:37" ht="14">
      <c r="R2618" s="14"/>
      <c r="S2618" s="14"/>
      <c r="T2618" s="12"/>
      <c r="U2618" s="15"/>
      <c r="V2618" s="12"/>
      <c r="W2618" s="12"/>
      <c r="X2618" s="12"/>
      <c r="Y2618" s="12"/>
      <c r="AJ2618"/>
      <c r="AK2618"/>
    </row>
    <row r="2619" spans="18:37" ht="14">
      <c r="R2619" s="14"/>
      <c r="S2619" s="14"/>
      <c r="T2619" s="12"/>
      <c r="U2619" s="15"/>
      <c r="V2619" s="12"/>
      <c r="W2619" s="12"/>
      <c r="X2619" s="12"/>
      <c r="Y2619" s="12"/>
      <c r="AJ2619"/>
      <c r="AK2619"/>
    </row>
    <row r="2620" spans="18:37" ht="14">
      <c r="R2620" s="14"/>
      <c r="S2620" s="14"/>
      <c r="T2620" s="12"/>
      <c r="U2620" s="15"/>
      <c r="V2620" s="12"/>
      <c r="W2620" s="12"/>
      <c r="X2620" s="12"/>
      <c r="Y2620" s="12"/>
      <c r="AJ2620"/>
      <c r="AK2620"/>
    </row>
    <row r="2621" spans="18:37" ht="14">
      <c r="R2621" s="14"/>
      <c r="S2621" s="14"/>
      <c r="T2621" s="12"/>
      <c r="U2621" s="15"/>
      <c r="V2621" s="12"/>
      <c r="W2621" s="12"/>
      <c r="X2621" s="12"/>
      <c r="Y2621" s="12"/>
      <c r="AJ2621"/>
      <c r="AK2621"/>
    </row>
    <row r="2622" spans="18:37" ht="14">
      <c r="R2622" s="14"/>
      <c r="S2622" s="14"/>
      <c r="T2622" s="12"/>
      <c r="U2622" s="15"/>
      <c r="V2622" s="12"/>
      <c r="W2622" s="12"/>
      <c r="X2622" s="12"/>
      <c r="Y2622" s="12"/>
      <c r="AJ2622"/>
      <c r="AK2622"/>
    </row>
    <row r="2623" spans="18:37" ht="14">
      <c r="R2623" s="14"/>
      <c r="S2623" s="14"/>
      <c r="T2623" s="12"/>
      <c r="U2623" s="15"/>
      <c r="V2623" s="12"/>
      <c r="W2623" s="12"/>
      <c r="X2623" s="12"/>
      <c r="Y2623" s="12"/>
      <c r="AJ2623"/>
      <c r="AK2623"/>
    </row>
    <row r="2624" spans="18:37" ht="14">
      <c r="R2624" s="14"/>
      <c r="S2624" s="14"/>
      <c r="T2624" s="12"/>
      <c r="U2624" s="15"/>
      <c r="V2624" s="12"/>
      <c r="W2624" s="12"/>
      <c r="X2624" s="12"/>
      <c r="Y2624" s="12"/>
      <c r="AJ2624"/>
      <c r="AK2624"/>
    </row>
    <row r="2625" spans="18:37" ht="14">
      <c r="R2625" s="14"/>
      <c r="S2625" s="14"/>
      <c r="T2625" s="12"/>
      <c r="U2625" s="15"/>
      <c r="V2625" s="12"/>
      <c r="W2625" s="12"/>
      <c r="X2625" s="12"/>
      <c r="Y2625" s="12"/>
      <c r="AJ2625"/>
      <c r="AK2625"/>
    </row>
    <row r="2626" spans="18:37" ht="14">
      <c r="R2626" s="14"/>
      <c r="S2626" s="14"/>
      <c r="T2626" s="12"/>
      <c r="U2626" s="15"/>
      <c r="V2626" s="12"/>
      <c r="W2626" s="12"/>
      <c r="X2626" s="12"/>
      <c r="Y2626" s="12"/>
      <c r="AJ2626"/>
      <c r="AK2626"/>
    </row>
    <row r="2627" spans="18:37" ht="14">
      <c r="R2627" s="14"/>
      <c r="S2627" s="14"/>
      <c r="T2627" s="12"/>
      <c r="U2627" s="15"/>
      <c r="V2627" s="12"/>
      <c r="W2627" s="12"/>
      <c r="X2627" s="12"/>
      <c r="Y2627" s="12"/>
      <c r="AJ2627"/>
      <c r="AK2627"/>
    </row>
    <row r="2628" spans="18:37" ht="14">
      <c r="R2628" s="14"/>
      <c r="S2628" s="14"/>
      <c r="T2628" s="12"/>
      <c r="U2628" s="15"/>
      <c r="V2628" s="12"/>
      <c r="W2628" s="12"/>
      <c r="X2628" s="12"/>
      <c r="Y2628" s="12"/>
      <c r="AJ2628"/>
      <c r="AK2628"/>
    </row>
    <row r="2629" spans="18:37" ht="14">
      <c r="R2629" s="14"/>
      <c r="S2629" s="14"/>
      <c r="T2629" s="12"/>
      <c r="U2629" s="15"/>
      <c r="V2629" s="12"/>
      <c r="W2629" s="12"/>
      <c r="X2629" s="12"/>
      <c r="Y2629" s="12"/>
      <c r="AJ2629"/>
      <c r="AK2629"/>
    </row>
    <row r="2630" spans="18:37" ht="14">
      <c r="R2630" s="14"/>
      <c r="S2630" s="14"/>
      <c r="T2630" s="12"/>
      <c r="U2630" s="15"/>
      <c r="V2630" s="12"/>
      <c r="W2630" s="12"/>
      <c r="X2630" s="12"/>
      <c r="Y2630" s="12"/>
      <c r="AJ2630"/>
      <c r="AK2630"/>
    </row>
    <row r="2631" spans="18:37" ht="14">
      <c r="R2631" s="14"/>
      <c r="S2631" s="14"/>
      <c r="T2631" s="12"/>
      <c r="U2631" s="15"/>
      <c r="V2631" s="12"/>
      <c r="W2631" s="12"/>
      <c r="X2631" s="12"/>
      <c r="Y2631" s="12"/>
      <c r="AJ2631"/>
      <c r="AK2631"/>
    </row>
    <row r="2632" spans="18:37" ht="14">
      <c r="R2632" s="14"/>
      <c r="S2632" s="14"/>
      <c r="T2632" s="12"/>
      <c r="U2632" s="15"/>
      <c r="V2632" s="12"/>
      <c r="W2632" s="12"/>
      <c r="X2632" s="12"/>
      <c r="Y2632" s="12"/>
      <c r="AJ2632"/>
      <c r="AK2632"/>
    </row>
    <row r="2633" spans="18:37" ht="14">
      <c r="R2633" s="14"/>
      <c r="S2633" s="14"/>
      <c r="T2633" s="12"/>
      <c r="U2633" s="15"/>
      <c r="V2633" s="12"/>
      <c r="W2633" s="12"/>
      <c r="X2633" s="12"/>
      <c r="Y2633" s="12"/>
      <c r="AJ2633"/>
      <c r="AK2633"/>
    </row>
    <row r="2634" spans="18:37" ht="14">
      <c r="R2634" s="14"/>
      <c r="S2634" s="14"/>
      <c r="T2634" s="12"/>
      <c r="U2634" s="15"/>
      <c r="V2634" s="12"/>
      <c r="W2634" s="12"/>
      <c r="X2634" s="12"/>
      <c r="Y2634" s="12"/>
      <c r="AJ2634"/>
      <c r="AK2634"/>
    </row>
    <row r="2635" spans="18:37" ht="14">
      <c r="R2635" s="14"/>
      <c r="S2635" s="14"/>
      <c r="T2635" s="12"/>
      <c r="U2635" s="15"/>
      <c r="V2635" s="12"/>
      <c r="W2635" s="12"/>
      <c r="X2635" s="12"/>
      <c r="Y2635" s="12"/>
      <c r="AJ2635"/>
      <c r="AK2635"/>
    </row>
    <row r="2636" spans="18:37" ht="14">
      <c r="R2636" s="14"/>
      <c r="S2636" s="14"/>
      <c r="T2636" s="12"/>
      <c r="U2636" s="15"/>
      <c r="V2636" s="12"/>
      <c r="W2636" s="12"/>
      <c r="X2636" s="12"/>
      <c r="Y2636" s="12"/>
      <c r="AJ2636"/>
      <c r="AK2636"/>
    </row>
    <row r="2637" spans="18:37" ht="14">
      <c r="R2637" s="14"/>
      <c r="S2637" s="14"/>
      <c r="T2637" s="12"/>
      <c r="U2637" s="15"/>
      <c r="V2637" s="12"/>
      <c r="W2637" s="12"/>
      <c r="X2637" s="12"/>
      <c r="Y2637" s="12"/>
      <c r="AJ2637"/>
      <c r="AK2637"/>
    </row>
    <row r="2638" spans="18:37" ht="14">
      <c r="R2638" s="14"/>
      <c r="S2638" s="14"/>
      <c r="T2638" s="12"/>
      <c r="U2638" s="15"/>
      <c r="V2638" s="12"/>
      <c r="W2638" s="12"/>
      <c r="X2638" s="12"/>
      <c r="Y2638" s="12"/>
      <c r="AJ2638"/>
      <c r="AK2638"/>
    </row>
    <row r="2639" spans="18:37" ht="14">
      <c r="R2639" s="14"/>
      <c r="S2639" s="14"/>
      <c r="T2639" s="12"/>
      <c r="U2639" s="15"/>
      <c r="V2639" s="12"/>
      <c r="W2639" s="12"/>
      <c r="X2639" s="12"/>
      <c r="Y2639" s="12"/>
      <c r="AJ2639"/>
      <c r="AK2639"/>
    </row>
    <row r="2640" spans="18:37" ht="14">
      <c r="R2640" s="14"/>
      <c r="S2640" s="14"/>
      <c r="T2640" s="12"/>
      <c r="U2640" s="15"/>
      <c r="V2640" s="12"/>
      <c r="W2640" s="12"/>
      <c r="X2640" s="12"/>
      <c r="Y2640" s="12"/>
      <c r="AJ2640"/>
      <c r="AK2640"/>
    </row>
    <row r="2641" spans="18:37" ht="14">
      <c r="R2641" s="14"/>
      <c r="S2641" s="14"/>
      <c r="T2641" s="12"/>
      <c r="U2641" s="15"/>
      <c r="V2641" s="12"/>
      <c r="W2641" s="12"/>
      <c r="X2641" s="12"/>
      <c r="Y2641" s="12"/>
      <c r="AJ2641"/>
      <c r="AK2641"/>
    </row>
    <row r="2642" spans="18:37" ht="14">
      <c r="R2642" s="14"/>
      <c r="S2642" s="14"/>
      <c r="T2642" s="12"/>
      <c r="U2642" s="15"/>
      <c r="V2642" s="12"/>
      <c r="W2642" s="12"/>
      <c r="X2642" s="12"/>
      <c r="Y2642" s="12"/>
      <c r="AJ2642"/>
      <c r="AK2642"/>
    </row>
    <row r="2643" spans="18:37" ht="14">
      <c r="R2643" s="14"/>
      <c r="S2643" s="14"/>
      <c r="T2643" s="12"/>
      <c r="U2643" s="15"/>
      <c r="V2643" s="12"/>
      <c r="W2643" s="12"/>
      <c r="X2643" s="12"/>
      <c r="Y2643" s="12"/>
      <c r="AJ2643"/>
      <c r="AK2643"/>
    </row>
    <row r="2644" spans="18:37" ht="14">
      <c r="R2644" s="14"/>
      <c r="S2644" s="14"/>
      <c r="T2644" s="12"/>
      <c r="U2644" s="15"/>
      <c r="V2644" s="12"/>
      <c r="W2644" s="12"/>
      <c r="X2644" s="12"/>
      <c r="Y2644" s="12"/>
      <c r="AJ2644"/>
      <c r="AK2644"/>
    </row>
    <row r="2645" spans="18:37" ht="14">
      <c r="R2645" s="14"/>
      <c r="S2645" s="14"/>
      <c r="T2645" s="12"/>
      <c r="U2645" s="15"/>
      <c r="V2645" s="12"/>
      <c r="W2645" s="12"/>
      <c r="X2645" s="12"/>
      <c r="Y2645" s="12"/>
      <c r="AJ2645"/>
      <c r="AK2645"/>
    </row>
    <row r="2646" spans="18:37" ht="14">
      <c r="R2646" s="14"/>
      <c r="S2646" s="14"/>
      <c r="T2646" s="12"/>
      <c r="U2646" s="15"/>
      <c r="V2646" s="12"/>
      <c r="W2646" s="12"/>
      <c r="X2646" s="12"/>
      <c r="Y2646" s="12"/>
      <c r="AJ2646"/>
      <c r="AK2646"/>
    </row>
    <row r="2647" spans="18:37" ht="14">
      <c r="R2647" s="14"/>
      <c r="S2647" s="14"/>
      <c r="T2647" s="12"/>
      <c r="U2647" s="15"/>
      <c r="V2647" s="12"/>
      <c r="W2647" s="12"/>
      <c r="X2647" s="12"/>
      <c r="Y2647" s="12"/>
      <c r="AJ2647"/>
      <c r="AK2647"/>
    </row>
    <row r="2648" spans="18:37" ht="14">
      <c r="R2648" s="14"/>
      <c r="S2648" s="14"/>
      <c r="T2648" s="12"/>
      <c r="U2648" s="15"/>
      <c r="V2648" s="12"/>
      <c r="W2648" s="12"/>
      <c r="X2648" s="12"/>
      <c r="Y2648" s="12"/>
      <c r="AJ2648"/>
      <c r="AK2648"/>
    </row>
    <row r="2649" spans="18:37" ht="14">
      <c r="R2649" s="14"/>
      <c r="S2649" s="14"/>
      <c r="T2649" s="12"/>
      <c r="U2649" s="15"/>
      <c r="V2649" s="12"/>
      <c r="W2649" s="12"/>
      <c r="X2649" s="12"/>
      <c r="Y2649" s="12"/>
      <c r="AJ2649"/>
      <c r="AK2649"/>
    </row>
    <row r="2650" spans="18:37" ht="14">
      <c r="R2650" s="14"/>
      <c r="S2650" s="14"/>
      <c r="T2650" s="12"/>
      <c r="U2650" s="15"/>
      <c r="V2650" s="12"/>
      <c r="W2650" s="12"/>
      <c r="X2650" s="12"/>
      <c r="Y2650" s="12"/>
      <c r="AJ2650"/>
      <c r="AK2650"/>
    </row>
    <row r="2651" spans="18:37" ht="14">
      <c r="R2651" s="14"/>
      <c r="S2651" s="14"/>
      <c r="T2651" s="12"/>
      <c r="U2651" s="15"/>
      <c r="V2651" s="12"/>
      <c r="W2651" s="12"/>
      <c r="X2651" s="12"/>
      <c r="Y2651" s="12"/>
      <c r="AJ2651"/>
      <c r="AK2651"/>
    </row>
    <row r="2652" spans="18:37" ht="14">
      <c r="R2652" s="14"/>
      <c r="S2652" s="14"/>
      <c r="T2652" s="12"/>
      <c r="U2652" s="15"/>
      <c r="V2652" s="12"/>
      <c r="W2652" s="12"/>
      <c r="X2652" s="12"/>
      <c r="Y2652" s="12"/>
      <c r="AJ2652"/>
      <c r="AK2652"/>
    </row>
    <row r="2653" spans="18:37" ht="14">
      <c r="R2653" s="14"/>
      <c r="S2653" s="14"/>
      <c r="T2653" s="12"/>
      <c r="U2653" s="15"/>
      <c r="V2653" s="12"/>
      <c r="W2653" s="12"/>
      <c r="X2653" s="12"/>
      <c r="Y2653" s="12"/>
      <c r="AJ2653"/>
      <c r="AK2653"/>
    </row>
    <row r="2654" spans="18:37" ht="14">
      <c r="R2654" s="14"/>
      <c r="S2654" s="14"/>
      <c r="T2654" s="12"/>
      <c r="U2654" s="15"/>
      <c r="V2654" s="12"/>
      <c r="W2654" s="12"/>
      <c r="X2654" s="12"/>
      <c r="Y2654" s="12"/>
      <c r="AJ2654"/>
      <c r="AK2654"/>
    </row>
    <row r="2655" spans="18:37" ht="14">
      <c r="R2655" s="14"/>
      <c r="S2655" s="14"/>
      <c r="T2655" s="12"/>
      <c r="U2655" s="15"/>
      <c r="V2655" s="12"/>
      <c r="W2655" s="12"/>
      <c r="X2655" s="12"/>
      <c r="Y2655" s="12"/>
      <c r="AJ2655"/>
      <c r="AK2655"/>
    </row>
    <row r="2656" spans="18:37" ht="14">
      <c r="R2656" s="14"/>
      <c r="S2656" s="14"/>
      <c r="T2656" s="12"/>
      <c r="U2656" s="15"/>
      <c r="V2656" s="12"/>
      <c r="W2656" s="12"/>
      <c r="X2656" s="12"/>
      <c r="Y2656" s="12"/>
      <c r="AJ2656"/>
      <c r="AK2656"/>
    </row>
    <row r="2657" spans="18:37" ht="14">
      <c r="R2657" s="14"/>
      <c r="S2657" s="14"/>
      <c r="T2657" s="12"/>
      <c r="U2657" s="15"/>
      <c r="V2657" s="12"/>
      <c r="W2657" s="12"/>
      <c r="X2657" s="12"/>
      <c r="Y2657" s="12"/>
      <c r="AJ2657"/>
      <c r="AK2657"/>
    </row>
    <row r="2658" spans="18:37" ht="14">
      <c r="R2658" s="14"/>
      <c r="S2658" s="14"/>
      <c r="T2658" s="12"/>
      <c r="U2658" s="15"/>
      <c r="V2658" s="12"/>
      <c r="W2658" s="12"/>
      <c r="X2658" s="12"/>
      <c r="Y2658" s="12"/>
      <c r="AJ2658"/>
      <c r="AK2658"/>
    </row>
    <row r="2659" spans="18:37" ht="14">
      <c r="R2659" s="14"/>
      <c r="S2659" s="14"/>
      <c r="T2659" s="12"/>
      <c r="U2659" s="15"/>
      <c r="V2659" s="12"/>
      <c r="W2659" s="12"/>
      <c r="X2659" s="12"/>
      <c r="Y2659" s="12"/>
      <c r="AJ2659"/>
      <c r="AK2659"/>
    </row>
    <row r="2660" spans="18:37" ht="14">
      <c r="R2660" s="14"/>
      <c r="S2660" s="14"/>
      <c r="T2660" s="12"/>
      <c r="U2660" s="15"/>
      <c r="V2660" s="12"/>
      <c r="W2660" s="12"/>
      <c r="X2660" s="12"/>
      <c r="Y2660" s="12"/>
      <c r="AJ2660"/>
      <c r="AK2660"/>
    </row>
    <row r="2661" spans="18:37" ht="14">
      <c r="R2661" s="14"/>
      <c r="S2661" s="14"/>
      <c r="T2661" s="12"/>
      <c r="U2661" s="15"/>
      <c r="V2661" s="12"/>
      <c r="W2661" s="12"/>
      <c r="X2661" s="12"/>
      <c r="Y2661" s="12"/>
      <c r="AJ2661"/>
      <c r="AK2661"/>
    </row>
    <row r="2662" spans="18:37" ht="14">
      <c r="R2662" s="14"/>
      <c r="S2662" s="14"/>
      <c r="T2662" s="12"/>
      <c r="U2662" s="15"/>
      <c r="V2662" s="12"/>
      <c r="W2662" s="12"/>
      <c r="X2662" s="12"/>
      <c r="Y2662" s="12"/>
      <c r="AJ2662"/>
      <c r="AK2662"/>
    </row>
    <row r="2663" spans="18:37" ht="14">
      <c r="R2663" s="14"/>
      <c r="S2663" s="14"/>
      <c r="T2663" s="12"/>
      <c r="U2663" s="15"/>
      <c r="V2663" s="12"/>
      <c r="W2663" s="12"/>
      <c r="X2663" s="12"/>
      <c r="Y2663" s="12"/>
      <c r="AJ2663"/>
      <c r="AK2663"/>
    </row>
    <row r="2664" spans="18:37" ht="14">
      <c r="R2664" s="14"/>
      <c r="S2664" s="14"/>
      <c r="T2664" s="12"/>
      <c r="U2664" s="15"/>
      <c r="V2664" s="12"/>
      <c r="W2664" s="12"/>
      <c r="X2664" s="12"/>
      <c r="Y2664" s="12"/>
      <c r="AJ2664"/>
      <c r="AK2664"/>
    </row>
    <row r="2665" spans="18:37" ht="14">
      <c r="R2665" s="14"/>
      <c r="S2665" s="14"/>
      <c r="T2665" s="12"/>
      <c r="U2665" s="15"/>
      <c r="V2665" s="12"/>
      <c r="W2665" s="12"/>
      <c r="X2665" s="12"/>
      <c r="Y2665" s="12"/>
      <c r="AJ2665"/>
      <c r="AK2665"/>
    </row>
    <row r="2666" spans="18:37" ht="14">
      <c r="R2666" s="14"/>
      <c r="S2666" s="14"/>
      <c r="T2666" s="12"/>
      <c r="U2666" s="15"/>
      <c r="V2666" s="12"/>
      <c r="W2666" s="12"/>
      <c r="X2666" s="12"/>
      <c r="Y2666" s="12"/>
      <c r="AJ2666"/>
      <c r="AK2666"/>
    </row>
    <row r="2667" spans="18:37" ht="14">
      <c r="R2667" s="14"/>
      <c r="S2667" s="14"/>
      <c r="T2667" s="12"/>
      <c r="U2667" s="15"/>
      <c r="V2667" s="12"/>
      <c r="W2667" s="12"/>
      <c r="X2667" s="12"/>
      <c r="Y2667" s="12"/>
      <c r="AJ2667"/>
      <c r="AK2667"/>
    </row>
    <row r="2668" spans="18:37" ht="14">
      <c r="R2668" s="14"/>
      <c r="S2668" s="14"/>
      <c r="T2668" s="12"/>
      <c r="U2668" s="15"/>
      <c r="V2668" s="12"/>
      <c r="W2668" s="12"/>
      <c r="X2668" s="12"/>
      <c r="Y2668" s="12"/>
      <c r="AJ2668"/>
      <c r="AK2668"/>
    </row>
    <row r="2669" spans="18:37" ht="14">
      <c r="R2669" s="14"/>
      <c r="S2669" s="14"/>
      <c r="T2669" s="12"/>
      <c r="U2669" s="15"/>
      <c r="V2669" s="12"/>
      <c r="W2669" s="12"/>
      <c r="X2669" s="12"/>
      <c r="Y2669" s="12"/>
      <c r="AJ2669"/>
      <c r="AK2669"/>
    </row>
    <row r="2670" spans="18:37" ht="14">
      <c r="R2670" s="14"/>
      <c r="S2670" s="14"/>
      <c r="T2670" s="12"/>
      <c r="U2670" s="15"/>
      <c r="V2670" s="12"/>
      <c r="W2670" s="12"/>
      <c r="X2670" s="12"/>
      <c r="Y2670" s="12"/>
      <c r="AJ2670"/>
      <c r="AK2670"/>
    </row>
    <row r="2671" spans="18:37" ht="14">
      <c r="R2671" s="14"/>
      <c r="S2671" s="14"/>
      <c r="T2671" s="12"/>
      <c r="U2671" s="15"/>
      <c r="V2671" s="12"/>
      <c r="W2671" s="12"/>
      <c r="X2671" s="12"/>
      <c r="Y2671" s="12"/>
      <c r="AJ2671"/>
      <c r="AK2671"/>
    </row>
    <row r="2672" spans="18:37" ht="14">
      <c r="R2672" s="14"/>
      <c r="S2672" s="14"/>
      <c r="T2672" s="12"/>
      <c r="U2672" s="15"/>
      <c r="V2672" s="12"/>
      <c r="W2672" s="12"/>
      <c r="X2672" s="12"/>
      <c r="Y2672" s="12"/>
      <c r="AJ2672"/>
      <c r="AK2672"/>
    </row>
    <row r="2673" spans="18:37" ht="14">
      <c r="R2673" s="14"/>
      <c r="S2673" s="14"/>
      <c r="T2673" s="12"/>
      <c r="U2673" s="15"/>
      <c r="V2673" s="12"/>
      <c r="W2673" s="12"/>
      <c r="X2673" s="12"/>
      <c r="Y2673" s="12"/>
      <c r="AJ2673"/>
      <c r="AK2673"/>
    </row>
    <row r="2674" spans="18:37" ht="14">
      <c r="R2674" s="14"/>
      <c r="S2674" s="14"/>
      <c r="T2674" s="12"/>
      <c r="U2674" s="15"/>
      <c r="V2674" s="12"/>
      <c r="W2674" s="12"/>
      <c r="X2674" s="12"/>
      <c r="Y2674" s="12"/>
      <c r="AJ2674"/>
      <c r="AK2674"/>
    </row>
    <row r="2675" spans="18:37" ht="14">
      <c r="R2675" s="14"/>
      <c r="S2675" s="14"/>
      <c r="T2675" s="12"/>
      <c r="U2675" s="15"/>
      <c r="V2675" s="12"/>
      <c r="W2675" s="12"/>
      <c r="X2675" s="12"/>
      <c r="Y2675" s="12"/>
      <c r="AJ2675"/>
      <c r="AK2675"/>
    </row>
    <row r="2676" spans="18:37" ht="14">
      <c r="R2676" s="14"/>
      <c r="S2676" s="14"/>
      <c r="T2676" s="12"/>
      <c r="U2676" s="15"/>
      <c r="V2676" s="12"/>
      <c r="W2676" s="12"/>
      <c r="X2676" s="12"/>
      <c r="Y2676" s="12"/>
      <c r="AJ2676"/>
      <c r="AK2676"/>
    </row>
    <row r="2677" spans="18:37" ht="14">
      <c r="R2677" s="14"/>
      <c r="S2677" s="14"/>
      <c r="T2677" s="12"/>
      <c r="U2677" s="15"/>
      <c r="V2677" s="12"/>
      <c r="W2677" s="12"/>
      <c r="X2677" s="12"/>
      <c r="Y2677" s="12"/>
      <c r="AJ2677"/>
      <c r="AK2677"/>
    </row>
    <row r="2678" spans="18:37" ht="14">
      <c r="R2678" s="14"/>
      <c r="S2678" s="14"/>
      <c r="T2678" s="12"/>
      <c r="U2678" s="15"/>
      <c r="V2678" s="12"/>
      <c r="W2678" s="12"/>
      <c r="X2678" s="12"/>
      <c r="Y2678" s="12"/>
      <c r="AJ2678"/>
      <c r="AK2678"/>
    </row>
    <row r="2679" spans="18:37" ht="14">
      <c r="R2679" s="14"/>
      <c r="S2679" s="14"/>
      <c r="T2679" s="12"/>
      <c r="U2679" s="15"/>
      <c r="V2679" s="12"/>
      <c r="W2679" s="12"/>
      <c r="X2679" s="12"/>
      <c r="Y2679" s="12"/>
      <c r="AJ2679"/>
      <c r="AK2679"/>
    </row>
    <row r="2680" spans="18:37" ht="14">
      <c r="R2680" s="14"/>
      <c r="S2680" s="14"/>
      <c r="T2680" s="12"/>
      <c r="U2680" s="15"/>
      <c r="V2680" s="12"/>
      <c r="W2680" s="12"/>
      <c r="X2680" s="12"/>
      <c r="Y2680" s="12"/>
      <c r="AJ2680"/>
      <c r="AK2680"/>
    </row>
    <row r="2681" spans="18:37" ht="14">
      <c r="R2681" s="14"/>
      <c r="S2681" s="14"/>
      <c r="T2681" s="12"/>
      <c r="U2681" s="15"/>
      <c r="V2681" s="12"/>
      <c r="W2681" s="12"/>
      <c r="X2681" s="12"/>
      <c r="Y2681" s="12"/>
      <c r="AJ2681"/>
      <c r="AK2681"/>
    </row>
    <row r="2682" spans="18:37" ht="14">
      <c r="R2682" s="14"/>
      <c r="S2682" s="14"/>
      <c r="T2682" s="12"/>
      <c r="U2682" s="15"/>
      <c r="V2682" s="12"/>
      <c r="W2682" s="12"/>
      <c r="X2682" s="12"/>
      <c r="Y2682" s="12"/>
      <c r="AJ2682"/>
      <c r="AK2682"/>
    </row>
    <row r="2683" spans="18:37" ht="14">
      <c r="R2683" s="14"/>
      <c r="S2683" s="14"/>
      <c r="T2683" s="12"/>
      <c r="U2683" s="15"/>
      <c r="V2683" s="12"/>
      <c r="W2683" s="12"/>
      <c r="X2683" s="12"/>
      <c r="Y2683" s="12"/>
      <c r="AJ2683"/>
      <c r="AK2683"/>
    </row>
    <row r="2684" spans="18:37" ht="14">
      <c r="R2684" s="14"/>
      <c r="S2684" s="14"/>
      <c r="T2684" s="12"/>
      <c r="U2684" s="15"/>
      <c r="V2684" s="12"/>
      <c r="W2684" s="12"/>
      <c r="X2684" s="12"/>
      <c r="Y2684" s="12"/>
      <c r="AJ2684"/>
      <c r="AK2684"/>
    </row>
    <row r="2685" spans="18:37" ht="14">
      <c r="R2685" s="14"/>
      <c r="S2685" s="14"/>
      <c r="T2685" s="12"/>
      <c r="U2685" s="15"/>
      <c r="V2685" s="12"/>
      <c r="W2685" s="12"/>
      <c r="X2685" s="12"/>
      <c r="Y2685" s="12"/>
      <c r="AJ2685"/>
      <c r="AK2685"/>
    </row>
    <row r="2686" spans="18:37" ht="14">
      <c r="R2686" s="14"/>
      <c r="S2686" s="14"/>
      <c r="T2686" s="12"/>
      <c r="U2686" s="15"/>
      <c r="V2686" s="12"/>
      <c r="W2686" s="12"/>
      <c r="X2686" s="12"/>
      <c r="Y2686" s="12"/>
      <c r="AJ2686"/>
      <c r="AK2686"/>
    </row>
    <row r="2687" spans="18:37" ht="14">
      <c r="R2687" s="14"/>
      <c r="S2687" s="14"/>
      <c r="T2687" s="12"/>
      <c r="U2687" s="15"/>
      <c r="V2687" s="12"/>
      <c r="W2687" s="12"/>
      <c r="X2687" s="12"/>
      <c r="Y2687" s="12"/>
      <c r="AJ2687"/>
      <c r="AK2687"/>
    </row>
    <row r="2688" spans="18:37" ht="14">
      <c r="R2688" s="14"/>
      <c r="S2688" s="14"/>
      <c r="T2688" s="12"/>
      <c r="U2688" s="15"/>
      <c r="V2688" s="12"/>
      <c r="W2688" s="12"/>
      <c r="X2688" s="12"/>
      <c r="Y2688" s="12"/>
      <c r="AJ2688"/>
      <c r="AK2688"/>
    </row>
    <row r="2689" spans="18:37" ht="14">
      <c r="R2689" s="14"/>
      <c r="S2689" s="14"/>
      <c r="T2689" s="12"/>
      <c r="U2689" s="15"/>
      <c r="V2689" s="12"/>
      <c r="W2689" s="12"/>
      <c r="X2689" s="12"/>
      <c r="Y2689" s="12"/>
      <c r="AJ2689"/>
      <c r="AK2689"/>
    </row>
    <row r="2690" spans="18:37" ht="14">
      <c r="R2690" s="14"/>
      <c r="S2690" s="14"/>
      <c r="T2690" s="12"/>
      <c r="U2690" s="15"/>
      <c r="V2690" s="12"/>
      <c r="W2690" s="12"/>
      <c r="X2690" s="12"/>
      <c r="Y2690" s="12"/>
      <c r="AJ2690"/>
      <c r="AK2690"/>
    </row>
    <row r="2691" spans="18:37" ht="14">
      <c r="R2691" s="14"/>
      <c r="S2691" s="14"/>
      <c r="T2691" s="12"/>
      <c r="U2691" s="15"/>
      <c r="V2691" s="12"/>
      <c r="W2691" s="12"/>
      <c r="X2691" s="12"/>
      <c r="Y2691" s="12"/>
      <c r="AJ2691"/>
      <c r="AK2691"/>
    </row>
    <row r="2692" spans="18:37" ht="14">
      <c r="R2692" s="14"/>
      <c r="S2692" s="14"/>
      <c r="T2692" s="12"/>
      <c r="U2692" s="15"/>
      <c r="V2692" s="12"/>
      <c r="W2692" s="12"/>
      <c r="X2692" s="12"/>
      <c r="Y2692" s="12"/>
      <c r="AJ2692"/>
      <c r="AK2692"/>
    </row>
    <row r="2693" spans="18:37" ht="14">
      <c r="R2693" s="14"/>
      <c r="S2693" s="14"/>
      <c r="T2693" s="12"/>
      <c r="U2693" s="15"/>
      <c r="V2693" s="12"/>
      <c r="W2693" s="12"/>
      <c r="X2693" s="12"/>
      <c r="Y2693" s="12"/>
      <c r="AJ2693"/>
      <c r="AK2693"/>
    </row>
    <row r="2694" spans="18:37" ht="14">
      <c r="R2694" s="14"/>
      <c r="S2694" s="14"/>
      <c r="T2694" s="12"/>
      <c r="U2694" s="15"/>
      <c r="V2694" s="12"/>
      <c r="W2694" s="12"/>
      <c r="X2694" s="12"/>
      <c r="Y2694" s="12"/>
      <c r="AJ2694"/>
      <c r="AK2694"/>
    </row>
    <row r="2695" spans="18:37" ht="14">
      <c r="R2695" s="14"/>
      <c r="S2695" s="14"/>
      <c r="T2695" s="12"/>
      <c r="U2695" s="15"/>
      <c r="V2695" s="12"/>
      <c r="W2695" s="12"/>
      <c r="X2695" s="12"/>
      <c r="Y2695" s="12"/>
      <c r="AJ2695"/>
      <c r="AK2695"/>
    </row>
    <row r="2696" spans="18:37" ht="14">
      <c r="R2696" s="14"/>
      <c r="S2696" s="14"/>
      <c r="T2696" s="12"/>
      <c r="U2696" s="15"/>
      <c r="V2696" s="12"/>
      <c r="W2696" s="12"/>
      <c r="X2696" s="12"/>
      <c r="Y2696" s="12"/>
      <c r="AJ2696"/>
      <c r="AK2696"/>
    </row>
    <row r="2697" spans="18:37" ht="14">
      <c r="R2697" s="14"/>
      <c r="S2697" s="14"/>
      <c r="T2697" s="12"/>
      <c r="U2697" s="15"/>
      <c r="V2697" s="12"/>
      <c r="W2697" s="12"/>
      <c r="X2697" s="12"/>
      <c r="Y2697" s="12"/>
      <c r="AJ2697"/>
      <c r="AK2697"/>
    </row>
    <row r="2698" spans="18:37" ht="14">
      <c r="R2698" s="14"/>
      <c r="S2698" s="14"/>
      <c r="T2698" s="12"/>
      <c r="U2698" s="15"/>
      <c r="V2698" s="12"/>
      <c r="W2698" s="12"/>
      <c r="X2698" s="12"/>
      <c r="Y2698" s="12"/>
      <c r="AJ2698"/>
      <c r="AK2698"/>
    </row>
    <row r="2699" spans="18:37" ht="14">
      <c r="R2699" s="14"/>
      <c r="S2699" s="14"/>
      <c r="T2699" s="12"/>
      <c r="U2699" s="15"/>
      <c r="V2699" s="12"/>
      <c r="W2699" s="12"/>
      <c r="X2699" s="12"/>
      <c r="Y2699" s="12"/>
      <c r="AJ2699"/>
      <c r="AK2699"/>
    </row>
    <row r="2700" spans="18:37" ht="14">
      <c r="R2700" s="14"/>
      <c r="S2700" s="14"/>
      <c r="T2700" s="12"/>
      <c r="U2700" s="15"/>
      <c r="V2700" s="12"/>
      <c r="W2700" s="12"/>
      <c r="X2700" s="12"/>
      <c r="Y2700" s="12"/>
      <c r="AJ2700"/>
      <c r="AK2700"/>
    </row>
    <row r="2701" spans="18:37" ht="14">
      <c r="R2701" s="14"/>
      <c r="S2701" s="14"/>
      <c r="T2701" s="12"/>
      <c r="U2701" s="15"/>
      <c r="V2701" s="12"/>
      <c r="W2701" s="12"/>
      <c r="X2701" s="12"/>
      <c r="Y2701" s="12"/>
      <c r="AJ2701"/>
      <c r="AK2701"/>
    </row>
    <row r="2702" spans="18:37" ht="14">
      <c r="R2702" s="14"/>
      <c r="S2702" s="14"/>
      <c r="T2702" s="12"/>
      <c r="U2702" s="15"/>
      <c r="V2702" s="12"/>
      <c r="W2702" s="12"/>
      <c r="X2702" s="12"/>
      <c r="Y2702" s="12"/>
      <c r="AJ2702"/>
      <c r="AK2702"/>
    </row>
    <row r="2703" spans="18:37" ht="14">
      <c r="R2703" s="14"/>
      <c r="S2703" s="14"/>
      <c r="T2703" s="12"/>
      <c r="U2703" s="15"/>
      <c r="V2703" s="12"/>
      <c r="W2703" s="12"/>
      <c r="X2703" s="12"/>
      <c r="Y2703" s="12"/>
      <c r="AJ2703"/>
      <c r="AK2703"/>
    </row>
    <row r="2704" spans="18:37" ht="14">
      <c r="R2704" s="14"/>
      <c r="S2704" s="14"/>
      <c r="T2704" s="12"/>
      <c r="U2704" s="15"/>
      <c r="V2704" s="12"/>
      <c r="W2704" s="12"/>
      <c r="X2704" s="12"/>
      <c r="Y2704" s="12"/>
      <c r="AJ2704"/>
      <c r="AK2704"/>
    </row>
    <row r="2705" spans="18:37" ht="14">
      <c r="R2705" s="14"/>
      <c r="S2705" s="14"/>
      <c r="T2705" s="12"/>
      <c r="U2705" s="15"/>
      <c r="V2705" s="12"/>
      <c r="W2705" s="12"/>
      <c r="X2705" s="12"/>
      <c r="Y2705" s="12"/>
      <c r="AJ2705"/>
      <c r="AK2705"/>
    </row>
    <row r="2706" spans="18:37" ht="14">
      <c r="R2706" s="14"/>
      <c r="S2706" s="14"/>
      <c r="T2706" s="12"/>
      <c r="U2706" s="15"/>
      <c r="V2706" s="12"/>
      <c r="W2706" s="12"/>
      <c r="X2706" s="12"/>
      <c r="Y2706" s="12"/>
      <c r="AJ2706"/>
      <c r="AK2706"/>
    </row>
    <row r="2707" spans="18:37" ht="14">
      <c r="R2707" s="14"/>
      <c r="S2707" s="14"/>
      <c r="T2707" s="12"/>
      <c r="U2707" s="15"/>
      <c r="V2707" s="12"/>
      <c r="W2707" s="12"/>
      <c r="X2707" s="12"/>
      <c r="Y2707" s="12"/>
      <c r="AJ2707"/>
      <c r="AK2707"/>
    </row>
    <row r="2708" spans="18:37" ht="14">
      <c r="R2708" s="14"/>
      <c r="S2708" s="14"/>
      <c r="T2708" s="12"/>
      <c r="U2708" s="15"/>
      <c r="V2708" s="12"/>
      <c r="W2708" s="12"/>
      <c r="X2708" s="12"/>
      <c r="Y2708" s="12"/>
      <c r="AJ2708"/>
      <c r="AK2708"/>
    </row>
    <row r="2709" spans="18:37" ht="14">
      <c r="R2709" s="14"/>
      <c r="S2709" s="14"/>
      <c r="T2709" s="12"/>
      <c r="U2709" s="15"/>
      <c r="V2709" s="12"/>
      <c r="W2709" s="12"/>
      <c r="X2709" s="12"/>
      <c r="Y2709" s="12"/>
      <c r="AJ2709"/>
      <c r="AK2709"/>
    </row>
    <row r="2710" spans="18:37" ht="14">
      <c r="R2710" s="14"/>
      <c r="S2710" s="14"/>
      <c r="T2710" s="12"/>
      <c r="U2710" s="15"/>
      <c r="V2710" s="12"/>
      <c r="W2710" s="12"/>
      <c r="X2710" s="12"/>
      <c r="Y2710" s="12"/>
      <c r="AJ2710"/>
      <c r="AK2710"/>
    </row>
    <row r="2711" spans="18:37" ht="14">
      <c r="R2711" s="14"/>
      <c r="S2711" s="14"/>
      <c r="T2711" s="12"/>
      <c r="U2711" s="15"/>
      <c r="V2711" s="12"/>
      <c r="W2711" s="12"/>
      <c r="X2711" s="12"/>
      <c r="Y2711" s="12"/>
      <c r="AJ2711"/>
      <c r="AK2711"/>
    </row>
    <row r="2712" spans="18:37" ht="14">
      <c r="R2712" s="14"/>
      <c r="S2712" s="14"/>
      <c r="T2712" s="12"/>
      <c r="U2712" s="15"/>
      <c r="V2712" s="12"/>
      <c r="W2712" s="12"/>
      <c r="X2712" s="12"/>
      <c r="Y2712" s="12"/>
      <c r="AJ2712"/>
      <c r="AK2712"/>
    </row>
    <row r="2713" spans="18:37" ht="14">
      <c r="R2713" s="14"/>
      <c r="S2713" s="14"/>
      <c r="T2713" s="12"/>
      <c r="U2713" s="15"/>
      <c r="V2713" s="12"/>
      <c r="W2713" s="12"/>
      <c r="X2713" s="12"/>
      <c r="Y2713" s="12"/>
      <c r="AJ2713"/>
      <c r="AK2713"/>
    </row>
    <row r="2714" spans="18:37" ht="14">
      <c r="R2714" s="14"/>
      <c r="S2714" s="14"/>
      <c r="T2714" s="12"/>
      <c r="U2714" s="15"/>
      <c r="V2714" s="12"/>
      <c r="W2714" s="12"/>
      <c r="X2714" s="12"/>
      <c r="Y2714" s="12"/>
      <c r="AJ2714"/>
      <c r="AK2714"/>
    </row>
    <row r="2715" spans="18:37" ht="14">
      <c r="R2715" s="14"/>
      <c r="S2715" s="14"/>
      <c r="T2715" s="12"/>
      <c r="U2715" s="15"/>
      <c r="V2715" s="12"/>
      <c r="W2715" s="12"/>
      <c r="X2715" s="12"/>
      <c r="Y2715" s="12"/>
      <c r="AJ2715"/>
      <c r="AK2715"/>
    </row>
    <row r="2716" spans="18:37" ht="14">
      <c r="R2716" s="14"/>
      <c r="S2716" s="14"/>
      <c r="T2716" s="12"/>
      <c r="U2716" s="15"/>
      <c r="V2716" s="12"/>
      <c r="W2716" s="12"/>
      <c r="X2716" s="12"/>
      <c r="Y2716" s="12"/>
      <c r="AJ2716"/>
      <c r="AK2716"/>
    </row>
    <row r="2717" spans="18:37" ht="14">
      <c r="R2717" s="14"/>
      <c r="S2717" s="14"/>
      <c r="T2717" s="12"/>
      <c r="U2717" s="15"/>
      <c r="V2717" s="12"/>
      <c r="W2717" s="12"/>
      <c r="X2717" s="12"/>
      <c r="Y2717" s="12"/>
      <c r="AJ2717"/>
      <c r="AK2717"/>
    </row>
    <row r="2718" spans="18:37" ht="14">
      <c r="R2718" s="14"/>
      <c r="S2718" s="14"/>
      <c r="T2718" s="12"/>
      <c r="U2718" s="15"/>
      <c r="V2718" s="12"/>
      <c r="W2718" s="12"/>
      <c r="X2718" s="12"/>
      <c r="Y2718" s="12"/>
      <c r="AJ2718"/>
      <c r="AK2718"/>
    </row>
    <row r="2719" spans="18:37" ht="14">
      <c r="R2719" s="14"/>
      <c r="S2719" s="14"/>
      <c r="T2719" s="12"/>
      <c r="U2719" s="15"/>
      <c r="V2719" s="12"/>
      <c r="W2719" s="12"/>
      <c r="X2719" s="12"/>
      <c r="Y2719" s="12"/>
      <c r="AJ2719"/>
      <c r="AK2719"/>
    </row>
    <row r="2720" spans="18:37" ht="14">
      <c r="R2720" s="14"/>
      <c r="S2720" s="14"/>
      <c r="T2720" s="12"/>
      <c r="U2720" s="15"/>
      <c r="V2720" s="12"/>
      <c r="W2720" s="12"/>
      <c r="X2720" s="12"/>
      <c r="Y2720" s="12"/>
      <c r="AJ2720"/>
      <c r="AK2720"/>
    </row>
    <row r="2721" spans="18:37" ht="14">
      <c r="R2721" s="14"/>
      <c r="S2721" s="14"/>
      <c r="T2721" s="12"/>
      <c r="U2721" s="15"/>
      <c r="V2721" s="12"/>
      <c r="W2721" s="12"/>
      <c r="X2721" s="12"/>
      <c r="Y2721" s="12"/>
      <c r="AJ2721"/>
      <c r="AK2721"/>
    </row>
    <row r="2722" spans="18:37" ht="14">
      <c r="R2722" s="14"/>
      <c r="S2722" s="14"/>
      <c r="T2722" s="12"/>
      <c r="U2722" s="15"/>
      <c r="V2722" s="12"/>
      <c r="W2722" s="12"/>
      <c r="X2722" s="12"/>
      <c r="Y2722" s="12"/>
      <c r="AJ2722"/>
      <c r="AK2722"/>
    </row>
    <row r="2723" spans="18:37" ht="14">
      <c r="R2723" s="14"/>
      <c r="S2723" s="14"/>
      <c r="T2723" s="12"/>
      <c r="U2723" s="15"/>
      <c r="V2723" s="12"/>
      <c r="W2723" s="12"/>
      <c r="X2723" s="12"/>
      <c r="Y2723" s="12"/>
      <c r="AJ2723"/>
      <c r="AK2723"/>
    </row>
    <row r="2724" spans="18:37" ht="14">
      <c r="R2724" s="14"/>
      <c r="S2724" s="14"/>
      <c r="T2724" s="12"/>
      <c r="U2724" s="15"/>
      <c r="V2724" s="12"/>
      <c r="W2724" s="12"/>
      <c r="X2724" s="12"/>
      <c r="Y2724" s="12"/>
      <c r="AJ2724"/>
      <c r="AK2724"/>
    </row>
    <row r="2725" spans="18:37" ht="14">
      <c r="R2725" s="14"/>
      <c r="S2725" s="14"/>
      <c r="T2725" s="12"/>
      <c r="U2725" s="15"/>
      <c r="V2725" s="12"/>
      <c r="W2725" s="12"/>
      <c r="X2725" s="12"/>
      <c r="Y2725" s="12"/>
      <c r="AJ2725"/>
      <c r="AK2725"/>
    </row>
    <row r="2726" spans="18:37" ht="14">
      <c r="R2726" s="14"/>
      <c r="S2726" s="14"/>
      <c r="T2726" s="12"/>
      <c r="U2726" s="15"/>
      <c r="V2726" s="12"/>
      <c r="W2726" s="12"/>
      <c r="X2726" s="12"/>
      <c r="Y2726" s="12"/>
      <c r="AJ2726"/>
      <c r="AK2726"/>
    </row>
    <row r="2727" spans="18:37" ht="14">
      <c r="R2727" s="14"/>
      <c r="S2727" s="14"/>
      <c r="T2727" s="12"/>
      <c r="U2727" s="15"/>
      <c r="V2727" s="12"/>
      <c r="W2727" s="12"/>
      <c r="X2727" s="12"/>
      <c r="Y2727" s="12"/>
      <c r="AJ2727"/>
      <c r="AK2727"/>
    </row>
    <row r="2728" spans="18:37" ht="14">
      <c r="R2728" s="14"/>
      <c r="S2728" s="14"/>
      <c r="T2728" s="12"/>
      <c r="U2728" s="15"/>
      <c r="V2728" s="12"/>
      <c r="W2728" s="12"/>
      <c r="X2728" s="12"/>
      <c r="Y2728" s="12"/>
      <c r="AJ2728"/>
      <c r="AK2728"/>
    </row>
    <row r="2729" spans="18:37" ht="14">
      <c r="R2729" s="14"/>
      <c r="S2729" s="14"/>
      <c r="T2729" s="12"/>
      <c r="U2729" s="15"/>
      <c r="V2729" s="12"/>
      <c r="W2729" s="12"/>
      <c r="X2729" s="12"/>
      <c r="Y2729" s="12"/>
      <c r="AJ2729"/>
      <c r="AK2729"/>
    </row>
    <row r="2730" spans="18:37" ht="14">
      <c r="R2730" s="14"/>
      <c r="S2730" s="14"/>
      <c r="T2730" s="12"/>
      <c r="U2730" s="15"/>
      <c r="V2730" s="12"/>
      <c r="W2730" s="12"/>
      <c r="X2730" s="12"/>
      <c r="Y2730" s="12"/>
      <c r="AJ2730"/>
      <c r="AK2730"/>
    </row>
    <row r="2731" spans="18:37" ht="14">
      <c r="R2731" s="14"/>
      <c r="S2731" s="14"/>
      <c r="T2731" s="12"/>
      <c r="U2731" s="15"/>
      <c r="V2731" s="12"/>
      <c r="W2731" s="12"/>
      <c r="X2731" s="12"/>
      <c r="Y2731" s="12"/>
      <c r="AJ2731"/>
      <c r="AK2731"/>
    </row>
    <row r="2732" spans="18:37" ht="14">
      <c r="R2732" s="14"/>
      <c r="S2732" s="14"/>
      <c r="T2732" s="12"/>
      <c r="U2732" s="15"/>
      <c r="V2732" s="12"/>
      <c r="W2732" s="12"/>
      <c r="X2732" s="12"/>
      <c r="Y2732" s="12"/>
      <c r="AJ2732"/>
      <c r="AK2732"/>
    </row>
    <row r="2733" spans="18:37" ht="14">
      <c r="R2733" s="14"/>
      <c r="S2733" s="14"/>
      <c r="T2733" s="12"/>
      <c r="U2733" s="15"/>
      <c r="V2733" s="12"/>
      <c r="W2733" s="12"/>
      <c r="X2733" s="12"/>
      <c r="Y2733" s="12"/>
      <c r="AJ2733"/>
      <c r="AK2733"/>
    </row>
    <row r="2734" spans="18:37" ht="14">
      <c r="R2734" s="14"/>
      <c r="S2734" s="14"/>
      <c r="T2734" s="12"/>
      <c r="U2734" s="15"/>
      <c r="V2734" s="12"/>
      <c r="W2734" s="12"/>
      <c r="X2734" s="12"/>
      <c r="Y2734" s="12"/>
      <c r="AJ2734"/>
      <c r="AK2734"/>
    </row>
    <row r="2735" spans="18:37" ht="14">
      <c r="R2735" s="14"/>
      <c r="S2735" s="14"/>
      <c r="T2735" s="12"/>
      <c r="U2735" s="15"/>
      <c r="V2735" s="12"/>
      <c r="W2735" s="12"/>
      <c r="X2735" s="12"/>
      <c r="Y2735" s="12"/>
      <c r="AJ2735"/>
      <c r="AK2735"/>
    </row>
    <row r="2736" spans="18:37" ht="14">
      <c r="R2736" s="14"/>
      <c r="S2736" s="14"/>
      <c r="T2736" s="12"/>
      <c r="U2736" s="15"/>
      <c r="V2736" s="12"/>
      <c r="W2736" s="12"/>
      <c r="X2736" s="12"/>
      <c r="Y2736" s="12"/>
      <c r="AJ2736"/>
      <c r="AK2736"/>
    </row>
    <row r="2737" spans="18:37" ht="14">
      <c r="R2737" s="14"/>
      <c r="S2737" s="14"/>
      <c r="T2737" s="12"/>
      <c r="U2737" s="15"/>
      <c r="V2737" s="12"/>
      <c r="W2737" s="12"/>
      <c r="X2737" s="12"/>
      <c r="Y2737" s="12"/>
      <c r="AJ2737"/>
      <c r="AK2737"/>
    </row>
    <row r="2738" spans="18:37" ht="14">
      <c r="R2738" s="14"/>
      <c r="S2738" s="14"/>
      <c r="T2738" s="12"/>
      <c r="U2738" s="15"/>
      <c r="V2738" s="12"/>
      <c r="W2738" s="12"/>
      <c r="X2738" s="12"/>
      <c r="Y2738" s="12"/>
      <c r="AJ2738"/>
      <c r="AK2738"/>
    </row>
    <row r="2739" spans="18:37" ht="14">
      <c r="R2739" s="14"/>
      <c r="S2739" s="14"/>
      <c r="T2739" s="12"/>
      <c r="U2739" s="15"/>
      <c r="V2739" s="12"/>
      <c r="W2739" s="12"/>
      <c r="X2739" s="12"/>
      <c r="Y2739" s="12"/>
      <c r="AJ2739"/>
      <c r="AK2739"/>
    </row>
    <row r="2740" spans="18:37" ht="14">
      <c r="R2740" s="14"/>
      <c r="S2740" s="14"/>
      <c r="T2740" s="12"/>
      <c r="U2740" s="15"/>
      <c r="V2740" s="12"/>
      <c r="W2740" s="12"/>
      <c r="X2740" s="12"/>
      <c r="Y2740" s="12"/>
      <c r="AJ2740"/>
      <c r="AK2740"/>
    </row>
    <row r="2741" spans="18:37" ht="14">
      <c r="R2741" s="14"/>
      <c r="S2741" s="14"/>
      <c r="T2741" s="12"/>
      <c r="U2741" s="15"/>
      <c r="V2741" s="12"/>
      <c r="W2741" s="12"/>
      <c r="X2741" s="12"/>
      <c r="Y2741" s="12"/>
      <c r="AJ2741"/>
      <c r="AK2741"/>
    </row>
    <row r="2742" spans="18:37" ht="14">
      <c r="R2742" s="14"/>
      <c r="S2742" s="14"/>
      <c r="T2742" s="12"/>
      <c r="U2742" s="15"/>
      <c r="V2742" s="12"/>
      <c r="W2742" s="12"/>
      <c r="X2742" s="12"/>
      <c r="Y2742" s="12"/>
      <c r="AJ2742"/>
      <c r="AK2742"/>
    </row>
    <row r="2743" spans="18:37" ht="14">
      <c r="R2743" s="14"/>
      <c r="S2743" s="14"/>
      <c r="T2743" s="12"/>
      <c r="U2743" s="15"/>
      <c r="V2743" s="12"/>
      <c r="W2743" s="12"/>
      <c r="X2743" s="12"/>
      <c r="Y2743" s="12"/>
      <c r="AJ2743"/>
      <c r="AK2743"/>
    </row>
    <row r="2744" spans="18:37" ht="14">
      <c r="R2744" s="14"/>
      <c r="S2744" s="14"/>
      <c r="T2744" s="12"/>
      <c r="U2744" s="15"/>
      <c r="V2744" s="12"/>
      <c r="W2744" s="12"/>
      <c r="X2744" s="12"/>
      <c r="Y2744" s="12"/>
      <c r="AJ2744"/>
      <c r="AK2744"/>
    </row>
    <row r="2745" spans="18:37" ht="14">
      <c r="R2745" s="14"/>
      <c r="S2745" s="14"/>
      <c r="T2745" s="12"/>
      <c r="U2745" s="15"/>
      <c r="V2745" s="12"/>
      <c r="W2745" s="12"/>
      <c r="X2745" s="12"/>
      <c r="Y2745" s="12"/>
      <c r="AJ2745"/>
      <c r="AK2745"/>
    </row>
    <row r="2746" spans="18:37" ht="14">
      <c r="R2746" s="14"/>
      <c r="S2746" s="14"/>
      <c r="T2746" s="12"/>
      <c r="U2746" s="15"/>
      <c r="V2746" s="12"/>
      <c r="W2746" s="12"/>
      <c r="X2746" s="12"/>
      <c r="Y2746" s="12"/>
      <c r="AJ2746"/>
      <c r="AK2746"/>
    </row>
    <row r="2747" spans="18:37" ht="14">
      <c r="R2747" s="14"/>
      <c r="S2747" s="14"/>
      <c r="T2747" s="12"/>
      <c r="U2747" s="15"/>
      <c r="V2747" s="12"/>
      <c r="W2747" s="12"/>
      <c r="X2747" s="12"/>
      <c r="Y2747" s="12"/>
      <c r="AJ2747"/>
      <c r="AK2747"/>
    </row>
    <row r="2748" spans="18:37" ht="14">
      <c r="R2748" s="14"/>
      <c r="S2748" s="14"/>
      <c r="T2748" s="12"/>
      <c r="U2748" s="15"/>
      <c r="V2748" s="12"/>
      <c r="W2748" s="12"/>
      <c r="X2748" s="12"/>
      <c r="Y2748" s="12"/>
      <c r="AJ2748"/>
      <c r="AK2748"/>
    </row>
    <row r="2749" spans="18:37" ht="14">
      <c r="R2749" s="14"/>
      <c r="S2749" s="14"/>
      <c r="T2749" s="12"/>
      <c r="U2749" s="15"/>
      <c r="V2749" s="12"/>
      <c r="W2749" s="12"/>
      <c r="X2749" s="12"/>
      <c r="Y2749" s="12"/>
      <c r="AJ2749"/>
      <c r="AK2749"/>
    </row>
    <row r="2750" spans="18:37" ht="14">
      <c r="R2750" s="14"/>
      <c r="S2750" s="14"/>
      <c r="T2750" s="12"/>
      <c r="U2750" s="15"/>
      <c r="V2750" s="12"/>
      <c r="W2750" s="12"/>
      <c r="X2750" s="12"/>
      <c r="Y2750" s="12"/>
      <c r="AJ2750"/>
      <c r="AK2750"/>
    </row>
    <row r="2751" spans="18:37" ht="14">
      <c r="R2751" s="14"/>
      <c r="S2751" s="14"/>
      <c r="T2751" s="12"/>
      <c r="U2751" s="15"/>
      <c r="V2751" s="12"/>
      <c r="W2751" s="12"/>
      <c r="X2751" s="12"/>
      <c r="Y2751" s="12"/>
      <c r="AJ2751"/>
      <c r="AK2751"/>
    </row>
    <row r="2752" spans="18:37" ht="14">
      <c r="R2752" s="14"/>
      <c r="S2752" s="14"/>
      <c r="T2752" s="12"/>
      <c r="U2752" s="15"/>
      <c r="V2752" s="12"/>
      <c r="W2752" s="12"/>
      <c r="X2752" s="12"/>
      <c r="Y2752" s="12"/>
      <c r="AJ2752"/>
      <c r="AK2752"/>
    </row>
    <row r="2753" spans="18:37" ht="14">
      <c r="R2753" s="14"/>
      <c r="S2753" s="14"/>
      <c r="T2753" s="12"/>
      <c r="U2753" s="15"/>
      <c r="V2753" s="12"/>
      <c r="W2753" s="12"/>
      <c r="X2753" s="12"/>
      <c r="Y2753" s="12"/>
      <c r="AJ2753"/>
      <c r="AK2753"/>
    </row>
    <row r="2754" spans="18:37" ht="14">
      <c r="R2754" s="14"/>
      <c r="S2754" s="14"/>
      <c r="T2754" s="12"/>
      <c r="U2754" s="15"/>
      <c r="V2754" s="12"/>
      <c r="W2754" s="12"/>
      <c r="X2754" s="12"/>
      <c r="Y2754" s="12"/>
      <c r="AJ2754"/>
      <c r="AK2754"/>
    </row>
    <row r="2755" spans="18:37" ht="14">
      <c r="R2755" s="14"/>
      <c r="S2755" s="14"/>
      <c r="T2755" s="12"/>
      <c r="U2755" s="15"/>
      <c r="V2755" s="12"/>
      <c r="W2755" s="12"/>
      <c r="X2755" s="12"/>
      <c r="Y2755" s="12"/>
      <c r="AJ2755"/>
      <c r="AK2755"/>
    </row>
    <row r="2756" spans="18:37" ht="14">
      <c r="R2756" s="14"/>
      <c r="S2756" s="14"/>
      <c r="T2756" s="12"/>
      <c r="U2756" s="15"/>
      <c r="V2756" s="12"/>
      <c r="W2756" s="12"/>
      <c r="X2756" s="12"/>
      <c r="Y2756" s="12"/>
      <c r="AJ2756"/>
      <c r="AK2756"/>
    </row>
    <row r="2757" spans="18:37" ht="14">
      <c r="R2757" s="14"/>
      <c r="S2757" s="14"/>
      <c r="T2757" s="12"/>
      <c r="U2757" s="15"/>
      <c r="V2757" s="12"/>
      <c r="W2757" s="12"/>
      <c r="X2757" s="12"/>
      <c r="Y2757" s="12"/>
      <c r="AJ2757"/>
      <c r="AK2757"/>
    </row>
    <row r="2758" spans="18:37" ht="14">
      <c r="R2758" s="14"/>
      <c r="S2758" s="14"/>
      <c r="T2758" s="12"/>
      <c r="U2758" s="15"/>
      <c r="V2758" s="12"/>
      <c r="W2758" s="12"/>
      <c r="X2758" s="12"/>
      <c r="Y2758" s="12"/>
      <c r="AJ2758"/>
      <c r="AK2758"/>
    </row>
    <row r="2759" spans="18:37" ht="14">
      <c r="R2759" s="14"/>
      <c r="S2759" s="14"/>
      <c r="T2759" s="12"/>
      <c r="U2759" s="15"/>
      <c r="V2759" s="12"/>
      <c r="W2759" s="12"/>
      <c r="X2759" s="12"/>
      <c r="Y2759" s="12"/>
      <c r="AJ2759"/>
      <c r="AK2759"/>
    </row>
    <row r="2760" spans="18:37" ht="14">
      <c r="R2760" s="14"/>
      <c r="S2760" s="14"/>
      <c r="T2760" s="12"/>
      <c r="U2760" s="15"/>
      <c r="V2760" s="12"/>
      <c r="W2760" s="12"/>
      <c r="X2760" s="12"/>
      <c r="Y2760" s="12"/>
      <c r="AJ2760"/>
      <c r="AK2760"/>
    </row>
    <row r="2761" spans="18:37" ht="14">
      <c r="R2761" s="14"/>
      <c r="S2761" s="14"/>
      <c r="T2761" s="12"/>
      <c r="U2761" s="15"/>
      <c r="V2761" s="12"/>
      <c r="W2761" s="12"/>
      <c r="X2761" s="12"/>
      <c r="Y2761" s="12"/>
      <c r="AJ2761"/>
      <c r="AK2761"/>
    </row>
    <row r="2762" spans="18:37" ht="14">
      <c r="R2762" s="14"/>
      <c r="S2762" s="14"/>
      <c r="T2762" s="12"/>
      <c r="U2762" s="15"/>
      <c r="V2762" s="12"/>
      <c r="W2762" s="12"/>
      <c r="X2762" s="12"/>
      <c r="Y2762" s="12"/>
      <c r="AJ2762"/>
      <c r="AK2762"/>
    </row>
    <row r="2763" spans="18:37" ht="14">
      <c r="R2763" s="14"/>
      <c r="S2763" s="14"/>
      <c r="T2763" s="12"/>
      <c r="U2763" s="15"/>
      <c r="V2763" s="12"/>
      <c r="W2763" s="12"/>
      <c r="X2763" s="12"/>
      <c r="Y2763" s="12"/>
      <c r="AJ2763"/>
      <c r="AK2763"/>
    </row>
    <row r="2764" spans="18:37" ht="14">
      <c r="R2764" s="14"/>
      <c r="S2764" s="14"/>
      <c r="T2764" s="12"/>
      <c r="U2764" s="15"/>
      <c r="V2764" s="12"/>
      <c r="W2764" s="12"/>
      <c r="X2764" s="12"/>
      <c r="Y2764" s="12"/>
      <c r="AJ2764"/>
      <c r="AK2764"/>
    </row>
    <row r="2765" spans="18:37" ht="14">
      <c r="R2765" s="14"/>
      <c r="S2765" s="14"/>
      <c r="T2765" s="12"/>
      <c r="U2765" s="15"/>
      <c r="V2765" s="12"/>
      <c r="W2765" s="12"/>
      <c r="X2765" s="12"/>
      <c r="Y2765" s="12"/>
      <c r="AJ2765"/>
      <c r="AK2765"/>
    </row>
    <row r="2766" spans="18:37" ht="14">
      <c r="R2766" s="14"/>
      <c r="S2766" s="14"/>
      <c r="T2766" s="12"/>
      <c r="U2766" s="15"/>
      <c r="V2766" s="12"/>
      <c r="W2766" s="12"/>
      <c r="X2766" s="12"/>
      <c r="Y2766" s="12"/>
      <c r="AJ2766"/>
      <c r="AK2766"/>
    </row>
    <row r="2767" spans="18:37" ht="14">
      <c r="R2767" s="14"/>
      <c r="S2767" s="14"/>
      <c r="T2767" s="12"/>
      <c r="U2767" s="15"/>
      <c r="V2767" s="12"/>
      <c r="W2767" s="12"/>
      <c r="X2767" s="12"/>
      <c r="Y2767" s="12"/>
      <c r="AJ2767"/>
      <c r="AK2767"/>
    </row>
    <row r="2768" spans="18:37" ht="14">
      <c r="R2768" s="14"/>
      <c r="S2768" s="14"/>
      <c r="T2768" s="12"/>
      <c r="U2768" s="15"/>
      <c r="V2768" s="12"/>
      <c r="W2768" s="12"/>
      <c r="X2768" s="12"/>
      <c r="Y2768" s="12"/>
      <c r="AJ2768"/>
      <c r="AK2768"/>
    </row>
    <row r="2769" spans="18:37" ht="14">
      <c r="R2769" s="14"/>
      <c r="S2769" s="14"/>
      <c r="T2769" s="12"/>
      <c r="U2769" s="15"/>
      <c r="V2769" s="12"/>
      <c r="W2769" s="12"/>
      <c r="X2769" s="12"/>
      <c r="Y2769" s="12"/>
      <c r="AJ2769"/>
      <c r="AK2769"/>
    </row>
    <row r="2770" spans="18:37" ht="14">
      <c r="R2770" s="14"/>
      <c r="S2770" s="14"/>
      <c r="T2770" s="12"/>
      <c r="U2770" s="15"/>
      <c r="V2770" s="12"/>
      <c r="W2770" s="12"/>
      <c r="X2770" s="12"/>
      <c r="Y2770" s="12"/>
      <c r="AJ2770"/>
      <c r="AK2770"/>
    </row>
    <row r="2771" spans="18:37" ht="14">
      <c r="R2771" s="14"/>
      <c r="S2771" s="14"/>
      <c r="T2771" s="12"/>
      <c r="U2771" s="15"/>
      <c r="V2771" s="12"/>
      <c r="W2771" s="12"/>
      <c r="X2771" s="12"/>
      <c r="Y2771" s="12"/>
      <c r="AJ2771"/>
      <c r="AK2771"/>
    </row>
    <row r="2772" spans="18:37" ht="14">
      <c r="R2772" s="14"/>
      <c r="S2772" s="14"/>
      <c r="T2772" s="12"/>
      <c r="U2772" s="15"/>
      <c r="V2772" s="12"/>
      <c r="W2772" s="12"/>
      <c r="X2772" s="12"/>
      <c r="Y2772" s="12"/>
      <c r="AJ2772"/>
      <c r="AK2772"/>
    </row>
    <row r="2773" spans="18:37" ht="14">
      <c r="R2773" s="14"/>
      <c r="S2773" s="14"/>
      <c r="T2773" s="12"/>
      <c r="U2773" s="15"/>
      <c r="V2773" s="12"/>
      <c r="W2773" s="12"/>
      <c r="X2773" s="12"/>
      <c r="Y2773" s="12"/>
      <c r="AJ2773"/>
      <c r="AK2773"/>
    </row>
    <row r="2774" spans="18:37" ht="14">
      <c r="R2774" s="14"/>
      <c r="S2774" s="14"/>
      <c r="T2774" s="12"/>
      <c r="U2774" s="15"/>
      <c r="V2774" s="12"/>
      <c r="W2774" s="12"/>
      <c r="X2774" s="12"/>
      <c r="Y2774" s="12"/>
      <c r="AJ2774"/>
      <c r="AK2774"/>
    </row>
    <row r="2775" spans="18:37" ht="14">
      <c r="R2775" s="14"/>
      <c r="S2775" s="14"/>
      <c r="T2775" s="12"/>
      <c r="U2775" s="15"/>
      <c r="V2775" s="12"/>
      <c r="W2775" s="12"/>
      <c r="X2775" s="12"/>
      <c r="Y2775" s="12"/>
      <c r="AJ2775"/>
      <c r="AK2775"/>
    </row>
    <row r="2776" spans="18:37" ht="14">
      <c r="R2776" s="14"/>
      <c r="S2776" s="14"/>
      <c r="T2776" s="12"/>
      <c r="U2776" s="15"/>
      <c r="V2776" s="12"/>
      <c r="W2776" s="12"/>
      <c r="X2776" s="12"/>
      <c r="Y2776" s="12"/>
      <c r="AJ2776"/>
      <c r="AK2776"/>
    </row>
    <row r="2777" spans="18:37" ht="14">
      <c r="R2777" s="14"/>
      <c r="S2777" s="14"/>
      <c r="T2777" s="12"/>
      <c r="U2777" s="15"/>
      <c r="V2777" s="12"/>
      <c r="W2777" s="12"/>
      <c r="X2777" s="12"/>
      <c r="Y2777" s="12"/>
      <c r="AJ2777"/>
      <c r="AK2777"/>
    </row>
    <row r="2778" spans="18:37" ht="14">
      <c r="R2778" s="14"/>
      <c r="S2778" s="14"/>
      <c r="T2778" s="12"/>
      <c r="U2778" s="15"/>
      <c r="V2778" s="12"/>
      <c r="W2778" s="12"/>
      <c r="X2778" s="12"/>
      <c r="Y2778" s="12"/>
      <c r="AJ2778"/>
      <c r="AK2778"/>
    </row>
    <row r="2779" spans="18:37" ht="14">
      <c r="R2779" s="14"/>
      <c r="S2779" s="14"/>
      <c r="T2779" s="12"/>
      <c r="U2779" s="15"/>
      <c r="V2779" s="12"/>
      <c r="W2779" s="12"/>
      <c r="X2779" s="12"/>
      <c r="Y2779" s="12"/>
      <c r="AJ2779"/>
      <c r="AK2779"/>
    </row>
    <row r="2780" spans="18:37" ht="14">
      <c r="R2780" s="14"/>
      <c r="S2780" s="14"/>
      <c r="T2780" s="12"/>
      <c r="U2780" s="15"/>
      <c r="V2780" s="12"/>
      <c r="W2780" s="12"/>
      <c r="X2780" s="12"/>
      <c r="Y2780" s="12"/>
      <c r="AJ2780"/>
      <c r="AK2780"/>
    </row>
    <row r="2781" spans="18:37" ht="14">
      <c r="R2781" s="14"/>
      <c r="S2781" s="14"/>
      <c r="T2781" s="12"/>
      <c r="U2781" s="15"/>
      <c r="V2781" s="12"/>
      <c r="W2781" s="12"/>
      <c r="X2781" s="12"/>
      <c r="Y2781" s="12"/>
      <c r="AJ2781"/>
      <c r="AK2781"/>
    </row>
    <row r="2782" spans="18:37" ht="14">
      <c r="R2782" s="14"/>
      <c r="S2782" s="14"/>
      <c r="T2782" s="12"/>
      <c r="U2782" s="15"/>
      <c r="V2782" s="12"/>
      <c r="W2782" s="12"/>
      <c r="X2782" s="12"/>
      <c r="Y2782" s="12"/>
      <c r="AJ2782"/>
      <c r="AK2782"/>
    </row>
    <row r="2783" spans="18:37" ht="14">
      <c r="R2783" s="14"/>
      <c r="S2783" s="14"/>
      <c r="T2783" s="12"/>
      <c r="U2783" s="15"/>
      <c r="V2783" s="12"/>
      <c r="W2783" s="12"/>
      <c r="X2783" s="12"/>
      <c r="Y2783" s="12"/>
      <c r="AJ2783"/>
      <c r="AK2783"/>
    </row>
    <row r="2784" spans="18:37" ht="14">
      <c r="R2784" s="14"/>
      <c r="S2784" s="14"/>
      <c r="T2784" s="12"/>
      <c r="U2784" s="15"/>
      <c r="V2784" s="12"/>
      <c r="W2784" s="12"/>
      <c r="X2784" s="12"/>
      <c r="Y2784" s="12"/>
      <c r="AJ2784"/>
      <c r="AK2784"/>
    </row>
    <row r="2785" spans="18:37" ht="14">
      <c r="R2785" s="14"/>
      <c r="S2785" s="14"/>
      <c r="T2785" s="12"/>
      <c r="U2785" s="15"/>
      <c r="V2785" s="12"/>
      <c r="W2785" s="12"/>
      <c r="X2785" s="12"/>
      <c r="Y2785" s="12"/>
      <c r="AJ2785"/>
      <c r="AK2785"/>
    </row>
    <row r="2786" spans="18:37" ht="14">
      <c r="R2786" s="14"/>
      <c r="S2786" s="14"/>
      <c r="T2786" s="12"/>
      <c r="U2786" s="15"/>
      <c r="V2786" s="12"/>
      <c r="W2786" s="12"/>
      <c r="X2786" s="12"/>
      <c r="Y2786" s="12"/>
      <c r="AJ2786"/>
      <c r="AK2786"/>
    </row>
    <row r="2787" spans="18:37" ht="14">
      <c r="R2787" s="14"/>
      <c r="S2787" s="14"/>
      <c r="T2787" s="12"/>
      <c r="U2787" s="15"/>
      <c r="V2787" s="12"/>
      <c r="W2787" s="12"/>
      <c r="X2787" s="12"/>
      <c r="Y2787" s="12"/>
      <c r="AJ2787"/>
      <c r="AK2787"/>
    </row>
    <row r="2788" spans="18:37" ht="14">
      <c r="R2788" s="14"/>
      <c r="S2788" s="14"/>
      <c r="T2788" s="12"/>
      <c r="U2788" s="15"/>
      <c r="V2788" s="12"/>
      <c r="W2788" s="12"/>
      <c r="X2788" s="12"/>
      <c r="Y2788" s="12"/>
      <c r="AJ2788"/>
      <c r="AK2788"/>
    </row>
    <row r="2789" spans="18:37" ht="14">
      <c r="R2789" s="14"/>
      <c r="S2789" s="14"/>
      <c r="T2789" s="12"/>
      <c r="U2789" s="15"/>
      <c r="V2789" s="12"/>
      <c r="W2789" s="12"/>
      <c r="X2789" s="12"/>
      <c r="Y2789" s="12"/>
      <c r="AJ2789"/>
      <c r="AK2789"/>
    </row>
    <row r="2790" spans="18:37" ht="14">
      <c r="R2790" s="14"/>
      <c r="S2790" s="14"/>
      <c r="T2790" s="12"/>
      <c r="U2790" s="15"/>
      <c r="V2790" s="12"/>
      <c r="W2790" s="12"/>
      <c r="X2790" s="12"/>
      <c r="Y2790" s="12"/>
      <c r="AJ2790"/>
      <c r="AK2790"/>
    </row>
    <row r="2791" spans="18:37" ht="14">
      <c r="R2791" s="14"/>
      <c r="S2791" s="14"/>
      <c r="T2791" s="12"/>
      <c r="U2791" s="15"/>
      <c r="V2791" s="12"/>
      <c r="W2791" s="12"/>
      <c r="X2791" s="12"/>
      <c r="Y2791" s="12"/>
      <c r="AJ2791"/>
      <c r="AK2791"/>
    </row>
    <row r="2792" spans="18:37" ht="14">
      <c r="R2792" s="14"/>
      <c r="S2792" s="14"/>
      <c r="T2792" s="12"/>
      <c r="U2792" s="15"/>
      <c r="V2792" s="12"/>
      <c r="W2792" s="12"/>
      <c r="X2792" s="12"/>
      <c r="Y2792" s="12"/>
      <c r="AJ2792"/>
      <c r="AK2792"/>
    </row>
    <row r="2793" spans="18:37" ht="14">
      <c r="R2793" s="14"/>
      <c r="S2793" s="14"/>
      <c r="T2793" s="12"/>
      <c r="U2793" s="15"/>
      <c r="V2793" s="12"/>
      <c r="W2793" s="12"/>
      <c r="X2793" s="12"/>
      <c r="Y2793" s="12"/>
      <c r="AJ2793"/>
      <c r="AK2793"/>
    </row>
    <row r="2794" spans="18:37" ht="14">
      <c r="R2794" s="14"/>
      <c r="S2794" s="14"/>
      <c r="T2794" s="12"/>
      <c r="U2794" s="15"/>
      <c r="V2794" s="12"/>
      <c r="W2794" s="12"/>
      <c r="X2794" s="12"/>
      <c r="Y2794" s="12"/>
      <c r="AJ2794"/>
      <c r="AK2794"/>
    </row>
    <row r="2795" spans="18:37" ht="14">
      <c r="R2795" s="14"/>
      <c r="S2795" s="14"/>
      <c r="T2795" s="12"/>
      <c r="U2795" s="15"/>
      <c r="V2795" s="12"/>
      <c r="W2795" s="12"/>
      <c r="X2795" s="12"/>
      <c r="Y2795" s="12"/>
      <c r="AJ2795"/>
      <c r="AK2795"/>
    </row>
    <row r="2796" spans="18:37" ht="14">
      <c r="R2796" s="14"/>
      <c r="S2796" s="14"/>
      <c r="T2796" s="12"/>
      <c r="U2796" s="15"/>
      <c r="V2796" s="12"/>
      <c r="W2796" s="12"/>
      <c r="X2796" s="12"/>
      <c r="Y2796" s="12"/>
      <c r="AJ2796"/>
      <c r="AK2796"/>
    </row>
    <row r="2797" spans="18:37" ht="14">
      <c r="R2797" s="14"/>
      <c r="S2797" s="14"/>
      <c r="T2797" s="12"/>
      <c r="U2797" s="15"/>
      <c r="V2797" s="12"/>
      <c r="W2797" s="12"/>
      <c r="X2797" s="12"/>
      <c r="Y2797" s="12"/>
      <c r="AJ2797"/>
      <c r="AK2797"/>
    </row>
    <row r="2798" spans="18:37" ht="14">
      <c r="R2798" s="14"/>
      <c r="S2798" s="14"/>
      <c r="T2798" s="12"/>
      <c r="U2798" s="15"/>
      <c r="V2798" s="12"/>
      <c r="W2798" s="12"/>
      <c r="X2798" s="12"/>
      <c r="Y2798" s="12"/>
      <c r="AJ2798"/>
      <c r="AK2798"/>
    </row>
    <row r="2799" spans="18:37" ht="14">
      <c r="R2799" s="14"/>
      <c r="S2799" s="14"/>
      <c r="T2799" s="12"/>
      <c r="U2799" s="15"/>
      <c r="V2799" s="12"/>
      <c r="W2799" s="12"/>
      <c r="X2799" s="12"/>
      <c r="Y2799" s="12"/>
      <c r="AJ2799"/>
      <c r="AK2799"/>
    </row>
    <row r="2800" spans="18:37" ht="14">
      <c r="R2800" s="14"/>
      <c r="S2800" s="14"/>
      <c r="T2800" s="12"/>
      <c r="U2800" s="15"/>
      <c r="V2800" s="12"/>
      <c r="W2800" s="12"/>
      <c r="X2800" s="12"/>
      <c r="Y2800" s="12"/>
      <c r="AJ2800"/>
      <c r="AK2800"/>
    </row>
    <row r="2801" spans="18:37" ht="14">
      <c r="R2801" s="14"/>
      <c r="S2801" s="14"/>
      <c r="T2801" s="12"/>
      <c r="U2801" s="15"/>
      <c r="V2801" s="12"/>
      <c r="W2801" s="12"/>
      <c r="X2801" s="12"/>
      <c r="Y2801" s="12"/>
      <c r="AJ2801"/>
      <c r="AK2801"/>
    </row>
    <row r="2802" spans="18:37" ht="14">
      <c r="R2802" s="14"/>
      <c r="S2802" s="14"/>
      <c r="T2802" s="12"/>
      <c r="U2802" s="15"/>
      <c r="V2802" s="12"/>
      <c r="W2802" s="12"/>
      <c r="X2802" s="12"/>
      <c r="Y2802" s="12"/>
      <c r="AJ2802"/>
      <c r="AK2802"/>
    </row>
    <row r="2803" spans="18:37" ht="14">
      <c r="R2803" s="14"/>
      <c r="S2803" s="14"/>
      <c r="T2803" s="12"/>
      <c r="U2803" s="15"/>
      <c r="V2803" s="12"/>
      <c r="W2803" s="12"/>
      <c r="X2803" s="12"/>
      <c r="Y2803" s="12"/>
      <c r="AJ2803"/>
      <c r="AK2803"/>
    </row>
    <row r="2804" spans="18:37" ht="14">
      <c r="R2804" s="14"/>
      <c r="S2804" s="14"/>
      <c r="T2804" s="12"/>
      <c r="U2804" s="15"/>
      <c r="V2804" s="12"/>
      <c r="W2804" s="12"/>
      <c r="X2804" s="12"/>
      <c r="Y2804" s="12"/>
      <c r="AJ2804"/>
      <c r="AK2804"/>
    </row>
    <row r="2805" spans="18:37" ht="14">
      <c r="R2805" s="14"/>
      <c r="S2805" s="14"/>
      <c r="T2805" s="12"/>
      <c r="U2805" s="15"/>
      <c r="V2805" s="12"/>
      <c r="W2805" s="12"/>
      <c r="X2805" s="12"/>
      <c r="Y2805" s="12"/>
      <c r="AJ2805"/>
      <c r="AK2805"/>
    </row>
    <row r="2806" spans="18:37" ht="14">
      <c r="R2806" s="14"/>
      <c r="S2806" s="14"/>
      <c r="T2806" s="12"/>
      <c r="U2806" s="15"/>
      <c r="V2806" s="12"/>
      <c r="W2806" s="12"/>
      <c r="X2806" s="12"/>
      <c r="Y2806" s="12"/>
      <c r="AJ2806"/>
      <c r="AK2806"/>
    </row>
    <row r="2807" spans="18:37" ht="14">
      <c r="R2807" s="14"/>
      <c r="S2807" s="14"/>
      <c r="T2807" s="12"/>
      <c r="U2807" s="15"/>
      <c r="V2807" s="12"/>
      <c r="W2807" s="12"/>
      <c r="X2807" s="12"/>
      <c r="Y2807" s="12"/>
      <c r="AJ2807"/>
      <c r="AK2807"/>
    </row>
    <row r="2808" spans="18:37" ht="14">
      <c r="R2808" s="14"/>
      <c r="S2808" s="14"/>
      <c r="T2808" s="12"/>
      <c r="U2808" s="15"/>
      <c r="V2808" s="12"/>
      <c r="W2808" s="12"/>
      <c r="X2808" s="12"/>
      <c r="Y2808" s="12"/>
      <c r="AJ2808"/>
      <c r="AK2808"/>
    </row>
    <row r="2809" spans="18:37" ht="14">
      <c r="R2809" s="14"/>
      <c r="S2809" s="14"/>
      <c r="T2809" s="12"/>
      <c r="U2809" s="15"/>
      <c r="V2809" s="12"/>
      <c r="W2809" s="12"/>
      <c r="X2809" s="12"/>
      <c r="Y2809" s="12"/>
      <c r="AJ2809"/>
      <c r="AK2809"/>
    </row>
    <row r="2810" spans="18:37" ht="14">
      <c r="R2810" s="14"/>
      <c r="S2810" s="14"/>
      <c r="T2810" s="12"/>
      <c r="U2810" s="15"/>
      <c r="V2810" s="12"/>
      <c r="W2810" s="12"/>
      <c r="X2810" s="12"/>
      <c r="Y2810" s="12"/>
      <c r="AJ2810"/>
      <c r="AK2810"/>
    </row>
    <row r="2811" spans="18:37" ht="14">
      <c r="R2811" s="14"/>
      <c r="S2811" s="14"/>
      <c r="T2811" s="12"/>
      <c r="U2811" s="15"/>
      <c r="V2811" s="12"/>
      <c r="W2811" s="12"/>
      <c r="X2811" s="12"/>
      <c r="Y2811" s="12"/>
      <c r="AJ2811"/>
      <c r="AK2811"/>
    </row>
    <row r="2812" spans="18:37" ht="14">
      <c r="R2812" s="14"/>
      <c r="S2812" s="14"/>
      <c r="T2812" s="12"/>
      <c r="U2812" s="15"/>
      <c r="V2812" s="12"/>
      <c r="W2812" s="12"/>
      <c r="X2812" s="12"/>
      <c r="Y2812" s="12"/>
      <c r="AJ2812"/>
      <c r="AK2812"/>
    </row>
    <row r="2813" spans="18:37" ht="14">
      <c r="R2813" s="14"/>
      <c r="S2813" s="14"/>
      <c r="T2813" s="12"/>
      <c r="U2813" s="15"/>
      <c r="V2813" s="12"/>
      <c r="W2813" s="12"/>
      <c r="X2813" s="12"/>
      <c r="Y2813" s="12"/>
      <c r="AJ2813"/>
      <c r="AK2813"/>
    </row>
    <row r="2814" spans="18:37" ht="14">
      <c r="R2814" s="14"/>
      <c r="S2814" s="14"/>
      <c r="T2814" s="12"/>
      <c r="U2814" s="15"/>
      <c r="V2814" s="12"/>
      <c r="W2814" s="12"/>
      <c r="X2814" s="12"/>
      <c r="Y2814" s="12"/>
      <c r="AJ2814"/>
      <c r="AK2814"/>
    </row>
    <row r="2815" spans="18:37" ht="14">
      <c r="R2815" s="14"/>
      <c r="S2815" s="14"/>
      <c r="T2815" s="12"/>
      <c r="U2815" s="15"/>
      <c r="V2815" s="12"/>
      <c r="W2815" s="12"/>
      <c r="X2815" s="12"/>
      <c r="Y2815" s="12"/>
      <c r="AJ2815"/>
      <c r="AK2815"/>
    </row>
    <row r="2816" spans="18:37" ht="14">
      <c r="R2816" s="14"/>
      <c r="S2816" s="14"/>
      <c r="T2816" s="12"/>
      <c r="U2816" s="15"/>
      <c r="V2816" s="12"/>
      <c r="W2816" s="12"/>
      <c r="X2816" s="12"/>
      <c r="Y2816" s="12"/>
      <c r="AJ2816"/>
      <c r="AK2816"/>
    </row>
    <row r="2817" spans="18:37" ht="14">
      <c r="R2817" s="14"/>
      <c r="S2817" s="14"/>
      <c r="T2817" s="12"/>
      <c r="U2817" s="15"/>
      <c r="V2817" s="12"/>
      <c r="W2817" s="12"/>
      <c r="X2817" s="12"/>
      <c r="Y2817" s="12"/>
      <c r="AJ2817"/>
      <c r="AK2817"/>
    </row>
    <row r="2818" spans="18:37" ht="14">
      <c r="R2818" s="14"/>
      <c r="S2818" s="14"/>
      <c r="T2818" s="12"/>
      <c r="U2818" s="15"/>
      <c r="V2818" s="12"/>
      <c r="W2818" s="12"/>
      <c r="X2818" s="12"/>
      <c r="Y2818" s="12"/>
      <c r="AJ2818"/>
      <c r="AK2818"/>
    </row>
    <row r="2819" spans="18:37" ht="14">
      <c r="R2819" s="14"/>
      <c r="S2819" s="14"/>
      <c r="T2819" s="12"/>
      <c r="U2819" s="15"/>
      <c r="V2819" s="12"/>
      <c r="W2819" s="12"/>
      <c r="X2819" s="12"/>
      <c r="Y2819" s="12"/>
      <c r="AJ2819"/>
      <c r="AK2819"/>
    </row>
    <row r="2820" spans="18:37" ht="14">
      <c r="R2820" s="14"/>
      <c r="S2820" s="14"/>
      <c r="T2820" s="12"/>
      <c r="U2820" s="15"/>
      <c r="V2820" s="12"/>
      <c r="W2820" s="12"/>
      <c r="X2820" s="12"/>
      <c r="Y2820" s="12"/>
      <c r="AJ2820"/>
      <c r="AK2820"/>
    </row>
    <row r="2821" spans="18:37" ht="14">
      <c r="R2821" s="14"/>
      <c r="S2821" s="14"/>
      <c r="T2821" s="12"/>
      <c r="U2821" s="15"/>
      <c r="V2821" s="12"/>
      <c r="W2821" s="12"/>
      <c r="X2821" s="12"/>
      <c r="Y2821" s="12"/>
      <c r="AJ2821"/>
      <c r="AK2821"/>
    </row>
    <row r="2822" spans="18:37" ht="14">
      <c r="R2822" s="14"/>
      <c r="S2822" s="14"/>
      <c r="T2822" s="12"/>
      <c r="U2822" s="15"/>
      <c r="V2822" s="12"/>
      <c r="W2822" s="12"/>
      <c r="X2822" s="12"/>
      <c r="Y2822" s="12"/>
      <c r="AJ2822"/>
      <c r="AK2822"/>
    </row>
    <row r="2823" spans="18:37" ht="14">
      <c r="R2823" s="14"/>
      <c r="S2823" s="14"/>
      <c r="T2823" s="12"/>
      <c r="U2823" s="15"/>
      <c r="V2823" s="12"/>
      <c r="W2823" s="12"/>
      <c r="X2823" s="12"/>
      <c r="Y2823" s="12"/>
      <c r="AJ2823"/>
      <c r="AK2823"/>
    </row>
    <row r="2824" spans="18:37" ht="14">
      <c r="R2824" s="14"/>
      <c r="S2824" s="14"/>
      <c r="T2824" s="12"/>
      <c r="U2824" s="15"/>
      <c r="V2824" s="12"/>
      <c r="W2824" s="12"/>
      <c r="X2824" s="12"/>
      <c r="Y2824" s="12"/>
      <c r="AJ2824"/>
      <c r="AK2824"/>
    </row>
    <row r="2825" spans="18:37">
      <c r="R2825" s="14"/>
      <c r="S2825" s="14"/>
      <c r="T2825" s="12"/>
      <c r="U2825" s="15"/>
      <c r="V2825" s="12"/>
      <c r="W2825" s="12"/>
      <c r="X2825" s="12"/>
      <c r="Y2825" s="12"/>
      <c r="AJ2825" s="12"/>
      <c r="AK2825" s="37"/>
    </row>
    <row r="2826" spans="18:37">
      <c r="R2826" s="14"/>
      <c r="S2826" s="14"/>
      <c r="T2826" s="12"/>
      <c r="U2826" s="15"/>
      <c r="V2826" s="12"/>
      <c r="W2826" s="12"/>
      <c r="X2826" s="12"/>
      <c r="Y2826" s="12"/>
      <c r="AJ2826" s="12"/>
      <c r="AK2826" s="37"/>
    </row>
    <row r="2827" spans="18:37">
      <c r="R2827" s="14"/>
      <c r="S2827" s="14"/>
      <c r="T2827" s="12"/>
      <c r="U2827" s="15"/>
      <c r="V2827" s="12"/>
      <c r="W2827" s="12"/>
      <c r="X2827" s="12"/>
      <c r="Y2827" s="12"/>
      <c r="AJ2827" s="12"/>
      <c r="AK2827" s="37"/>
    </row>
    <row r="2828" spans="18:37">
      <c r="R2828" s="14"/>
      <c r="S2828" s="14"/>
      <c r="T2828" s="12"/>
      <c r="U2828" s="15"/>
      <c r="V2828" s="12"/>
      <c r="W2828" s="12"/>
      <c r="X2828" s="12"/>
      <c r="Y2828" s="12"/>
      <c r="AJ2828" s="12"/>
      <c r="AK2828" s="37"/>
    </row>
    <row r="2829" spans="18:37">
      <c r="R2829" s="14"/>
      <c r="S2829" s="14"/>
      <c r="T2829" s="12"/>
      <c r="U2829" s="15"/>
      <c r="V2829" s="12"/>
      <c r="W2829" s="12"/>
      <c r="X2829" s="12"/>
      <c r="Y2829" s="12"/>
      <c r="AJ2829" s="12"/>
      <c r="AK2829" s="37"/>
    </row>
    <row r="2830" spans="18:37">
      <c r="R2830" s="14"/>
      <c r="S2830" s="14"/>
      <c r="T2830" s="12"/>
      <c r="U2830" s="15"/>
      <c r="V2830" s="12"/>
      <c r="W2830" s="12"/>
      <c r="X2830" s="12"/>
      <c r="Y2830" s="12"/>
      <c r="AJ2830" s="12"/>
      <c r="AK2830" s="37"/>
    </row>
    <row r="2831" spans="18:37">
      <c r="R2831" s="14"/>
      <c r="S2831" s="14"/>
      <c r="T2831" s="12"/>
      <c r="U2831" s="15"/>
      <c r="V2831" s="12"/>
      <c r="W2831" s="12"/>
      <c r="X2831" s="12"/>
      <c r="Y2831" s="12"/>
      <c r="AJ2831" s="12"/>
      <c r="AK2831" s="37"/>
    </row>
    <row r="2832" spans="18:37">
      <c r="R2832" s="14"/>
      <c r="S2832" s="14"/>
      <c r="T2832" s="12"/>
      <c r="U2832" s="15"/>
      <c r="V2832" s="12"/>
      <c r="W2832" s="12"/>
      <c r="X2832" s="12"/>
      <c r="Y2832" s="12"/>
      <c r="AJ2832" s="12"/>
      <c r="AK2832" s="37"/>
    </row>
    <row r="2833" spans="18:37">
      <c r="R2833" s="14"/>
      <c r="S2833" s="14"/>
      <c r="T2833" s="12"/>
      <c r="U2833" s="15"/>
      <c r="V2833" s="12"/>
      <c r="W2833" s="12"/>
      <c r="X2833" s="12"/>
      <c r="Y2833" s="12"/>
      <c r="AJ2833" s="12"/>
      <c r="AK2833" s="37"/>
    </row>
    <row r="2834" spans="18:37">
      <c r="R2834" s="14"/>
      <c r="S2834" s="14"/>
      <c r="T2834" s="12"/>
      <c r="U2834" s="15"/>
      <c r="V2834" s="12"/>
      <c r="W2834" s="12"/>
      <c r="X2834" s="12"/>
      <c r="Y2834" s="12"/>
      <c r="AJ2834" s="12"/>
      <c r="AK2834" s="37"/>
    </row>
    <row r="2835" spans="18:37">
      <c r="R2835" s="14"/>
      <c r="S2835" s="14"/>
      <c r="T2835" s="12"/>
      <c r="U2835" s="15"/>
      <c r="V2835" s="12"/>
      <c r="W2835" s="12"/>
      <c r="X2835" s="12"/>
      <c r="Y2835" s="12"/>
      <c r="AJ2835" s="12"/>
      <c r="AK2835" s="37"/>
    </row>
    <row r="2836" spans="18:37">
      <c r="R2836" s="14"/>
      <c r="S2836" s="14"/>
      <c r="T2836" s="12"/>
      <c r="U2836" s="15"/>
      <c r="V2836" s="12"/>
      <c r="W2836" s="12"/>
      <c r="X2836" s="12"/>
      <c r="Y2836" s="12"/>
      <c r="AJ2836" s="12"/>
      <c r="AK2836" s="37"/>
    </row>
    <row r="2837" spans="18:37">
      <c r="R2837" s="14"/>
      <c r="S2837" s="14"/>
      <c r="T2837" s="12"/>
      <c r="U2837" s="15"/>
      <c r="V2837" s="12"/>
      <c r="W2837" s="12"/>
      <c r="X2837" s="12"/>
      <c r="Y2837" s="12"/>
      <c r="AJ2837" s="12"/>
      <c r="AK2837" s="37"/>
    </row>
    <row r="2838" spans="18:37">
      <c r="R2838" s="14"/>
      <c r="S2838" s="14"/>
      <c r="T2838" s="12"/>
      <c r="U2838" s="15"/>
      <c r="V2838" s="12"/>
      <c r="W2838" s="12"/>
      <c r="X2838" s="12"/>
      <c r="Y2838" s="12"/>
      <c r="AJ2838" s="12"/>
      <c r="AK2838" s="37"/>
    </row>
    <row r="2839" spans="18:37">
      <c r="R2839" s="14"/>
      <c r="S2839" s="14"/>
      <c r="T2839" s="12"/>
      <c r="U2839" s="15"/>
      <c r="V2839" s="12"/>
      <c r="W2839" s="12"/>
      <c r="X2839" s="12"/>
      <c r="Y2839" s="12"/>
      <c r="AJ2839" s="12"/>
      <c r="AK2839" s="37"/>
    </row>
    <row r="2840" spans="18:37">
      <c r="R2840" s="14"/>
      <c r="S2840" s="14"/>
      <c r="T2840" s="12"/>
      <c r="U2840" s="15"/>
      <c r="V2840" s="12"/>
      <c r="W2840" s="12"/>
      <c r="X2840" s="12"/>
      <c r="Y2840" s="12"/>
      <c r="AJ2840" s="12"/>
      <c r="AK2840" s="37"/>
    </row>
    <row r="2841" spans="18:37">
      <c r="R2841" s="14"/>
      <c r="S2841" s="14"/>
      <c r="T2841" s="12"/>
      <c r="U2841" s="15"/>
      <c r="V2841" s="12"/>
      <c r="W2841" s="12"/>
      <c r="X2841" s="12"/>
      <c r="Y2841" s="12"/>
      <c r="AJ2841" s="12"/>
      <c r="AK2841" s="37"/>
    </row>
    <row r="2842" spans="18:37">
      <c r="R2842" s="14"/>
      <c r="S2842" s="14"/>
      <c r="T2842" s="12"/>
      <c r="U2842" s="15"/>
      <c r="V2842" s="12"/>
      <c r="W2842" s="12"/>
      <c r="X2842" s="12"/>
      <c r="Y2842" s="12"/>
      <c r="AJ2842" s="12"/>
      <c r="AK2842" s="37"/>
    </row>
    <row r="2843" spans="18:37">
      <c r="R2843" s="14"/>
      <c r="S2843" s="14"/>
      <c r="T2843" s="12"/>
      <c r="U2843" s="15"/>
      <c r="V2843" s="12"/>
      <c r="W2843" s="12"/>
      <c r="X2843" s="12"/>
      <c r="Y2843" s="12"/>
      <c r="AJ2843" s="12"/>
      <c r="AK2843" s="37"/>
    </row>
    <row r="2844" spans="18:37">
      <c r="R2844" s="14"/>
      <c r="S2844" s="14"/>
      <c r="T2844" s="12"/>
      <c r="U2844" s="15"/>
      <c r="V2844" s="12"/>
      <c r="W2844" s="12"/>
      <c r="X2844" s="12"/>
      <c r="Y2844" s="12"/>
      <c r="AJ2844" s="12"/>
      <c r="AK2844" s="37"/>
    </row>
    <row r="2845" spans="18:37">
      <c r="R2845" s="14"/>
      <c r="S2845" s="14"/>
      <c r="T2845" s="12"/>
      <c r="U2845" s="15"/>
      <c r="V2845" s="12"/>
      <c r="W2845" s="12"/>
      <c r="X2845" s="12"/>
      <c r="Y2845" s="12"/>
      <c r="AJ2845" s="12"/>
      <c r="AK2845" s="37"/>
    </row>
    <row r="2846" spans="18:37">
      <c r="R2846" s="14"/>
      <c r="S2846" s="14"/>
      <c r="T2846" s="12"/>
      <c r="U2846" s="15"/>
      <c r="V2846" s="12"/>
      <c r="W2846" s="12"/>
      <c r="X2846" s="12"/>
      <c r="Y2846" s="12"/>
      <c r="AJ2846" s="12"/>
      <c r="AK2846" s="37"/>
    </row>
    <row r="2847" spans="18:37">
      <c r="R2847" s="14"/>
      <c r="S2847" s="14"/>
      <c r="T2847" s="12"/>
      <c r="U2847" s="15"/>
      <c r="V2847" s="12"/>
      <c r="W2847" s="12"/>
      <c r="X2847" s="12"/>
      <c r="Y2847" s="12"/>
      <c r="AJ2847" s="12"/>
      <c r="AK2847" s="37"/>
    </row>
    <row r="2848" spans="18:37">
      <c r="R2848" s="14"/>
      <c r="S2848" s="14"/>
      <c r="T2848" s="12"/>
      <c r="U2848" s="15"/>
      <c r="V2848" s="12"/>
      <c r="W2848" s="12"/>
      <c r="X2848" s="12"/>
      <c r="Y2848" s="12"/>
      <c r="AJ2848" s="12"/>
      <c r="AK2848" s="37"/>
    </row>
    <row r="2849" spans="18:37">
      <c r="R2849" s="14"/>
      <c r="S2849" s="14"/>
      <c r="T2849" s="12"/>
      <c r="U2849" s="15"/>
      <c r="V2849" s="12"/>
      <c r="W2849" s="12"/>
      <c r="X2849" s="12"/>
      <c r="Y2849" s="12"/>
      <c r="AJ2849" s="12"/>
      <c r="AK2849" s="37"/>
    </row>
    <row r="2850" spans="18:37">
      <c r="R2850" s="14"/>
      <c r="S2850" s="14"/>
      <c r="T2850" s="12"/>
      <c r="U2850" s="15"/>
      <c r="V2850" s="12"/>
      <c r="W2850" s="12"/>
      <c r="X2850" s="12"/>
      <c r="Y2850" s="12"/>
      <c r="AJ2850" s="12"/>
      <c r="AK2850" s="37"/>
    </row>
    <row r="2851" spans="18:37">
      <c r="R2851" s="14"/>
      <c r="S2851" s="14"/>
      <c r="T2851" s="12"/>
      <c r="U2851" s="15"/>
      <c r="V2851" s="12"/>
      <c r="W2851" s="12"/>
      <c r="X2851" s="12"/>
      <c r="Y2851" s="12"/>
      <c r="AJ2851" s="12"/>
      <c r="AK2851" s="37"/>
    </row>
    <row r="2852" spans="18:37">
      <c r="R2852" s="14"/>
      <c r="S2852" s="14"/>
      <c r="T2852" s="12"/>
      <c r="U2852" s="15"/>
      <c r="V2852" s="12"/>
      <c r="W2852" s="12"/>
      <c r="X2852" s="12"/>
      <c r="Y2852" s="12"/>
      <c r="AJ2852" s="12"/>
      <c r="AK2852" s="37"/>
    </row>
    <row r="2853" spans="18:37">
      <c r="R2853" s="14"/>
      <c r="S2853" s="14"/>
      <c r="T2853" s="12"/>
      <c r="U2853" s="15"/>
      <c r="V2853" s="12"/>
      <c r="W2853" s="12"/>
      <c r="X2853" s="12"/>
      <c r="Y2853" s="12"/>
      <c r="AJ2853" s="12"/>
      <c r="AK2853" s="37"/>
    </row>
    <row r="2854" spans="18:37">
      <c r="R2854" s="14"/>
      <c r="S2854" s="14"/>
      <c r="T2854" s="12"/>
      <c r="U2854" s="15"/>
      <c r="V2854" s="12"/>
      <c r="W2854" s="12"/>
      <c r="X2854" s="12"/>
      <c r="Y2854" s="12"/>
      <c r="AJ2854" s="12"/>
      <c r="AK2854" s="37"/>
    </row>
    <row r="2855" spans="18:37">
      <c r="R2855" s="14"/>
      <c r="S2855" s="14"/>
      <c r="T2855" s="12"/>
      <c r="U2855" s="15"/>
      <c r="V2855" s="12"/>
      <c r="W2855" s="12"/>
      <c r="X2855" s="12"/>
      <c r="Y2855" s="12"/>
      <c r="AJ2855" s="12"/>
      <c r="AK2855" s="37"/>
    </row>
    <row r="2856" spans="18:37">
      <c r="R2856" s="14"/>
      <c r="S2856" s="14"/>
      <c r="T2856" s="12"/>
      <c r="U2856" s="15"/>
      <c r="V2856" s="12"/>
      <c r="W2856" s="12"/>
      <c r="X2856" s="12"/>
      <c r="Y2856" s="12"/>
      <c r="AJ2856" s="12"/>
      <c r="AK2856" s="37"/>
    </row>
    <row r="2857" spans="18:37">
      <c r="R2857" s="14"/>
      <c r="S2857" s="14"/>
      <c r="T2857" s="12"/>
      <c r="U2857" s="15"/>
      <c r="V2857" s="12"/>
      <c r="W2857" s="12"/>
      <c r="X2857" s="12"/>
      <c r="Y2857" s="12"/>
      <c r="AJ2857" s="12"/>
      <c r="AK2857" s="37"/>
    </row>
    <row r="2858" spans="18:37">
      <c r="R2858" s="14"/>
      <c r="S2858" s="14"/>
      <c r="T2858" s="12"/>
      <c r="U2858" s="15"/>
      <c r="V2858" s="12"/>
      <c r="W2858" s="12"/>
      <c r="X2858" s="12"/>
      <c r="Y2858" s="12"/>
      <c r="AJ2858" s="12"/>
      <c r="AK2858" s="37"/>
    </row>
    <row r="2859" spans="18:37">
      <c r="R2859" s="14"/>
      <c r="S2859" s="14"/>
      <c r="T2859" s="12"/>
      <c r="U2859" s="15"/>
      <c r="V2859" s="12"/>
      <c r="W2859" s="12"/>
      <c r="X2859" s="12"/>
      <c r="Y2859" s="12"/>
      <c r="AJ2859" s="12"/>
      <c r="AK2859" s="37"/>
    </row>
    <row r="2860" spans="18:37">
      <c r="R2860" s="14"/>
      <c r="S2860" s="14"/>
      <c r="T2860" s="12"/>
      <c r="U2860" s="15"/>
      <c r="V2860" s="12"/>
      <c r="W2860" s="12"/>
      <c r="X2860" s="12"/>
      <c r="Y2860" s="12"/>
      <c r="AJ2860" s="12"/>
      <c r="AK2860" s="37"/>
    </row>
    <row r="2861" spans="18:37">
      <c r="R2861" s="14"/>
      <c r="S2861" s="14"/>
      <c r="T2861" s="12"/>
      <c r="U2861" s="15"/>
      <c r="V2861" s="12"/>
      <c r="W2861" s="12"/>
      <c r="X2861" s="12"/>
      <c r="Y2861" s="12"/>
      <c r="AJ2861" s="12"/>
      <c r="AK2861" s="37"/>
    </row>
    <row r="2862" spans="18:37">
      <c r="R2862" s="14"/>
      <c r="S2862" s="14"/>
      <c r="T2862" s="12"/>
      <c r="U2862" s="15"/>
      <c r="V2862" s="12"/>
      <c r="W2862" s="12"/>
      <c r="X2862" s="12"/>
      <c r="Y2862" s="12"/>
      <c r="AJ2862" s="12"/>
      <c r="AK2862" s="37"/>
    </row>
    <row r="2863" spans="18:37">
      <c r="R2863" s="14"/>
      <c r="S2863" s="14"/>
      <c r="T2863" s="12"/>
      <c r="U2863" s="15"/>
      <c r="V2863" s="12"/>
      <c r="W2863" s="12"/>
      <c r="X2863" s="12"/>
      <c r="Y2863" s="12"/>
      <c r="AJ2863" s="12"/>
      <c r="AK2863" s="37"/>
    </row>
    <row r="2864" spans="18:37">
      <c r="R2864" s="14"/>
      <c r="S2864" s="14"/>
      <c r="T2864" s="12"/>
      <c r="U2864" s="15"/>
      <c r="V2864" s="12"/>
      <c r="W2864" s="12"/>
      <c r="X2864" s="12"/>
      <c r="Y2864" s="12"/>
      <c r="AJ2864" s="12"/>
      <c r="AK2864" s="37"/>
    </row>
    <row r="2865" spans="18:37">
      <c r="R2865" s="14"/>
      <c r="S2865" s="14"/>
      <c r="T2865" s="12"/>
      <c r="U2865" s="15"/>
      <c r="V2865" s="12"/>
      <c r="W2865" s="12"/>
      <c r="X2865" s="12"/>
      <c r="Y2865" s="12"/>
      <c r="AJ2865" s="12"/>
      <c r="AK2865" s="37"/>
    </row>
    <row r="2866" spans="18:37">
      <c r="R2866" s="14"/>
      <c r="S2866" s="14"/>
      <c r="T2866" s="12"/>
      <c r="U2866" s="15"/>
      <c r="V2866" s="12"/>
      <c r="W2866" s="12"/>
      <c r="X2866" s="12"/>
      <c r="Y2866" s="12"/>
      <c r="AJ2866" s="12"/>
      <c r="AK2866" s="37"/>
    </row>
    <row r="2867" spans="18:37">
      <c r="R2867" s="14"/>
      <c r="S2867" s="14"/>
      <c r="T2867" s="12"/>
      <c r="U2867" s="15"/>
      <c r="V2867" s="12"/>
      <c r="W2867" s="12"/>
      <c r="X2867" s="12"/>
      <c r="Y2867" s="12"/>
      <c r="AJ2867" s="12"/>
      <c r="AK2867" s="37"/>
    </row>
    <row r="2868" spans="18:37">
      <c r="R2868" s="14"/>
      <c r="S2868" s="14"/>
      <c r="T2868" s="12"/>
      <c r="U2868" s="15"/>
      <c r="V2868" s="12"/>
      <c r="W2868" s="12"/>
      <c r="X2868" s="12"/>
      <c r="Y2868" s="12"/>
      <c r="AJ2868" s="12"/>
      <c r="AK2868" s="37"/>
    </row>
    <row r="2869" spans="18:37">
      <c r="R2869" s="14"/>
      <c r="S2869" s="14"/>
      <c r="T2869" s="12"/>
      <c r="U2869" s="15"/>
      <c r="V2869" s="12"/>
      <c r="W2869" s="12"/>
      <c r="X2869" s="12"/>
      <c r="Y2869" s="12"/>
      <c r="AJ2869" s="12"/>
      <c r="AK2869" s="37"/>
    </row>
    <row r="2870" spans="18:37">
      <c r="R2870" s="14"/>
      <c r="S2870" s="14"/>
      <c r="T2870" s="12"/>
      <c r="U2870" s="15"/>
      <c r="V2870" s="12"/>
      <c r="W2870" s="12"/>
      <c r="X2870" s="12"/>
      <c r="Y2870" s="12"/>
      <c r="AJ2870" s="12"/>
      <c r="AK2870" s="37"/>
    </row>
    <row r="2871" spans="18:37">
      <c r="R2871" s="14"/>
      <c r="S2871" s="14"/>
      <c r="T2871" s="12"/>
      <c r="U2871" s="15"/>
      <c r="V2871" s="12"/>
      <c r="W2871" s="12"/>
      <c r="X2871" s="12"/>
      <c r="Y2871" s="12"/>
      <c r="AJ2871" s="12"/>
      <c r="AK2871" s="37"/>
    </row>
    <row r="2872" spans="18:37">
      <c r="R2872" s="14"/>
      <c r="S2872" s="14"/>
      <c r="T2872" s="12"/>
      <c r="U2872" s="15"/>
      <c r="V2872" s="12"/>
      <c r="W2872" s="12"/>
      <c r="X2872" s="12"/>
      <c r="Y2872" s="12"/>
      <c r="AJ2872" s="12"/>
      <c r="AK2872" s="37"/>
    </row>
    <row r="2873" spans="18:37">
      <c r="R2873" s="14"/>
      <c r="S2873" s="14"/>
      <c r="T2873" s="12"/>
      <c r="U2873" s="15"/>
      <c r="V2873" s="12"/>
      <c r="W2873" s="12"/>
      <c r="X2873" s="12"/>
      <c r="Y2873" s="12"/>
      <c r="AJ2873" s="12"/>
      <c r="AK2873" s="37"/>
    </row>
    <row r="2874" spans="18:37">
      <c r="R2874" s="14"/>
      <c r="S2874" s="14"/>
      <c r="T2874" s="12"/>
      <c r="U2874" s="15"/>
      <c r="V2874" s="12"/>
      <c r="W2874" s="12"/>
      <c r="X2874" s="12"/>
      <c r="Y2874" s="12"/>
      <c r="AJ2874" s="12"/>
      <c r="AK2874" s="37"/>
    </row>
    <row r="2875" spans="18:37">
      <c r="R2875" s="14"/>
      <c r="S2875" s="14"/>
      <c r="T2875" s="12"/>
      <c r="U2875" s="15"/>
      <c r="V2875" s="12"/>
      <c r="W2875" s="12"/>
      <c r="X2875" s="12"/>
      <c r="Y2875" s="12"/>
      <c r="AJ2875" s="12"/>
      <c r="AK2875" s="37"/>
    </row>
    <row r="2876" spans="18:37">
      <c r="R2876" s="14"/>
      <c r="S2876" s="14"/>
      <c r="T2876" s="12"/>
      <c r="U2876" s="15"/>
      <c r="V2876" s="12"/>
      <c r="W2876" s="12"/>
      <c r="X2876" s="12"/>
      <c r="Y2876" s="12"/>
      <c r="AJ2876" s="12"/>
      <c r="AK2876" s="37"/>
    </row>
    <row r="2877" spans="18:37">
      <c r="R2877" s="14"/>
      <c r="S2877" s="14"/>
      <c r="T2877" s="12"/>
      <c r="U2877" s="15"/>
      <c r="V2877" s="12"/>
      <c r="W2877" s="12"/>
      <c r="X2877" s="12"/>
      <c r="Y2877" s="12"/>
      <c r="AJ2877" s="12"/>
      <c r="AK2877" s="37"/>
    </row>
    <row r="2878" spans="18:37">
      <c r="R2878" s="14"/>
      <c r="S2878" s="14"/>
      <c r="T2878" s="12"/>
      <c r="U2878" s="15"/>
      <c r="V2878" s="12"/>
      <c r="W2878" s="12"/>
      <c r="X2878" s="12"/>
      <c r="Y2878" s="12"/>
      <c r="AJ2878" s="12"/>
      <c r="AK2878" s="37"/>
    </row>
    <row r="2879" spans="18:37">
      <c r="R2879" s="14"/>
      <c r="S2879" s="14"/>
      <c r="T2879" s="12"/>
      <c r="U2879" s="15"/>
      <c r="V2879" s="12"/>
      <c r="W2879" s="12"/>
      <c r="X2879" s="12"/>
      <c r="Y2879" s="12"/>
      <c r="AJ2879" s="12"/>
      <c r="AK2879" s="37"/>
    </row>
    <row r="2880" spans="18:37">
      <c r="R2880" s="14"/>
      <c r="S2880" s="14"/>
      <c r="T2880" s="12"/>
      <c r="U2880" s="15"/>
      <c r="V2880" s="12"/>
      <c r="W2880" s="12"/>
      <c r="X2880" s="12"/>
      <c r="Y2880" s="12"/>
      <c r="AJ2880" s="12"/>
      <c r="AK2880" s="37"/>
    </row>
    <row r="2881" spans="18:37">
      <c r="R2881" s="14"/>
      <c r="S2881" s="14"/>
      <c r="T2881" s="12"/>
      <c r="U2881" s="15"/>
      <c r="V2881" s="12"/>
      <c r="W2881" s="12"/>
      <c r="X2881" s="12"/>
      <c r="Y2881" s="12"/>
      <c r="AJ2881" s="12"/>
      <c r="AK2881" s="37"/>
    </row>
    <row r="2882" spans="18:37">
      <c r="R2882" s="14"/>
      <c r="S2882" s="14"/>
      <c r="T2882" s="12"/>
      <c r="U2882" s="15"/>
      <c r="V2882" s="12"/>
      <c r="W2882" s="12"/>
      <c r="X2882" s="12"/>
      <c r="Y2882" s="12"/>
      <c r="AJ2882" s="12"/>
      <c r="AK2882" s="37"/>
    </row>
    <row r="2883" spans="18:37">
      <c r="R2883" s="14"/>
      <c r="S2883" s="14"/>
      <c r="T2883" s="12"/>
      <c r="U2883" s="15"/>
      <c r="V2883" s="12"/>
      <c r="W2883" s="12"/>
      <c r="X2883" s="12"/>
      <c r="Y2883" s="12"/>
      <c r="AJ2883" s="12"/>
      <c r="AK2883" s="37"/>
    </row>
    <row r="2884" spans="18:37">
      <c r="R2884" s="14"/>
      <c r="S2884" s="14"/>
      <c r="T2884" s="12"/>
      <c r="U2884" s="15"/>
      <c r="V2884" s="12"/>
      <c r="W2884" s="12"/>
      <c r="X2884" s="12"/>
      <c r="Y2884" s="12"/>
      <c r="AJ2884" s="12"/>
      <c r="AK2884" s="37"/>
    </row>
    <row r="2885" spans="18:37">
      <c r="R2885" s="14"/>
      <c r="S2885" s="14"/>
      <c r="T2885" s="12"/>
      <c r="U2885" s="15"/>
      <c r="V2885" s="12"/>
      <c r="W2885" s="12"/>
      <c r="X2885" s="12"/>
      <c r="Y2885" s="12"/>
      <c r="AJ2885" s="12"/>
      <c r="AK2885" s="37"/>
    </row>
    <row r="2886" spans="18:37">
      <c r="R2886" s="14"/>
      <c r="S2886" s="14"/>
      <c r="T2886" s="12"/>
      <c r="U2886" s="15"/>
      <c r="V2886" s="12"/>
      <c r="W2886" s="12"/>
      <c r="X2886" s="12"/>
      <c r="Y2886" s="12"/>
      <c r="AJ2886" s="12"/>
      <c r="AK2886" s="37"/>
    </row>
    <row r="2887" spans="18:37">
      <c r="R2887" s="14"/>
      <c r="S2887" s="14"/>
      <c r="T2887" s="12"/>
      <c r="U2887" s="15"/>
      <c r="V2887" s="12"/>
      <c r="W2887" s="12"/>
      <c r="X2887" s="12"/>
      <c r="Y2887" s="12"/>
      <c r="AJ2887" s="12"/>
      <c r="AK2887" s="37"/>
    </row>
    <row r="2888" spans="18:37">
      <c r="R2888" s="14"/>
      <c r="S2888" s="14"/>
      <c r="T2888" s="12"/>
      <c r="U2888" s="15"/>
      <c r="V2888" s="12"/>
      <c r="W2888" s="12"/>
      <c r="X2888" s="12"/>
      <c r="Y2888" s="12"/>
      <c r="AJ2888" s="12"/>
      <c r="AK2888" s="37"/>
    </row>
    <row r="2889" spans="18:37">
      <c r="R2889" s="14"/>
      <c r="S2889" s="14"/>
      <c r="T2889" s="12"/>
      <c r="U2889" s="15"/>
      <c r="V2889" s="12"/>
      <c r="W2889" s="12"/>
      <c r="X2889" s="12"/>
      <c r="Y2889" s="12"/>
      <c r="AJ2889" s="12"/>
      <c r="AK2889" s="37"/>
    </row>
    <row r="2890" spans="18:37">
      <c r="R2890" s="14"/>
      <c r="S2890" s="14"/>
      <c r="T2890" s="12"/>
      <c r="U2890" s="15"/>
      <c r="V2890" s="12"/>
      <c r="W2890" s="12"/>
      <c r="X2890" s="12"/>
      <c r="Y2890" s="12"/>
      <c r="AJ2890" s="12"/>
      <c r="AK2890" s="37"/>
    </row>
    <row r="2891" spans="18:37">
      <c r="R2891" s="14"/>
      <c r="S2891" s="14"/>
      <c r="T2891" s="12"/>
      <c r="U2891" s="15"/>
      <c r="V2891" s="12"/>
      <c r="W2891" s="12"/>
      <c r="X2891" s="12"/>
      <c r="Y2891" s="12"/>
      <c r="AJ2891" s="12"/>
      <c r="AK2891" s="37"/>
    </row>
    <row r="2892" spans="18:37">
      <c r="R2892" s="14"/>
      <c r="S2892" s="14"/>
      <c r="T2892" s="12"/>
      <c r="U2892" s="15"/>
      <c r="V2892" s="12"/>
      <c r="W2892" s="12"/>
      <c r="X2892" s="12"/>
      <c r="Y2892" s="12"/>
      <c r="AJ2892" s="12"/>
      <c r="AK2892" s="37"/>
    </row>
    <row r="2893" spans="18:37">
      <c r="R2893" s="14"/>
      <c r="S2893" s="14"/>
      <c r="T2893" s="12"/>
      <c r="U2893" s="15"/>
      <c r="V2893" s="12"/>
      <c r="W2893" s="12"/>
      <c r="X2893" s="12"/>
      <c r="Y2893" s="12"/>
      <c r="AJ2893" s="12"/>
      <c r="AK2893" s="37"/>
    </row>
    <row r="2894" spans="18:37">
      <c r="R2894" s="14"/>
      <c r="S2894" s="14"/>
      <c r="T2894" s="12"/>
      <c r="U2894" s="15"/>
      <c r="V2894" s="12"/>
      <c r="W2894" s="12"/>
      <c r="X2894" s="12"/>
      <c r="Y2894" s="12"/>
      <c r="AJ2894" s="12"/>
      <c r="AK2894" s="37"/>
    </row>
    <row r="2895" spans="18:37">
      <c r="R2895" s="14"/>
      <c r="S2895" s="14"/>
      <c r="T2895" s="12"/>
      <c r="U2895" s="15"/>
      <c r="V2895" s="12"/>
      <c r="W2895" s="12"/>
      <c r="X2895" s="12"/>
      <c r="Y2895" s="12"/>
      <c r="AJ2895" s="12"/>
      <c r="AK2895" s="37"/>
    </row>
    <row r="2896" spans="18:37">
      <c r="R2896" s="14"/>
      <c r="S2896" s="14"/>
      <c r="T2896" s="12"/>
      <c r="U2896" s="15"/>
      <c r="V2896" s="12"/>
      <c r="W2896" s="12"/>
      <c r="X2896" s="12"/>
      <c r="Y2896" s="12"/>
      <c r="AJ2896" s="12"/>
      <c r="AK2896" s="37"/>
    </row>
    <row r="2897" spans="18:37">
      <c r="R2897" s="14"/>
      <c r="S2897" s="14"/>
      <c r="T2897" s="12"/>
      <c r="U2897" s="15"/>
      <c r="V2897" s="12"/>
      <c r="W2897" s="12"/>
      <c r="X2897" s="12"/>
      <c r="Y2897" s="12"/>
      <c r="AJ2897" s="12"/>
      <c r="AK2897" s="37"/>
    </row>
    <row r="2898" spans="18:37">
      <c r="R2898" s="14"/>
      <c r="S2898" s="14"/>
      <c r="T2898" s="12"/>
      <c r="U2898" s="15"/>
      <c r="V2898" s="12"/>
      <c r="W2898" s="12"/>
      <c r="X2898" s="12"/>
      <c r="Y2898" s="12"/>
      <c r="AJ2898" s="12"/>
      <c r="AK2898" s="37"/>
    </row>
    <row r="2899" spans="18:37">
      <c r="R2899" s="14"/>
      <c r="S2899" s="14"/>
      <c r="T2899" s="12"/>
      <c r="U2899" s="15"/>
      <c r="V2899" s="12"/>
      <c r="W2899" s="12"/>
      <c r="X2899" s="12"/>
      <c r="Y2899" s="12"/>
      <c r="AJ2899" s="12"/>
      <c r="AK2899" s="37"/>
    </row>
    <row r="2900" spans="18:37">
      <c r="R2900" s="14"/>
      <c r="S2900" s="14"/>
      <c r="T2900" s="12"/>
      <c r="U2900" s="15"/>
      <c r="V2900" s="12"/>
      <c r="W2900" s="12"/>
      <c r="X2900" s="12"/>
      <c r="Y2900" s="12"/>
      <c r="AJ2900" s="12"/>
      <c r="AK2900" s="37"/>
    </row>
    <row r="2901" spans="18:37">
      <c r="R2901" s="14"/>
      <c r="S2901" s="14"/>
      <c r="T2901" s="12"/>
      <c r="U2901" s="15"/>
      <c r="V2901" s="12"/>
      <c r="W2901" s="12"/>
      <c r="X2901" s="12"/>
      <c r="Y2901" s="12"/>
      <c r="AJ2901" s="12"/>
      <c r="AK2901" s="37"/>
    </row>
    <row r="2902" spans="18:37">
      <c r="R2902" s="14"/>
      <c r="S2902" s="14"/>
      <c r="T2902" s="12"/>
      <c r="U2902" s="15"/>
      <c r="V2902" s="12"/>
      <c r="W2902" s="12"/>
      <c r="X2902" s="12"/>
      <c r="Y2902" s="12"/>
      <c r="AJ2902" s="12"/>
      <c r="AK2902" s="37"/>
    </row>
    <row r="2903" spans="18:37">
      <c r="R2903" s="14"/>
      <c r="S2903" s="14"/>
      <c r="T2903" s="12"/>
      <c r="U2903" s="15"/>
      <c r="V2903" s="12"/>
      <c r="W2903" s="12"/>
      <c r="X2903" s="12"/>
      <c r="Y2903" s="12"/>
      <c r="AJ2903" s="12"/>
      <c r="AK2903" s="37"/>
    </row>
    <row r="2904" spans="18:37">
      <c r="R2904" s="14"/>
      <c r="S2904" s="14"/>
      <c r="T2904" s="12"/>
      <c r="U2904" s="15"/>
      <c r="V2904" s="12"/>
      <c r="W2904" s="12"/>
      <c r="X2904" s="12"/>
      <c r="Y2904" s="12"/>
      <c r="AJ2904" s="12"/>
      <c r="AK2904" s="37"/>
    </row>
    <row r="2905" spans="18:37">
      <c r="R2905" s="14"/>
      <c r="S2905" s="14"/>
      <c r="T2905" s="12"/>
      <c r="U2905" s="15"/>
      <c r="V2905" s="12"/>
      <c r="W2905" s="12"/>
      <c r="X2905" s="12"/>
      <c r="Y2905" s="12"/>
      <c r="AJ2905" s="12"/>
      <c r="AK2905" s="37"/>
    </row>
    <row r="2906" spans="18:37">
      <c r="R2906" s="14"/>
      <c r="S2906" s="14"/>
      <c r="T2906" s="12"/>
      <c r="U2906" s="15"/>
      <c r="V2906" s="12"/>
      <c r="W2906" s="12"/>
      <c r="X2906" s="12"/>
      <c r="Y2906" s="12"/>
      <c r="AJ2906" s="12"/>
      <c r="AK2906" s="37"/>
    </row>
    <row r="2907" spans="18:37">
      <c r="R2907" s="14"/>
      <c r="S2907" s="14"/>
      <c r="T2907" s="12"/>
      <c r="U2907" s="15"/>
      <c r="V2907" s="12"/>
      <c r="W2907" s="12"/>
      <c r="X2907" s="12"/>
      <c r="Y2907" s="12"/>
      <c r="AJ2907" s="12"/>
      <c r="AK2907" s="37"/>
    </row>
    <row r="2908" spans="18:37">
      <c r="R2908" s="14"/>
      <c r="S2908" s="14"/>
      <c r="T2908" s="12"/>
      <c r="U2908" s="15"/>
      <c r="V2908" s="12"/>
      <c r="W2908" s="12"/>
      <c r="X2908" s="12"/>
      <c r="Y2908" s="12"/>
      <c r="AJ2908" s="12"/>
      <c r="AK2908" s="37"/>
    </row>
    <row r="2909" spans="18:37">
      <c r="R2909" s="14"/>
      <c r="S2909" s="14"/>
      <c r="T2909" s="12"/>
      <c r="U2909" s="15"/>
      <c r="V2909" s="12"/>
      <c r="W2909" s="12"/>
      <c r="X2909" s="12"/>
      <c r="Y2909" s="12"/>
      <c r="AJ2909" s="12"/>
      <c r="AK2909" s="37"/>
    </row>
    <row r="2910" spans="18:37">
      <c r="R2910" s="14"/>
      <c r="S2910" s="14"/>
      <c r="T2910" s="12"/>
      <c r="U2910" s="15"/>
      <c r="V2910" s="12"/>
      <c r="W2910" s="12"/>
      <c r="X2910" s="12"/>
      <c r="Y2910" s="12"/>
      <c r="AJ2910" s="12"/>
      <c r="AK2910" s="37"/>
    </row>
    <row r="2911" spans="18:37">
      <c r="R2911" s="14"/>
      <c r="S2911" s="14"/>
      <c r="T2911" s="12"/>
      <c r="U2911" s="15"/>
      <c r="V2911" s="12"/>
      <c r="W2911" s="12"/>
      <c r="X2911" s="12"/>
      <c r="Y2911" s="12"/>
      <c r="AJ2911" s="12"/>
      <c r="AK2911" s="37"/>
    </row>
    <row r="2912" spans="18:37">
      <c r="R2912" s="14"/>
      <c r="S2912" s="14"/>
      <c r="T2912" s="12"/>
      <c r="U2912" s="15"/>
      <c r="V2912" s="12"/>
      <c r="W2912" s="12"/>
      <c r="X2912" s="12"/>
      <c r="Y2912" s="12"/>
      <c r="AJ2912" s="12"/>
      <c r="AK2912" s="37"/>
    </row>
    <row r="2913" spans="18:37">
      <c r="R2913" s="14"/>
      <c r="S2913" s="14"/>
      <c r="T2913" s="12"/>
      <c r="U2913" s="15"/>
      <c r="V2913" s="12"/>
      <c r="W2913" s="12"/>
      <c r="X2913" s="12"/>
      <c r="Y2913" s="12"/>
      <c r="AJ2913" s="12"/>
      <c r="AK2913" s="37"/>
    </row>
    <row r="2914" spans="18:37">
      <c r="R2914" s="14"/>
      <c r="S2914" s="14"/>
      <c r="T2914" s="12"/>
      <c r="U2914" s="15"/>
      <c r="V2914" s="12"/>
      <c r="W2914" s="12"/>
      <c r="X2914" s="12"/>
      <c r="Y2914" s="12"/>
      <c r="AJ2914" s="12"/>
      <c r="AK2914" s="37"/>
    </row>
    <row r="2915" spans="18:37">
      <c r="R2915" s="14"/>
      <c r="S2915" s="14"/>
      <c r="T2915" s="12"/>
      <c r="U2915" s="15"/>
      <c r="V2915" s="12"/>
      <c r="W2915" s="12"/>
      <c r="X2915" s="12"/>
      <c r="Y2915" s="12"/>
      <c r="AJ2915" s="12"/>
      <c r="AK2915" s="37"/>
    </row>
    <row r="2916" spans="18:37">
      <c r="R2916" s="14"/>
      <c r="S2916" s="14"/>
      <c r="T2916" s="12"/>
      <c r="U2916" s="15"/>
      <c r="V2916" s="12"/>
      <c r="W2916" s="12"/>
      <c r="X2916" s="12"/>
      <c r="Y2916" s="12"/>
      <c r="AJ2916" s="12"/>
      <c r="AK2916" s="37"/>
    </row>
    <row r="2917" spans="18:37">
      <c r="R2917" s="14"/>
      <c r="S2917" s="14"/>
      <c r="T2917" s="12"/>
      <c r="U2917" s="15"/>
      <c r="V2917" s="12"/>
      <c r="W2917" s="12"/>
      <c r="X2917" s="12"/>
      <c r="Y2917" s="12"/>
      <c r="AJ2917" s="12"/>
      <c r="AK2917" s="37"/>
    </row>
    <row r="2918" spans="18:37">
      <c r="R2918" s="14"/>
      <c r="S2918" s="14"/>
      <c r="T2918" s="12"/>
      <c r="U2918" s="15"/>
      <c r="V2918" s="12"/>
      <c r="W2918" s="12"/>
      <c r="X2918" s="12"/>
      <c r="Y2918" s="12"/>
      <c r="AJ2918" s="12"/>
      <c r="AK2918" s="37"/>
    </row>
    <row r="2919" spans="18:37">
      <c r="R2919" s="14"/>
      <c r="S2919" s="14"/>
      <c r="T2919" s="12"/>
      <c r="U2919" s="15"/>
      <c r="V2919" s="12"/>
      <c r="W2919" s="12"/>
      <c r="X2919" s="12"/>
      <c r="Y2919" s="12"/>
      <c r="AJ2919" s="12"/>
      <c r="AK2919" s="37"/>
    </row>
    <row r="2920" spans="18:37">
      <c r="R2920" s="14"/>
      <c r="S2920" s="14"/>
      <c r="T2920" s="12"/>
      <c r="U2920" s="15"/>
      <c r="V2920" s="12"/>
      <c r="W2920" s="12"/>
      <c r="X2920" s="12"/>
      <c r="Y2920" s="12"/>
      <c r="AJ2920" s="12"/>
      <c r="AK2920" s="37"/>
    </row>
    <row r="2921" spans="18:37">
      <c r="R2921" s="14"/>
      <c r="S2921" s="14"/>
      <c r="T2921" s="12"/>
      <c r="U2921" s="15"/>
      <c r="V2921" s="12"/>
      <c r="W2921" s="12"/>
      <c r="X2921" s="12"/>
      <c r="Y2921" s="12"/>
      <c r="AJ2921" s="12"/>
      <c r="AK2921" s="37"/>
    </row>
    <row r="2922" spans="18:37">
      <c r="R2922" s="14"/>
      <c r="S2922" s="14"/>
      <c r="T2922" s="12"/>
      <c r="U2922" s="15"/>
      <c r="V2922" s="12"/>
      <c r="W2922" s="12"/>
      <c r="X2922" s="12"/>
      <c r="Y2922" s="12"/>
      <c r="AJ2922" s="12"/>
      <c r="AK2922" s="37"/>
    </row>
    <row r="2923" spans="18:37">
      <c r="R2923" s="14"/>
      <c r="S2923" s="14"/>
      <c r="T2923" s="12"/>
      <c r="U2923" s="15"/>
      <c r="V2923" s="12"/>
      <c r="W2923" s="12"/>
      <c r="X2923" s="12"/>
      <c r="Y2923" s="12"/>
      <c r="AJ2923" s="12"/>
      <c r="AK2923" s="37"/>
    </row>
    <row r="2924" spans="18:37">
      <c r="R2924" s="14"/>
      <c r="S2924" s="14"/>
      <c r="T2924" s="12"/>
      <c r="U2924" s="15"/>
      <c r="V2924" s="12"/>
      <c r="W2924" s="12"/>
      <c r="X2924" s="12"/>
      <c r="Y2924" s="12"/>
      <c r="AJ2924" s="12"/>
      <c r="AK2924" s="37"/>
    </row>
    <row r="2925" spans="18:37">
      <c r="R2925" s="14"/>
      <c r="S2925" s="14"/>
      <c r="T2925" s="12"/>
      <c r="U2925" s="15"/>
      <c r="V2925" s="12"/>
      <c r="W2925" s="12"/>
      <c r="X2925" s="12"/>
      <c r="Y2925" s="12"/>
      <c r="AJ2925" s="12"/>
      <c r="AK2925" s="37"/>
    </row>
    <row r="2926" spans="18:37">
      <c r="R2926" s="14"/>
      <c r="S2926" s="14"/>
      <c r="T2926" s="12"/>
      <c r="U2926" s="15"/>
      <c r="V2926" s="12"/>
      <c r="W2926" s="12"/>
      <c r="X2926" s="12"/>
      <c r="Y2926" s="12"/>
      <c r="AJ2926" s="12"/>
      <c r="AK2926" s="37"/>
    </row>
    <row r="2927" spans="18:37">
      <c r="R2927" s="14"/>
      <c r="S2927" s="14"/>
      <c r="T2927" s="12"/>
      <c r="U2927" s="15"/>
      <c r="V2927" s="12"/>
      <c r="W2927" s="12"/>
      <c r="X2927" s="12"/>
      <c r="Y2927" s="12"/>
      <c r="AJ2927" s="12"/>
      <c r="AK2927" s="37"/>
    </row>
    <row r="2928" spans="18:37">
      <c r="R2928" s="14"/>
      <c r="S2928" s="14"/>
      <c r="T2928" s="12"/>
      <c r="U2928" s="15"/>
      <c r="V2928" s="12"/>
      <c r="W2928" s="12"/>
      <c r="X2928" s="12"/>
      <c r="Y2928" s="12"/>
      <c r="AJ2928" s="12"/>
      <c r="AK2928" s="37"/>
    </row>
    <row r="2929" spans="18:37">
      <c r="R2929" s="14"/>
      <c r="S2929" s="14"/>
      <c r="T2929" s="12"/>
      <c r="U2929" s="15"/>
      <c r="V2929" s="12"/>
      <c r="W2929" s="12"/>
      <c r="X2929" s="12"/>
      <c r="Y2929" s="12"/>
      <c r="AJ2929" s="12"/>
      <c r="AK2929" s="37"/>
    </row>
    <row r="2930" spans="18:37">
      <c r="R2930" s="14"/>
      <c r="S2930" s="14"/>
      <c r="T2930" s="12"/>
      <c r="U2930" s="15"/>
      <c r="V2930" s="12"/>
      <c r="W2930" s="12"/>
      <c r="X2930" s="12"/>
      <c r="Y2930" s="12"/>
      <c r="AJ2930" s="12"/>
      <c r="AK2930" s="37"/>
    </row>
    <row r="2931" spans="18:37">
      <c r="R2931" s="14"/>
      <c r="S2931" s="14"/>
      <c r="T2931" s="12"/>
      <c r="U2931" s="15"/>
      <c r="V2931" s="12"/>
      <c r="W2931" s="12"/>
      <c r="X2931" s="12"/>
      <c r="Y2931" s="12"/>
      <c r="AJ2931" s="12"/>
      <c r="AK2931" s="37"/>
    </row>
    <row r="2932" spans="18:37">
      <c r="R2932" s="14"/>
      <c r="S2932" s="14"/>
      <c r="T2932" s="12"/>
      <c r="U2932" s="15"/>
      <c r="V2932" s="12"/>
      <c r="W2932" s="12"/>
      <c r="X2932" s="12"/>
      <c r="Y2932" s="12"/>
      <c r="AJ2932" s="12"/>
      <c r="AK2932" s="37"/>
    </row>
    <row r="2933" spans="18:37">
      <c r="R2933" s="14"/>
      <c r="S2933" s="14"/>
      <c r="T2933" s="12"/>
      <c r="U2933" s="15"/>
      <c r="V2933" s="12"/>
      <c r="W2933" s="12"/>
      <c r="X2933" s="12"/>
      <c r="Y2933" s="12"/>
      <c r="AJ2933" s="12"/>
      <c r="AK2933" s="37"/>
    </row>
    <row r="2934" spans="18:37">
      <c r="R2934" s="14"/>
      <c r="S2934" s="14"/>
      <c r="T2934" s="12"/>
      <c r="U2934" s="15"/>
      <c r="V2934" s="12"/>
      <c r="W2934" s="12"/>
      <c r="X2934" s="12"/>
      <c r="Y2934" s="12"/>
      <c r="AJ2934" s="12"/>
      <c r="AK2934" s="37"/>
    </row>
    <row r="2935" spans="18:37">
      <c r="R2935" s="14"/>
      <c r="S2935" s="14"/>
      <c r="T2935" s="12"/>
      <c r="U2935" s="15"/>
      <c r="V2935" s="12"/>
      <c r="W2935" s="12"/>
      <c r="X2935" s="12"/>
      <c r="Y2935" s="12"/>
      <c r="AJ2935" s="12"/>
      <c r="AK2935" s="37"/>
    </row>
    <row r="2936" spans="18:37">
      <c r="R2936" s="14"/>
      <c r="S2936" s="14"/>
      <c r="T2936" s="12"/>
      <c r="U2936" s="15"/>
      <c r="V2936" s="12"/>
      <c r="W2936" s="12"/>
      <c r="X2936" s="12"/>
      <c r="Y2936" s="12"/>
      <c r="AJ2936" s="12"/>
      <c r="AK2936" s="37"/>
    </row>
    <row r="2937" spans="18:37">
      <c r="R2937" s="14"/>
      <c r="S2937" s="14"/>
      <c r="T2937" s="12"/>
      <c r="U2937" s="15"/>
      <c r="V2937" s="12"/>
      <c r="W2937" s="12"/>
      <c r="X2937" s="12"/>
      <c r="Y2937" s="12"/>
      <c r="AJ2937" s="12"/>
      <c r="AK2937" s="37"/>
    </row>
    <row r="2938" spans="18:37">
      <c r="R2938" s="14"/>
      <c r="S2938" s="14"/>
      <c r="T2938" s="12"/>
      <c r="U2938" s="15"/>
      <c r="V2938" s="12"/>
      <c r="W2938" s="12"/>
      <c r="X2938" s="12"/>
      <c r="Y2938" s="12"/>
      <c r="AJ2938" s="12"/>
      <c r="AK2938" s="37"/>
    </row>
    <row r="2939" spans="18:37">
      <c r="R2939" s="14"/>
      <c r="S2939" s="14"/>
      <c r="T2939" s="12"/>
      <c r="U2939" s="15"/>
      <c r="V2939" s="12"/>
      <c r="W2939" s="12"/>
      <c r="X2939" s="12"/>
      <c r="Y2939" s="12"/>
      <c r="AJ2939" s="12"/>
      <c r="AK2939" s="37"/>
    </row>
    <row r="2940" spans="18:37">
      <c r="R2940" s="14"/>
      <c r="S2940" s="14"/>
      <c r="T2940" s="12"/>
      <c r="U2940" s="15"/>
      <c r="V2940" s="12"/>
      <c r="W2940" s="12"/>
      <c r="X2940" s="12"/>
      <c r="Y2940" s="12"/>
      <c r="AJ2940" s="12"/>
      <c r="AK2940" s="37"/>
    </row>
    <row r="2941" spans="18:37">
      <c r="R2941" s="14"/>
      <c r="S2941" s="14"/>
      <c r="T2941" s="12"/>
      <c r="U2941" s="15"/>
      <c r="V2941" s="12"/>
      <c r="W2941" s="12"/>
      <c r="X2941" s="12"/>
      <c r="Y2941" s="12"/>
      <c r="AJ2941" s="12"/>
      <c r="AK2941" s="37"/>
    </row>
    <row r="2942" spans="18:37">
      <c r="R2942" s="14"/>
      <c r="S2942" s="14"/>
      <c r="T2942" s="12"/>
      <c r="U2942" s="15"/>
      <c r="V2942" s="12"/>
      <c r="W2942" s="12"/>
      <c r="X2942" s="12"/>
      <c r="Y2942" s="12"/>
      <c r="AJ2942" s="12"/>
      <c r="AK2942" s="37"/>
    </row>
    <row r="2943" spans="18:37">
      <c r="R2943" s="14"/>
      <c r="S2943" s="14"/>
      <c r="T2943" s="12"/>
      <c r="U2943" s="15"/>
      <c r="V2943" s="12"/>
      <c r="W2943" s="12"/>
      <c r="X2943" s="12"/>
      <c r="Y2943" s="12"/>
      <c r="AJ2943" s="12"/>
      <c r="AK2943" s="37"/>
    </row>
    <row r="2944" spans="18:37">
      <c r="R2944" s="14"/>
      <c r="S2944" s="14"/>
      <c r="T2944" s="12"/>
      <c r="U2944" s="15"/>
      <c r="V2944" s="12"/>
      <c r="W2944" s="12"/>
      <c r="X2944" s="12"/>
      <c r="Y2944" s="12"/>
      <c r="AJ2944" s="12"/>
      <c r="AK2944" s="37"/>
    </row>
    <row r="2945" spans="18:37">
      <c r="R2945" s="14"/>
      <c r="S2945" s="14"/>
      <c r="T2945" s="12"/>
      <c r="U2945" s="15"/>
      <c r="V2945" s="12"/>
      <c r="W2945" s="12"/>
      <c r="X2945" s="12"/>
      <c r="Y2945" s="12"/>
      <c r="AJ2945" s="12"/>
      <c r="AK2945" s="37"/>
    </row>
    <row r="2946" spans="18:37">
      <c r="R2946" s="14"/>
      <c r="S2946" s="14"/>
      <c r="T2946" s="12"/>
      <c r="U2946" s="15"/>
      <c r="V2946" s="12"/>
      <c r="W2946" s="12"/>
      <c r="X2946" s="12"/>
      <c r="Y2946" s="12"/>
      <c r="AJ2946" s="12"/>
      <c r="AK2946" s="37"/>
    </row>
    <row r="2947" spans="18:37">
      <c r="R2947" s="14"/>
      <c r="S2947" s="14"/>
      <c r="T2947" s="12"/>
      <c r="U2947" s="15"/>
      <c r="V2947" s="12"/>
      <c r="W2947" s="12"/>
      <c r="X2947" s="12"/>
      <c r="Y2947" s="12"/>
      <c r="AJ2947" s="12"/>
      <c r="AK2947" s="37"/>
    </row>
    <row r="2948" spans="18:37">
      <c r="R2948" s="14"/>
      <c r="S2948" s="14"/>
      <c r="T2948" s="12"/>
      <c r="U2948" s="15"/>
      <c r="V2948" s="12"/>
      <c r="W2948" s="12"/>
      <c r="X2948" s="12"/>
      <c r="Y2948" s="12"/>
      <c r="AJ2948" s="12"/>
      <c r="AK2948" s="37"/>
    </row>
    <row r="2949" spans="18:37">
      <c r="R2949" s="14"/>
      <c r="S2949" s="14"/>
      <c r="T2949" s="12"/>
      <c r="U2949" s="15"/>
      <c r="V2949" s="12"/>
      <c r="W2949" s="12"/>
      <c r="X2949" s="12"/>
      <c r="Y2949" s="12"/>
      <c r="AJ2949" s="12"/>
      <c r="AK2949" s="37"/>
    </row>
    <row r="2950" spans="18:37">
      <c r="R2950" s="14"/>
      <c r="S2950" s="14"/>
      <c r="T2950" s="12"/>
      <c r="U2950" s="15"/>
      <c r="V2950" s="12"/>
      <c r="W2950" s="12"/>
      <c r="X2950" s="12"/>
      <c r="Y2950" s="12"/>
      <c r="AJ2950" s="12"/>
      <c r="AK2950" s="37"/>
    </row>
    <row r="2951" spans="18:37">
      <c r="R2951" s="14"/>
      <c r="S2951" s="14"/>
      <c r="T2951" s="12"/>
      <c r="U2951" s="15"/>
      <c r="V2951" s="12"/>
      <c r="W2951" s="12"/>
      <c r="X2951" s="12"/>
      <c r="Y2951" s="12"/>
      <c r="AJ2951" s="12"/>
      <c r="AK2951" s="37"/>
    </row>
    <row r="2952" spans="18:37">
      <c r="R2952" s="14"/>
      <c r="S2952" s="14"/>
      <c r="T2952" s="12"/>
      <c r="U2952" s="15"/>
      <c r="V2952" s="12"/>
      <c r="W2952" s="12"/>
      <c r="X2952" s="12"/>
      <c r="Y2952" s="12"/>
      <c r="AJ2952" s="12"/>
      <c r="AK2952" s="37"/>
    </row>
    <row r="2953" spans="18:37">
      <c r="R2953" s="14"/>
      <c r="S2953" s="14"/>
      <c r="T2953" s="12"/>
      <c r="U2953" s="15"/>
      <c r="V2953" s="12"/>
      <c r="W2953" s="12"/>
      <c r="X2953" s="12"/>
      <c r="Y2953" s="12"/>
      <c r="AJ2953" s="12"/>
      <c r="AK2953" s="37"/>
    </row>
    <row r="2954" spans="18:37">
      <c r="R2954" s="14"/>
      <c r="S2954" s="14"/>
      <c r="T2954" s="12"/>
      <c r="U2954" s="15"/>
      <c r="V2954" s="12"/>
      <c r="W2954" s="12"/>
      <c r="X2954" s="12"/>
      <c r="Y2954" s="12"/>
      <c r="AJ2954" s="12"/>
      <c r="AK2954" s="37"/>
    </row>
    <row r="2955" spans="18:37">
      <c r="R2955" s="14"/>
      <c r="S2955" s="14"/>
      <c r="T2955" s="12"/>
      <c r="U2955" s="15"/>
      <c r="V2955" s="12"/>
      <c r="W2955" s="12"/>
      <c r="X2955" s="12"/>
      <c r="Y2955" s="12"/>
      <c r="AJ2955" s="12"/>
      <c r="AK2955" s="37"/>
    </row>
    <row r="2956" spans="18:37">
      <c r="R2956" s="14"/>
      <c r="S2956" s="14"/>
      <c r="T2956" s="12"/>
      <c r="U2956" s="15"/>
      <c r="V2956" s="12"/>
      <c r="W2956" s="12"/>
      <c r="X2956" s="12"/>
      <c r="Y2956" s="12"/>
      <c r="AJ2956" s="12"/>
      <c r="AK2956" s="37"/>
    </row>
    <row r="2957" spans="18:37">
      <c r="R2957" s="14"/>
      <c r="S2957" s="14"/>
      <c r="T2957" s="12"/>
      <c r="U2957" s="15"/>
      <c r="V2957" s="12"/>
      <c r="W2957" s="12"/>
      <c r="X2957" s="12"/>
      <c r="Y2957" s="12"/>
      <c r="AJ2957" s="12"/>
      <c r="AK2957" s="37"/>
    </row>
    <row r="2958" spans="18:37">
      <c r="R2958" s="14"/>
      <c r="S2958" s="14"/>
      <c r="T2958" s="12"/>
      <c r="U2958" s="15"/>
      <c r="V2958" s="12"/>
      <c r="W2958" s="12"/>
      <c r="X2958" s="12"/>
      <c r="Y2958" s="12"/>
      <c r="AJ2958" s="12"/>
      <c r="AK2958" s="37"/>
    </row>
    <row r="2959" spans="18:37">
      <c r="R2959" s="14"/>
      <c r="S2959" s="14"/>
      <c r="T2959" s="12"/>
      <c r="U2959" s="15"/>
      <c r="V2959" s="12"/>
      <c r="W2959" s="12"/>
      <c r="X2959" s="12"/>
      <c r="Y2959" s="12"/>
      <c r="AJ2959" s="12"/>
      <c r="AK2959" s="37"/>
    </row>
    <row r="2960" spans="18:37">
      <c r="R2960" s="14"/>
      <c r="S2960" s="14"/>
      <c r="T2960" s="12"/>
      <c r="U2960" s="15"/>
      <c r="V2960" s="12"/>
      <c r="W2960" s="12"/>
      <c r="X2960" s="12"/>
      <c r="Y2960" s="12"/>
      <c r="AJ2960" s="12"/>
      <c r="AK2960" s="37"/>
    </row>
    <row r="2961" spans="18:37">
      <c r="R2961" s="14"/>
      <c r="S2961" s="14"/>
      <c r="T2961" s="12"/>
      <c r="U2961" s="15"/>
      <c r="V2961" s="12"/>
      <c r="W2961" s="12"/>
      <c r="X2961" s="12"/>
      <c r="Y2961" s="12"/>
      <c r="AJ2961" s="12"/>
      <c r="AK2961" s="37"/>
    </row>
    <row r="2962" spans="18:37">
      <c r="R2962" s="14"/>
      <c r="S2962" s="14"/>
      <c r="T2962" s="12"/>
      <c r="U2962" s="15"/>
      <c r="V2962" s="12"/>
      <c r="W2962" s="12"/>
      <c r="X2962" s="12"/>
      <c r="Y2962" s="12"/>
      <c r="AJ2962" s="12"/>
      <c r="AK2962" s="37"/>
    </row>
    <row r="2963" spans="18:37">
      <c r="R2963" s="14"/>
      <c r="S2963" s="14"/>
      <c r="T2963" s="12"/>
      <c r="U2963" s="15"/>
      <c r="V2963" s="12"/>
      <c r="W2963" s="12"/>
      <c r="X2963" s="12"/>
      <c r="Y2963" s="12"/>
      <c r="AJ2963" s="12"/>
      <c r="AK2963" s="37"/>
    </row>
    <row r="2964" spans="18:37">
      <c r="R2964" s="14"/>
      <c r="S2964" s="14"/>
      <c r="T2964" s="12"/>
      <c r="U2964" s="15"/>
      <c r="V2964" s="12"/>
      <c r="W2964" s="12"/>
      <c r="X2964" s="12"/>
      <c r="Y2964" s="12"/>
      <c r="AJ2964" s="12"/>
      <c r="AK2964" s="37"/>
    </row>
    <row r="2965" spans="18:37">
      <c r="R2965" s="14"/>
      <c r="S2965" s="14"/>
      <c r="T2965" s="12"/>
      <c r="U2965" s="15"/>
      <c r="V2965" s="12"/>
      <c r="W2965" s="12"/>
      <c r="X2965" s="12"/>
      <c r="Y2965" s="12"/>
      <c r="AJ2965" s="12"/>
      <c r="AK2965" s="37"/>
    </row>
    <row r="2966" spans="18:37">
      <c r="R2966" s="14"/>
      <c r="S2966" s="14"/>
      <c r="T2966" s="12"/>
      <c r="U2966" s="15"/>
      <c r="V2966" s="12"/>
      <c r="W2966" s="12"/>
      <c r="X2966" s="12"/>
      <c r="Y2966" s="12"/>
      <c r="AJ2966" s="12"/>
      <c r="AK2966" s="37"/>
    </row>
    <row r="2967" spans="18:37">
      <c r="R2967" s="14"/>
      <c r="S2967" s="14"/>
      <c r="T2967" s="12"/>
      <c r="U2967" s="15"/>
      <c r="V2967" s="12"/>
      <c r="W2967" s="12"/>
      <c r="X2967" s="12"/>
      <c r="Y2967" s="12"/>
      <c r="AJ2967" s="12"/>
      <c r="AK2967" s="37"/>
    </row>
    <row r="2968" spans="18:37">
      <c r="R2968" s="14"/>
      <c r="S2968" s="14"/>
      <c r="T2968" s="12"/>
      <c r="U2968" s="15"/>
      <c r="V2968" s="12"/>
      <c r="W2968" s="12"/>
      <c r="X2968" s="12"/>
      <c r="Y2968" s="12"/>
      <c r="AJ2968" s="12"/>
      <c r="AK2968" s="37"/>
    </row>
    <row r="2969" spans="18:37">
      <c r="R2969" s="14"/>
      <c r="S2969" s="14"/>
      <c r="T2969" s="12"/>
      <c r="U2969" s="15"/>
      <c r="V2969" s="12"/>
      <c r="W2969" s="12"/>
      <c r="X2969" s="12"/>
      <c r="Y2969" s="12"/>
      <c r="AJ2969" s="12"/>
      <c r="AK2969" s="37"/>
    </row>
    <row r="2970" spans="18:37">
      <c r="R2970" s="14"/>
      <c r="S2970" s="14"/>
      <c r="T2970" s="12"/>
      <c r="U2970" s="15"/>
      <c r="V2970" s="12"/>
      <c r="W2970" s="12"/>
      <c r="X2970" s="12"/>
      <c r="Y2970" s="12"/>
      <c r="AJ2970" s="12"/>
      <c r="AK2970" s="37"/>
    </row>
    <row r="2971" spans="18:37">
      <c r="R2971" s="14"/>
      <c r="S2971" s="14"/>
      <c r="T2971" s="12"/>
      <c r="U2971" s="15"/>
      <c r="V2971" s="12"/>
      <c r="W2971" s="12"/>
      <c r="X2971" s="12"/>
      <c r="Y2971" s="12"/>
      <c r="AJ2971" s="12"/>
      <c r="AK2971" s="37"/>
    </row>
    <row r="2972" spans="18:37">
      <c r="R2972" s="14"/>
      <c r="S2972" s="14"/>
      <c r="T2972" s="12"/>
      <c r="U2972" s="15"/>
      <c r="V2972" s="12"/>
      <c r="W2972" s="12"/>
      <c r="X2972" s="12"/>
      <c r="Y2972" s="12"/>
      <c r="AJ2972" s="12"/>
      <c r="AK2972" s="37"/>
    </row>
    <row r="2973" spans="18:37">
      <c r="R2973" s="14"/>
      <c r="S2973" s="14"/>
      <c r="T2973" s="12"/>
      <c r="U2973" s="15"/>
      <c r="V2973" s="12"/>
      <c r="W2973" s="12"/>
      <c r="X2973" s="12"/>
      <c r="Y2973" s="12"/>
      <c r="AJ2973" s="12"/>
      <c r="AK2973" s="37"/>
    </row>
    <row r="2974" spans="18:37">
      <c r="R2974" s="14"/>
      <c r="S2974" s="14"/>
      <c r="T2974" s="12"/>
      <c r="U2974" s="15"/>
      <c r="V2974" s="12"/>
      <c r="W2974" s="12"/>
      <c r="X2974" s="12"/>
      <c r="Y2974" s="12"/>
      <c r="AJ2974" s="12"/>
      <c r="AK2974" s="37"/>
    </row>
    <row r="2975" spans="18:37">
      <c r="R2975" s="14"/>
      <c r="S2975" s="14"/>
      <c r="T2975" s="12"/>
      <c r="U2975" s="15"/>
      <c r="V2975" s="12"/>
      <c r="W2975" s="12"/>
      <c r="X2975" s="12"/>
      <c r="Y2975" s="12"/>
      <c r="AJ2975" s="12"/>
      <c r="AK2975" s="37"/>
    </row>
    <row r="2976" spans="18:37">
      <c r="R2976" s="14"/>
      <c r="S2976" s="14"/>
      <c r="T2976" s="12"/>
      <c r="U2976" s="15"/>
      <c r="V2976" s="12"/>
      <c r="W2976" s="12"/>
      <c r="X2976" s="12"/>
      <c r="Y2976" s="12"/>
      <c r="AJ2976" s="12"/>
      <c r="AK2976" s="37"/>
    </row>
    <row r="2977" spans="18:37">
      <c r="R2977" s="14"/>
      <c r="S2977" s="14"/>
      <c r="T2977" s="12"/>
      <c r="U2977" s="15"/>
      <c r="V2977" s="12"/>
      <c r="W2977" s="12"/>
      <c r="X2977" s="12"/>
      <c r="Y2977" s="12"/>
      <c r="AJ2977" s="12"/>
      <c r="AK2977" s="37"/>
    </row>
    <row r="2978" spans="18:37">
      <c r="R2978" s="14"/>
      <c r="S2978" s="14"/>
      <c r="T2978" s="12"/>
      <c r="U2978" s="15"/>
      <c r="V2978" s="12"/>
      <c r="W2978" s="12"/>
      <c r="X2978" s="12"/>
      <c r="Y2978" s="12"/>
      <c r="AJ2978" s="12"/>
      <c r="AK2978" s="37"/>
    </row>
    <row r="2979" spans="18:37">
      <c r="R2979" s="14"/>
      <c r="S2979" s="14"/>
      <c r="T2979" s="12"/>
      <c r="U2979" s="15"/>
      <c r="V2979" s="12"/>
      <c r="W2979" s="12"/>
      <c r="X2979" s="12"/>
      <c r="Y2979" s="12"/>
      <c r="AJ2979" s="12"/>
      <c r="AK2979" s="37"/>
    </row>
    <row r="2980" spans="18:37">
      <c r="R2980" s="14"/>
      <c r="S2980" s="14"/>
      <c r="T2980" s="12"/>
      <c r="U2980" s="15"/>
      <c r="V2980" s="12"/>
      <c r="W2980" s="12"/>
      <c r="X2980" s="12"/>
      <c r="Y2980" s="12"/>
      <c r="AJ2980" s="12"/>
      <c r="AK2980" s="37"/>
    </row>
    <row r="2981" spans="18:37">
      <c r="R2981" s="14"/>
      <c r="S2981" s="14"/>
      <c r="T2981" s="12"/>
      <c r="U2981" s="15"/>
      <c r="V2981" s="12"/>
      <c r="W2981" s="12"/>
      <c r="X2981" s="12"/>
      <c r="Y2981" s="12"/>
      <c r="AJ2981" s="12"/>
      <c r="AK2981" s="37"/>
    </row>
    <row r="2982" spans="18:37">
      <c r="R2982" s="14"/>
      <c r="S2982" s="14"/>
      <c r="T2982" s="12"/>
      <c r="U2982" s="15"/>
      <c r="V2982" s="12"/>
      <c r="W2982" s="12"/>
      <c r="X2982" s="12"/>
      <c r="Y2982" s="12"/>
      <c r="AJ2982" s="12"/>
      <c r="AK2982" s="37"/>
    </row>
    <row r="2983" spans="18:37">
      <c r="R2983" s="14"/>
      <c r="S2983" s="14"/>
      <c r="T2983" s="12"/>
      <c r="U2983" s="15"/>
      <c r="V2983" s="12"/>
      <c r="W2983" s="12"/>
      <c r="X2983" s="12"/>
      <c r="Y2983" s="12"/>
      <c r="AJ2983" s="12"/>
      <c r="AK2983" s="37"/>
    </row>
    <row r="2984" spans="18:37">
      <c r="R2984" s="14"/>
      <c r="S2984" s="14"/>
      <c r="T2984" s="12"/>
      <c r="U2984" s="15"/>
      <c r="V2984" s="12"/>
      <c r="W2984" s="12"/>
      <c r="X2984" s="12"/>
      <c r="Y2984" s="12"/>
      <c r="AJ2984" s="12"/>
      <c r="AK2984" s="37"/>
    </row>
    <row r="2985" spans="18:37">
      <c r="R2985" s="14"/>
      <c r="S2985" s="14"/>
      <c r="T2985" s="12"/>
      <c r="U2985" s="15"/>
      <c r="V2985" s="12"/>
      <c r="W2985" s="12"/>
      <c r="X2985" s="12"/>
      <c r="Y2985" s="12"/>
      <c r="AJ2985" s="12"/>
      <c r="AK2985" s="37"/>
    </row>
    <row r="2986" spans="18:37">
      <c r="R2986" s="14"/>
      <c r="S2986" s="14"/>
      <c r="T2986" s="12"/>
      <c r="U2986" s="15"/>
      <c r="V2986" s="12"/>
      <c r="W2986" s="12"/>
      <c r="X2986" s="12"/>
      <c r="Y2986" s="12"/>
      <c r="AJ2986" s="12"/>
      <c r="AK2986" s="37"/>
    </row>
    <row r="2987" spans="18:37">
      <c r="R2987" s="14"/>
      <c r="S2987" s="14"/>
      <c r="T2987" s="12"/>
      <c r="U2987" s="15"/>
      <c r="V2987" s="12"/>
      <c r="W2987" s="12"/>
      <c r="X2987" s="12"/>
      <c r="Y2987" s="12"/>
      <c r="AJ2987" s="12"/>
      <c r="AK2987" s="37"/>
    </row>
    <row r="2988" spans="18:37">
      <c r="R2988" s="14"/>
      <c r="S2988" s="14"/>
      <c r="T2988" s="12"/>
      <c r="U2988" s="15"/>
      <c r="V2988" s="12"/>
      <c r="W2988" s="12"/>
      <c r="X2988" s="12"/>
      <c r="Y2988" s="12"/>
      <c r="AJ2988" s="12"/>
      <c r="AK2988" s="37"/>
    </row>
    <row r="2989" spans="18:37">
      <c r="R2989" s="14"/>
      <c r="S2989" s="14"/>
      <c r="T2989" s="12"/>
      <c r="U2989" s="15"/>
      <c r="V2989" s="12"/>
      <c r="W2989" s="12"/>
      <c r="X2989" s="12"/>
      <c r="Y2989" s="12"/>
      <c r="AJ2989" s="12"/>
      <c r="AK2989" s="37"/>
    </row>
    <row r="2990" spans="18:37">
      <c r="R2990" s="14"/>
      <c r="S2990" s="14"/>
      <c r="T2990" s="12"/>
      <c r="U2990" s="15"/>
      <c r="V2990" s="12"/>
      <c r="W2990" s="12"/>
      <c r="X2990" s="12"/>
      <c r="Y2990" s="12"/>
      <c r="AJ2990" s="12"/>
      <c r="AK2990" s="37"/>
    </row>
    <row r="2991" spans="18:37">
      <c r="R2991" s="14"/>
      <c r="S2991" s="14"/>
      <c r="T2991" s="12"/>
      <c r="U2991" s="15"/>
      <c r="V2991" s="12"/>
      <c r="W2991" s="12"/>
      <c r="X2991" s="12"/>
      <c r="Y2991" s="12"/>
      <c r="AJ2991" s="12"/>
      <c r="AK2991" s="37"/>
    </row>
    <row r="2992" spans="18:37">
      <c r="R2992" s="14"/>
      <c r="S2992" s="14"/>
      <c r="T2992" s="12"/>
      <c r="U2992" s="15"/>
      <c r="V2992" s="12"/>
      <c r="W2992" s="12"/>
      <c r="X2992" s="12"/>
      <c r="Y2992" s="12"/>
      <c r="AJ2992" s="12"/>
      <c r="AK2992" s="37"/>
    </row>
    <row r="2993" spans="18:37">
      <c r="R2993" s="14"/>
      <c r="S2993" s="14"/>
      <c r="T2993" s="12"/>
      <c r="U2993" s="15"/>
      <c r="V2993" s="12"/>
      <c r="W2993" s="12"/>
      <c r="X2993" s="12"/>
      <c r="Y2993" s="12"/>
      <c r="AJ2993" s="12"/>
      <c r="AK2993" s="37"/>
    </row>
    <row r="2994" spans="18:37">
      <c r="R2994" s="14"/>
      <c r="S2994" s="14"/>
      <c r="T2994" s="12"/>
      <c r="U2994" s="15"/>
      <c r="V2994" s="12"/>
      <c r="W2994" s="12"/>
      <c r="X2994" s="12"/>
      <c r="Y2994" s="12"/>
      <c r="AJ2994" s="12"/>
      <c r="AK2994" s="37"/>
    </row>
    <row r="2995" spans="18:37">
      <c r="R2995" s="14"/>
      <c r="S2995" s="14"/>
      <c r="T2995" s="12"/>
      <c r="U2995" s="15"/>
      <c r="V2995" s="12"/>
      <c r="W2995" s="12"/>
      <c r="X2995" s="12"/>
      <c r="Y2995" s="12"/>
      <c r="AJ2995" s="12"/>
      <c r="AK2995" s="37"/>
    </row>
    <row r="2996" spans="18:37">
      <c r="R2996" s="14"/>
      <c r="S2996" s="14"/>
      <c r="T2996" s="12"/>
      <c r="U2996" s="15"/>
      <c r="V2996" s="12"/>
      <c r="W2996" s="12"/>
      <c r="X2996" s="12"/>
      <c r="Y2996" s="12"/>
      <c r="AJ2996" s="12"/>
      <c r="AK2996" s="37"/>
    </row>
    <row r="2997" spans="18:37">
      <c r="R2997" s="14"/>
      <c r="S2997" s="14"/>
      <c r="T2997" s="12"/>
      <c r="U2997" s="15"/>
      <c r="V2997" s="12"/>
      <c r="W2997" s="12"/>
      <c r="X2997" s="12"/>
      <c r="Y2997" s="12"/>
      <c r="AJ2997" s="12"/>
      <c r="AK2997" s="37"/>
    </row>
    <row r="2998" spans="18:37">
      <c r="R2998" s="14"/>
      <c r="S2998" s="14"/>
      <c r="T2998" s="12"/>
      <c r="U2998" s="15"/>
      <c r="V2998" s="12"/>
      <c r="W2998" s="12"/>
      <c r="X2998" s="12"/>
      <c r="Y2998" s="12"/>
      <c r="AJ2998" s="12"/>
      <c r="AK2998" s="37"/>
    </row>
    <row r="2999" spans="18:37">
      <c r="R2999" s="14"/>
      <c r="S2999" s="14"/>
      <c r="T2999" s="12"/>
      <c r="U2999" s="15"/>
      <c r="V2999" s="12"/>
      <c r="W2999" s="12"/>
      <c r="X2999" s="12"/>
      <c r="Y2999" s="12"/>
      <c r="AJ2999" s="12"/>
      <c r="AK2999" s="37"/>
    </row>
    <row r="3000" spans="18:37">
      <c r="R3000" s="14"/>
      <c r="S3000" s="14"/>
      <c r="T3000" s="12"/>
      <c r="U3000" s="15"/>
      <c r="V3000" s="12"/>
      <c r="W3000" s="12"/>
      <c r="X3000" s="12"/>
      <c r="Y3000" s="12"/>
      <c r="AJ3000" s="12"/>
      <c r="AK3000" s="37"/>
    </row>
    <row r="3001" spans="18:37">
      <c r="R3001" s="14"/>
      <c r="S3001" s="14"/>
      <c r="T3001" s="12"/>
      <c r="U3001" s="15"/>
      <c r="V3001" s="12"/>
      <c r="W3001" s="12"/>
      <c r="X3001" s="12"/>
      <c r="Y3001" s="12"/>
      <c r="AJ3001" s="12"/>
      <c r="AK3001" s="37"/>
    </row>
    <row r="3002" spans="18:37">
      <c r="R3002" s="14"/>
      <c r="S3002" s="14"/>
      <c r="T3002" s="12"/>
      <c r="U3002" s="15"/>
      <c r="V3002" s="12"/>
      <c r="W3002" s="12"/>
      <c r="X3002" s="12"/>
      <c r="Y3002" s="12"/>
      <c r="AJ3002" s="12"/>
      <c r="AK3002" s="37"/>
    </row>
    <row r="3003" spans="18:37">
      <c r="R3003" s="14"/>
      <c r="S3003" s="14"/>
      <c r="T3003" s="12"/>
      <c r="U3003" s="15"/>
      <c r="V3003" s="12"/>
      <c r="W3003" s="12"/>
      <c r="X3003" s="12"/>
      <c r="Y3003" s="12"/>
      <c r="AJ3003" s="12"/>
      <c r="AK3003" s="37"/>
    </row>
    <row r="3004" spans="18:37">
      <c r="R3004" s="14"/>
      <c r="S3004" s="14"/>
      <c r="T3004" s="12"/>
      <c r="U3004" s="15"/>
      <c r="V3004" s="12"/>
      <c r="W3004" s="12"/>
      <c r="X3004" s="12"/>
      <c r="Y3004" s="12"/>
      <c r="AJ3004" s="12"/>
      <c r="AK3004" s="37"/>
    </row>
    <row r="3005" spans="18:37">
      <c r="R3005" s="14"/>
      <c r="S3005" s="14"/>
      <c r="T3005" s="12"/>
      <c r="U3005" s="15"/>
      <c r="V3005" s="12"/>
      <c r="W3005" s="12"/>
      <c r="X3005" s="12"/>
      <c r="Y3005" s="12"/>
      <c r="AJ3005" s="12"/>
      <c r="AK3005" s="37"/>
    </row>
    <row r="3006" spans="18:37">
      <c r="R3006" s="14"/>
      <c r="S3006" s="14"/>
      <c r="T3006" s="12"/>
      <c r="U3006" s="15"/>
      <c r="V3006" s="12"/>
      <c r="W3006" s="12"/>
      <c r="X3006" s="12"/>
      <c r="Y3006" s="12"/>
      <c r="AJ3006" s="12"/>
      <c r="AK3006" s="37"/>
    </row>
    <row r="3007" spans="18:37">
      <c r="R3007" s="14"/>
      <c r="S3007" s="14"/>
      <c r="T3007" s="12"/>
      <c r="U3007" s="15"/>
      <c r="V3007" s="12"/>
      <c r="W3007" s="12"/>
      <c r="X3007" s="12"/>
      <c r="Y3007" s="12"/>
      <c r="AJ3007" s="12"/>
      <c r="AK3007" s="37"/>
    </row>
    <row r="3008" spans="18:37">
      <c r="R3008" s="14"/>
      <c r="S3008" s="14"/>
      <c r="T3008" s="12"/>
      <c r="U3008" s="15"/>
      <c r="V3008" s="12"/>
      <c r="W3008" s="12"/>
      <c r="X3008" s="12"/>
      <c r="Y3008" s="12"/>
      <c r="AJ3008" s="12"/>
      <c r="AK3008" s="37"/>
    </row>
    <row r="3009" spans="18:37">
      <c r="R3009" s="14"/>
      <c r="S3009" s="14"/>
      <c r="T3009" s="12"/>
      <c r="U3009" s="15"/>
      <c r="V3009" s="12"/>
      <c r="W3009" s="12"/>
      <c r="X3009" s="12"/>
      <c r="Y3009" s="12"/>
      <c r="AJ3009" s="12"/>
      <c r="AK3009" s="37"/>
    </row>
    <row r="3010" spans="18:37">
      <c r="R3010" s="14"/>
      <c r="S3010" s="14"/>
      <c r="T3010" s="12"/>
      <c r="U3010" s="15"/>
      <c r="V3010" s="12"/>
      <c r="W3010" s="12"/>
      <c r="X3010" s="12"/>
      <c r="Y3010" s="12"/>
      <c r="AJ3010" s="12"/>
      <c r="AK3010" s="37"/>
    </row>
    <row r="3011" spans="18:37">
      <c r="R3011" s="14"/>
      <c r="S3011" s="14"/>
      <c r="T3011" s="12"/>
      <c r="U3011" s="15"/>
      <c r="V3011" s="12"/>
      <c r="W3011" s="12"/>
      <c r="X3011" s="12"/>
      <c r="Y3011" s="12"/>
      <c r="AJ3011" s="12"/>
      <c r="AK3011" s="37"/>
    </row>
    <row r="3012" spans="18:37">
      <c r="R3012" s="14"/>
      <c r="S3012" s="14"/>
      <c r="T3012" s="12"/>
      <c r="U3012" s="15"/>
      <c r="V3012" s="12"/>
      <c r="W3012" s="12"/>
      <c r="X3012" s="12"/>
      <c r="Y3012" s="12"/>
      <c r="AJ3012" s="12"/>
      <c r="AK3012" s="37"/>
    </row>
    <row r="3013" spans="18:37">
      <c r="R3013" s="14"/>
      <c r="S3013" s="14"/>
      <c r="T3013" s="12"/>
      <c r="U3013" s="15"/>
      <c r="V3013" s="12"/>
      <c r="W3013" s="12"/>
      <c r="X3013" s="12"/>
      <c r="Y3013" s="12"/>
      <c r="AJ3013" s="12"/>
      <c r="AK3013" s="37"/>
    </row>
    <row r="3014" spans="18:37">
      <c r="R3014" s="14"/>
      <c r="S3014" s="14"/>
      <c r="T3014" s="12"/>
      <c r="U3014" s="15"/>
      <c r="V3014" s="12"/>
      <c r="W3014" s="12"/>
      <c r="X3014" s="12"/>
      <c r="Y3014" s="12"/>
      <c r="AJ3014" s="12"/>
      <c r="AK3014" s="37"/>
    </row>
    <row r="3015" spans="18:37">
      <c r="R3015" s="14"/>
      <c r="S3015" s="14"/>
      <c r="T3015" s="12"/>
      <c r="U3015" s="15"/>
      <c r="V3015" s="12"/>
      <c r="W3015" s="12"/>
      <c r="X3015" s="12"/>
      <c r="Y3015" s="12"/>
      <c r="AJ3015" s="12"/>
      <c r="AK3015" s="37"/>
    </row>
    <row r="3016" spans="18:37">
      <c r="R3016" s="14"/>
      <c r="S3016" s="14"/>
      <c r="T3016" s="12"/>
      <c r="U3016" s="15"/>
      <c r="V3016" s="12"/>
      <c r="W3016" s="12"/>
      <c r="X3016" s="12"/>
      <c r="Y3016" s="12"/>
      <c r="AJ3016" s="12"/>
      <c r="AK3016" s="37"/>
    </row>
    <row r="3017" spans="18:37">
      <c r="R3017" s="14"/>
      <c r="S3017" s="14"/>
      <c r="T3017" s="12"/>
      <c r="U3017" s="15"/>
      <c r="V3017" s="12"/>
      <c r="W3017" s="12"/>
      <c r="X3017" s="12"/>
      <c r="Y3017" s="12"/>
      <c r="AJ3017" s="12"/>
      <c r="AK3017" s="37"/>
    </row>
    <row r="3018" spans="18:37">
      <c r="R3018" s="14"/>
      <c r="S3018" s="14"/>
      <c r="T3018" s="12"/>
      <c r="U3018" s="15"/>
      <c r="V3018" s="12"/>
      <c r="W3018" s="12"/>
      <c r="X3018" s="12"/>
      <c r="Y3018" s="12"/>
      <c r="AJ3018" s="12"/>
      <c r="AK3018" s="37"/>
    </row>
    <row r="3019" spans="18:37">
      <c r="R3019" s="14"/>
      <c r="S3019" s="14"/>
      <c r="T3019" s="12"/>
      <c r="U3019" s="15"/>
      <c r="V3019" s="12"/>
      <c r="W3019" s="12"/>
      <c r="X3019" s="12"/>
      <c r="Y3019" s="12"/>
      <c r="AJ3019" s="12"/>
      <c r="AK3019" s="37"/>
    </row>
    <row r="3020" spans="18:37">
      <c r="R3020" s="14"/>
      <c r="S3020" s="14"/>
      <c r="T3020" s="12"/>
      <c r="U3020" s="15"/>
      <c r="V3020" s="12"/>
      <c r="W3020" s="12"/>
      <c r="X3020" s="12"/>
      <c r="Y3020" s="12"/>
      <c r="AJ3020" s="12"/>
      <c r="AK3020" s="37"/>
    </row>
    <row r="3021" spans="18:37">
      <c r="R3021" s="14"/>
      <c r="S3021" s="14"/>
      <c r="T3021" s="12"/>
      <c r="U3021" s="15"/>
      <c r="V3021" s="12"/>
      <c r="W3021" s="12"/>
      <c r="X3021" s="12"/>
      <c r="Y3021" s="12"/>
      <c r="AJ3021" s="12"/>
      <c r="AK3021" s="37"/>
    </row>
    <row r="3022" spans="18:37">
      <c r="R3022" s="14"/>
      <c r="S3022" s="14"/>
      <c r="T3022" s="12"/>
      <c r="U3022" s="15"/>
      <c r="V3022" s="12"/>
      <c r="W3022" s="12"/>
      <c r="X3022" s="12"/>
      <c r="Y3022" s="12"/>
      <c r="AJ3022" s="12"/>
      <c r="AK3022" s="37"/>
    </row>
    <row r="3023" spans="18:37">
      <c r="R3023" s="14"/>
      <c r="S3023" s="14"/>
      <c r="T3023" s="12"/>
      <c r="U3023" s="15"/>
      <c r="V3023" s="12"/>
      <c r="W3023" s="12"/>
      <c r="X3023" s="12"/>
      <c r="Y3023" s="12"/>
      <c r="AJ3023" s="12"/>
      <c r="AK3023" s="37"/>
    </row>
    <row r="3024" spans="18:37">
      <c r="R3024" s="14"/>
      <c r="S3024" s="14"/>
      <c r="T3024" s="12"/>
      <c r="U3024" s="15"/>
      <c r="V3024" s="12"/>
      <c r="W3024" s="12"/>
      <c r="X3024" s="12"/>
      <c r="Y3024" s="12"/>
      <c r="AJ3024" s="12"/>
      <c r="AK3024" s="37"/>
    </row>
    <row r="3025" spans="18:37">
      <c r="R3025" s="14"/>
      <c r="S3025" s="14"/>
      <c r="T3025" s="12"/>
      <c r="U3025" s="15"/>
      <c r="V3025" s="12"/>
      <c r="W3025" s="12"/>
      <c r="X3025" s="12"/>
      <c r="Y3025" s="12"/>
      <c r="AJ3025" s="12"/>
      <c r="AK3025" s="37"/>
    </row>
    <row r="3026" spans="18:37">
      <c r="R3026" s="14"/>
      <c r="S3026" s="14"/>
      <c r="T3026" s="12"/>
      <c r="U3026" s="15"/>
      <c r="V3026" s="12"/>
      <c r="W3026" s="12"/>
      <c r="X3026" s="12"/>
      <c r="Y3026" s="12"/>
      <c r="AJ3026" s="12"/>
      <c r="AK3026" s="37"/>
    </row>
    <row r="3027" spans="18:37">
      <c r="R3027" s="14"/>
      <c r="S3027" s="14"/>
      <c r="T3027" s="12"/>
      <c r="U3027" s="15"/>
      <c r="V3027" s="12"/>
      <c r="W3027" s="12"/>
      <c r="X3027" s="12"/>
      <c r="Y3027" s="12"/>
      <c r="AJ3027" s="12"/>
      <c r="AK3027" s="37"/>
    </row>
    <row r="3028" spans="18:37">
      <c r="R3028" s="14"/>
      <c r="S3028" s="14"/>
      <c r="T3028" s="12"/>
      <c r="U3028" s="15"/>
      <c r="V3028" s="12"/>
      <c r="W3028" s="12"/>
      <c r="X3028" s="12"/>
      <c r="Y3028" s="12"/>
      <c r="AJ3028" s="12"/>
      <c r="AK3028" s="37"/>
    </row>
    <row r="3029" spans="18:37">
      <c r="R3029" s="14"/>
      <c r="S3029" s="14"/>
      <c r="T3029" s="12"/>
      <c r="U3029" s="15"/>
      <c r="V3029" s="12"/>
      <c r="W3029" s="12"/>
      <c r="X3029" s="12"/>
      <c r="Y3029" s="12"/>
      <c r="AJ3029" s="12"/>
      <c r="AK3029" s="37"/>
    </row>
    <row r="3030" spans="18:37">
      <c r="R3030" s="14"/>
      <c r="S3030" s="14"/>
      <c r="T3030" s="12"/>
      <c r="U3030" s="15"/>
      <c r="V3030" s="12"/>
      <c r="W3030" s="12"/>
      <c r="X3030" s="12"/>
      <c r="Y3030" s="12"/>
      <c r="AJ3030" s="12"/>
      <c r="AK3030" s="37"/>
    </row>
    <row r="3031" spans="18:37">
      <c r="R3031" s="14"/>
      <c r="S3031" s="14"/>
      <c r="T3031" s="12"/>
      <c r="U3031" s="15"/>
      <c r="V3031" s="12"/>
      <c r="W3031" s="12"/>
      <c r="X3031" s="12"/>
      <c r="Y3031" s="12"/>
      <c r="AJ3031" s="12"/>
      <c r="AK3031" s="37"/>
    </row>
    <row r="3032" spans="18:37">
      <c r="R3032" s="14"/>
      <c r="S3032" s="14"/>
      <c r="T3032" s="12"/>
      <c r="U3032" s="15"/>
      <c r="V3032" s="12"/>
      <c r="W3032" s="12"/>
      <c r="X3032" s="12"/>
      <c r="Y3032" s="12"/>
      <c r="AJ3032" s="12"/>
      <c r="AK3032" s="37"/>
    </row>
    <row r="3033" spans="18:37">
      <c r="R3033" s="14"/>
      <c r="S3033" s="14"/>
      <c r="T3033" s="12"/>
      <c r="U3033" s="15"/>
      <c r="V3033" s="12"/>
      <c r="W3033" s="12"/>
      <c r="X3033" s="12"/>
      <c r="Y3033" s="12"/>
      <c r="AJ3033" s="12"/>
      <c r="AK3033" s="37"/>
    </row>
    <row r="3034" spans="18:37">
      <c r="R3034" s="14"/>
      <c r="S3034" s="14"/>
      <c r="T3034" s="12"/>
      <c r="U3034" s="15"/>
      <c r="V3034" s="12"/>
      <c r="W3034" s="12"/>
      <c r="X3034" s="12"/>
      <c r="Y3034" s="12"/>
      <c r="AJ3034" s="12"/>
      <c r="AK3034" s="37"/>
    </row>
    <row r="3035" spans="18:37">
      <c r="R3035" s="14"/>
      <c r="S3035" s="14"/>
      <c r="T3035" s="12"/>
      <c r="U3035" s="15"/>
      <c r="V3035" s="12"/>
      <c r="W3035" s="12"/>
      <c r="X3035" s="12"/>
      <c r="Y3035" s="12"/>
      <c r="AJ3035" s="12"/>
      <c r="AK3035" s="37"/>
    </row>
    <row r="3036" spans="18:37">
      <c r="R3036" s="14"/>
      <c r="S3036" s="14"/>
      <c r="T3036" s="12"/>
      <c r="U3036" s="15"/>
      <c r="V3036" s="12"/>
      <c r="W3036" s="12"/>
      <c r="X3036" s="12"/>
      <c r="Y3036" s="12"/>
      <c r="AJ3036" s="12"/>
      <c r="AK3036" s="37"/>
    </row>
    <row r="3037" spans="18:37">
      <c r="R3037" s="14"/>
      <c r="S3037" s="14"/>
      <c r="T3037" s="12"/>
      <c r="U3037" s="15"/>
      <c r="V3037" s="12"/>
      <c r="W3037" s="12"/>
      <c r="X3037" s="12"/>
      <c r="Y3037" s="12"/>
      <c r="AJ3037" s="12"/>
      <c r="AK3037" s="37"/>
    </row>
    <row r="3038" spans="18:37">
      <c r="R3038" s="14"/>
      <c r="S3038" s="14"/>
      <c r="T3038" s="12"/>
      <c r="U3038" s="15"/>
      <c r="V3038" s="12"/>
      <c r="W3038" s="12"/>
      <c r="X3038" s="12"/>
      <c r="Y3038" s="12"/>
      <c r="AJ3038" s="12"/>
      <c r="AK3038" s="37"/>
    </row>
    <row r="3039" spans="18:37">
      <c r="R3039" s="14"/>
      <c r="S3039" s="14"/>
      <c r="T3039" s="12"/>
      <c r="U3039" s="15"/>
      <c r="V3039" s="12"/>
      <c r="W3039" s="12"/>
      <c r="X3039" s="12"/>
      <c r="Y3039" s="12"/>
      <c r="AJ3039" s="12"/>
      <c r="AK3039" s="37"/>
    </row>
    <row r="3040" spans="18:37">
      <c r="R3040" s="14"/>
      <c r="S3040" s="14"/>
      <c r="T3040" s="12"/>
      <c r="U3040" s="15"/>
      <c r="V3040" s="12"/>
      <c r="W3040" s="12"/>
      <c r="X3040" s="12"/>
      <c r="Y3040" s="12"/>
      <c r="AJ3040" s="12"/>
      <c r="AK3040" s="37"/>
    </row>
    <row r="3041" spans="18:37">
      <c r="R3041" s="14"/>
      <c r="S3041" s="14"/>
      <c r="T3041" s="12"/>
      <c r="U3041" s="15"/>
      <c r="V3041" s="12"/>
      <c r="W3041" s="12"/>
      <c r="X3041" s="12"/>
      <c r="Y3041" s="12"/>
      <c r="AJ3041" s="12"/>
      <c r="AK3041" s="37"/>
    </row>
    <row r="3042" spans="18:37">
      <c r="R3042" s="14"/>
      <c r="S3042" s="14"/>
      <c r="T3042" s="12"/>
      <c r="U3042" s="15"/>
      <c r="V3042" s="12"/>
      <c r="W3042" s="12"/>
      <c r="X3042" s="12"/>
      <c r="Y3042" s="12"/>
      <c r="AJ3042" s="12"/>
      <c r="AK3042" s="37"/>
    </row>
    <row r="3043" spans="18:37">
      <c r="R3043" s="14"/>
      <c r="S3043" s="14"/>
      <c r="T3043" s="12"/>
      <c r="U3043" s="15"/>
      <c r="V3043" s="12"/>
      <c r="W3043" s="12"/>
      <c r="X3043" s="12"/>
      <c r="Y3043" s="12"/>
      <c r="AJ3043" s="12"/>
      <c r="AK3043" s="37"/>
    </row>
    <row r="3044" spans="18:37">
      <c r="R3044" s="14"/>
      <c r="S3044" s="14"/>
      <c r="T3044" s="12"/>
      <c r="U3044" s="15"/>
      <c r="V3044" s="12"/>
      <c r="W3044" s="12"/>
      <c r="X3044" s="12"/>
      <c r="Y3044" s="12"/>
      <c r="AJ3044" s="12"/>
      <c r="AK3044" s="37"/>
    </row>
    <row r="3045" spans="18:37">
      <c r="R3045" s="14"/>
      <c r="S3045" s="14"/>
      <c r="T3045" s="12"/>
      <c r="U3045" s="15"/>
      <c r="V3045" s="12"/>
      <c r="W3045" s="12"/>
      <c r="X3045" s="12"/>
      <c r="Y3045" s="12"/>
      <c r="AJ3045" s="12"/>
      <c r="AK3045" s="37"/>
    </row>
    <row r="3046" spans="18:37">
      <c r="R3046" s="14"/>
      <c r="S3046" s="14"/>
      <c r="T3046" s="12"/>
      <c r="U3046" s="15"/>
      <c r="V3046" s="12"/>
      <c r="W3046" s="12"/>
      <c r="X3046" s="12"/>
      <c r="Y3046" s="12"/>
      <c r="AJ3046" s="12"/>
      <c r="AK3046" s="37"/>
    </row>
    <row r="3047" spans="18:37">
      <c r="R3047" s="14"/>
      <c r="S3047" s="14"/>
      <c r="T3047" s="12"/>
      <c r="U3047" s="15"/>
      <c r="V3047" s="12"/>
      <c r="W3047" s="12"/>
      <c r="X3047" s="12"/>
      <c r="Y3047" s="12"/>
      <c r="AJ3047" s="12"/>
      <c r="AK3047" s="37"/>
    </row>
    <row r="3048" spans="18:37">
      <c r="R3048" s="14"/>
      <c r="S3048" s="14"/>
      <c r="T3048" s="12"/>
      <c r="U3048" s="15"/>
      <c r="V3048" s="12"/>
      <c r="W3048" s="12"/>
      <c r="X3048" s="12"/>
      <c r="Y3048" s="12"/>
      <c r="AJ3048" s="12"/>
      <c r="AK3048" s="37"/>
    </row>
    <row r="3049" spans="18:37">
      <c r="R3049" s="14"/>
      <c r="S3049" s="14"/>
      <c r="T3049" s="12"/>
      <c r="U3049" s="15"/>
      <c r="V3049" s="12"/>
      <c r="W3049" s="12"/>
      <c r="X3049" s="12"/>
      <c r="Y3049" s="12"/>
      <c r="AJ3049" s="12"/>
      <c r="AK3049" s="37"/>
    </row>
    <row r="3050" spans="18:37">
      <c r="R3050" s="14"/>
      <c r="S3050" s="14"/>
      <c r="T3050" s="12"/>
      <c r="U3050" s="15"/>
      <c r="V3050" s="12"/>
      <c r="W3050" s="12"/>
      <c r="X3050" s="12"/>
      <c r="Y3050" s="12"/>
      <c r="AJ3050" s="12"/>
      <c r="AK3050" s="37"/>
    </row>
    <row r="3051" spans="18:37">
      <c r="R3051" s="14"/>
      <c r="S3051" s="14"/>
      <c r="T3051" s="12"/>
      <c r="U3051" s="15"/>
      <c r="V3051" s="12"/>
      <c r="W3051" s="12"/>
      <c r="X3051" s="12"/>
      <c r="Y3051" s="12"/>
      <c r="AJ3051" s="12"/>
      <c r="AK3051" s="37"/>
    </row>
    <row r="3052" spans="18:37">
      <c r="R3052" s="14"/>
      <c r="S3052" s="14"/>
      <c r="T3052" s="12"/>
      <c r="U3052" s="15"/>
      <c r="V3052" s="12"/>
      <c r="W3052" s="12"/>
      <c r="X3052" s="12"/>
      <c r="Y3052" s="12"/>
      <c r="AJ3052" s="12"/>
      <c r="AK3052" s="37"/>
    </row>
    <row r="3053" spans="18:37">
      <c r="R3053" s="14"/>
      <c r="S3053" s="14"/>
      <c r="T3053" s="12"/>
      <c r="U3053" s="15"/>
      <c r="V3053" s="12"/>
      <c r="W3053" s="12"/>
      <c r="X3053" s="12"/>
      <c r="Y3053" s="12"/>
      <c r="AJ3053" s="12"/>
      <c r="AK3053" s="37"/>
    </row>
    <row r="3054" spans="18:37">
      <c r="R3054" s="14"/>
      <c r="S3054" s="14"/>
      <c r="T3054" s="12"/>
      <c r="U3054" s="15"/>
      <c r="V3054" s="12"/>
      <c r="W3054" s="12"/>
      <c r="X3054" s="12"/>
      <c r="Y3054" s="12"/>
      <c r="AJ3054" s="12"/>
      <c r="AK3054" s="37"/>
    </row>
    <row r="3055" spans="18:37">
      <c r="R3055" s="14"/>
      <c r="S3055" s="14"/>
      <c r="T3055" s="12"/>
      <c r="U3055" s="15"/>
      <c r="V3055" s="12"/>
      <c r="W3055" s="12"/>
      <c r="X3055" s="12"/>
      <c r="Y3055" s="12"/>
      <c r="AJ3055" s="12"/>
      <c r="AK3055" s="37"/>
    </row>
    <row r="3056" spans="18:37">
      <c r="R3056" s="14"/>
      <c r="S3056" s="14"/>
      <c r="T3056" s="12"/>
      <c r="U3056" s="15"/>
      <c r="V3056" s="12"/>
      <c r="W3056" s="12"/>
      <c r="X3056" s="12"/>
      <c r="Y3056" s="12"/>
      <c r="AJ3056" s="12"/>
      <c r="AK3056" s="37"/>
    </row>
    <row r="3057" spans="18:37">
      <c r="R3057" s="14"/>
      <c r="S3057" s="14"/>
      <c r="T3057" s="12"/>
      <c r="U3057" s="15"/>
      <c r="V3057" s="12"/>
      <c r="W3057" s="12"/>
      <c r="X3057" s="12"/>
      <c r="Y3057" s="12"/>
      <c r="AJ3057" s="12"/>
      <c r="AK3057" s="37"/>
    </row>
    <row r="3058" spans="18:37">
      <c r="R3058" s="14"/>
      <c r="S3058" s="14"/>
      <c r="T3058" s="12"/>
      <c r="U3058" s="15"/>
      <c r="V3058" s="12"/>
      <c r="W3058" s="12"/>
      <c r="X3058" s="12"/>
      <c r="Y3058" s="12"/>
      <c r="AJ3058" s="12"/>
      <c r="AK3058" s="37"/>
    </row>
    <row r="3059" spans="18:37">
      <c r="R3059" s="14"/>
      <c r="S3059" s="14"/>
      <c r="T3059" s="12"/>
      <c r="U3059" s="15"/>
      <c r="V3059" s="12"/>
      <c r="W3059" s="12"/>
      <c r="X3059" s="12"/>
      <c r="Y3059" s="12"/>
      <c r="AJ3059" s="12"/>
      <c r="AK3059" s="37"/>
    </row>
    <row r="3060" spans="18:37">
      <c r="R3060" s="14"/>
      <c r="S3060" s="14"/>
      <c r="T3060" s="12"/>
      <c r="U3060" s="15"/>
      <c r="V3060" s="12"/>
      <c r="W3060" s="12"/>
      <c r="X3060" s="12"/>
      <c r="Y3060" s="12"/>
      <c r="AJ3060" s="12"/>
      <c r="AK3060" s="37"/>
    </row>
    <row r="3061" spans="18:37">
      <c r="R3061" s="14"/>
      <c r="S3061" s="14"/>
      <c r="T3061" s="12"/>
      <c r="U3061" s="15"/>
      <c r="V3061" s="12"/>
      <c r="W3061" s="12"/>
      <c r="X3061" s="12"/>
      <c r="Y3061" s="12"/>
      <c r="AJ3061" s="12"/>
      <c r="AK3061" s="37"/>
    </row>
    <row r="3062" spans="18:37">
      <c r="R3062" s="14"/>
      <c r="S3062" s="14"/>
      <c r="T3062" s="12"/>
      <c r="U3062" s="15"/>
      <c r="V3062" s="12"/>
      <c r="W3062" s="12"/>
      <c r="X3062" s="12"/>
      <c r="Y3062" s="12"/>
      <c r="AJ3062" s="12"/>
      <c r="AK3062" s="37"/>
    </row>
    <row r="3063" spans="18:37">
      <c r="R3063" s="14"/>
      <c r="S3063" s="14"/>
      <c r="T3063" s="12"/>
      <c r="U3063" s="15"/>
      <c r="V3063" s="12"/>
      <c r="W3063" s="12"/>
      <c r="X3063" s="12"/>
      <c r="Y3063" s="12"/>
      <c r="AJ3063" s="12"/>
      <c r="AK3063" s="37"/>
    </row>
    <row r="3064" spans="18:37">
      <c r="R3064" s="14"/>
      <c r="S3064" s="14"/>
      <c r="T3064" s="12"/>
      <c r="U3064" s="15"/>
      <c r="V3064" s="12"/>
      <c r="W3064" s="12"/>
      <c r="X3064" s="12"/>
      <c r="Y3064" s="12"/>
      <c r="AJ3064" s="12"/>
      <c r="AK3064" s="37"/>
    </row>
    <row r="3065" spans="18:37">
      <c r="R3065" s="14"/>
      <c r="S3065" s="14"/>
      <c r="T3065" s="12"/>
      <c r="U3065" s="15"/>
      <c r="V3065" s="12"/>
      <c r="W3065" s="12"/>
      <c r="X3065" s="12"/>
      <c r="Y3065" s="12"/>
      <c r="AJ3065" s="12"/>
      <c r="AK3065" s="37"/>
    </row>
    <row r="3066" spans="18:37">
      <c r="R3066" s="14"/>
      <c r="S3066" s="14"/>
      <c r="T3066" s="12"/>
      <c r="U3066" s="15"/>
      <c r="V3066" s="12"/>
      <c r="W3066" s="12"/>
      <c r="X3066" s="12"/>
      <c r="Y3066" s="12"/>
      <c r="AJ3066" s="12"/>
      <c r="AK3066" s="37"/>
    </row>
    <row r="3067" spans="18:37">
      <c r="R3067" s="14"/>
      <c r="S3067" s="14"/>
      <c r="T3067" s="12"/>
      <c r="U3067" s="15"/>
      <c r="V3067" s="12"/>
      <c r="W3067" s="12"/>
      <c r="X3067" s="12"/>
      <c r="Y3067" s="12"/>
      <c r="AJ3067" s="12"/>
      <c r="AK3067" s="37"/>
    </row>
    <row r="3068" spans="18:37">
      <c r="R3068" s="14"/>
      <c r="S3068" s="14"/>
      <c r="T3068" s="12"/>
      <c r="U3068" s="15"/>
      <c r="V3068" s="12"/>
      <c r="W3068" s="12"/>
      <c r="X3068" s="12"/>
      <c r="Y3068" s="12"/>
      <c r="AJ3068" s="12"/>
      <c r="AK3068" s="37"/>
    </row>
    <row r="3069" spans="18:37">
      <c r="R3069" s="14"/>
      <c r="S3069" s="14"/>
      <c r="T3069" s="12"/>
      <c r="U3069" s="15"/>
      <c r="V3069" s="12"/>
      <c r="W3069" s="12"/>
      <c r="X3069" s="12"/>
      <c r="Y3069" s="12"/>
      <c r="AJ3069" s="12"/>
      <c r="AK3069" s="37"/>
    </row>
    <row r="3070" spans="18:37">
      <c r="R3070" s="14"/>
      <c r="S3070" s="14"/>
      <c r="T3070" s="12"/>
      <c r="U3070" s="15"/>
      <c r="V3070" s="12"/>
      <c r="W3070" s="12"/>
      <c r="X3070" s="12"/>
      <c r="Y3070" s="12"/>
      <c r="AJ3070" s="12"/>
      <c r="AK3070" s="37"/>
    </row>
    <row r="3071" spans="18:37">
      <c r="R3071" s="14"/>
      <c r="S3071" s="14"/>
      <c r="T3071" s="12"/>
      <c r="U3071" s="15"/>
      <c r="V3071" s="12"/>
      <c r="W3071" s="12"/>
      <c r="X3071" s="12"/>
      <c r="Y3071" s="12"/>
      <c r="AJ3071" s="12"/>
      <c r="AK3071" s="37"/>
    </row>
    <row r="3072" spans="18:37">
      <c r="R3072" s="14"/>
      <c r="S3072" s="14"/>
      <c r="T3072" s="12"/>
      <c r="U3072" s="15"/>
      <c r="V3072" s="12"/>
      <c r="W3072" s="12"/>
      <c r="X3072" s="12"/>
      <c r="Y3072" s="12"/>
      <c r="AJ3072" s="12"/>
      <c r="AK3072" s="37"/>
    </row>
    <row r="3073" spans="18:37">
      <c r="R3073" s="14"/>
      <c r="S3073" s="14"/>
      <c r="T3073" s="12"/>
      <c r="U3073" s="15"/>
      <c r="V3073" s="12"/>
      <c r="W3073" s="12"/>
      <c r="X3073" s="12"/>
      <c r="Y3073" s="12"/>
      <c r="AJ3073" s="12"/>
      <c r="AK3073" s="37"/>
    </row>
    <row r="3074" spans="18:37">
      <c r="R3074" s="14"/>
      <c r="S3074" s="14"/>
      <c r="T3074" s="12"/>
      <c r="U3074" s="15"/>
      <c r="V3074" s="12"/>
      <c r="W3074" s="12"/>
      <c r="X3074" s="12"/>
      <c r="Y3074" s="12"/>
      <c r="AJ3074" s="12"/>
      <c r="AK3074" s="37"/>
    </row>
    <row r="3075" spans="18:37">
      <c r="R3075" s="14"/>
      <c r="S3075" s="14"/>
      <c r="T3075" s="12"/>
      <c r="U3075" s="15"/>
      <c r="V3075" s="12"/>
      <c r="W3075" s="12"/>
      <c r="X3075" s="12"/>
      <c r="Y3075" s="12"/>
      <c r="AJ3075" s="12"/>
      <c r="AK3075" s="37"/>
    </row>
    <row r="3076" spans="18:37">
      <c r="R3076" s="14"/>
      <c r="S3076" s="14"/>
      <c r="T3076" s="12"/>
      <c r="U3076" s="15"/>
      <c r="V3076" s="12"/>
      <c r="W3076" s="12"/>
      <c r="X3076" s="12"/>
      <c r="Y3076" s="12"/>
      <c r="AJ3076" s="12"/>
      <c r="AK3076" s="37"/>
    </row>
    <row r="3077" spans="18:37">
      <c r="R3077" s="14"/>
      <c r="S3077" s="14"/>
      <c r="T3077" s="12"/>
      <c r="U3077" s="15"/>
      <c r="V3077" s="12"/>
      <c r="W3077" s="12"/>
      <c r="X3077" s="12"/>
      <c r="Y3077" s="12"/>
      <c r="AJ3077" s="12"/>
      <c r="AK3077" s="37"/>
    </row>
    <row r="3078" spans="18:37">
      <c r="R3078" s="14"/>
      <c r="S3078" s="14"/>
      <c r="T3078" s="12"/>
      <c r="U3078" s="15"/>
      <c r="V3078" s="12"/>
      <c r="W3078" s="12"/>
      <c r="X3078" s="12"/>
      <c r="Y3078" s="12"/>
      <c r="AJ3078" s="12"/>
      <c r="AK3078" s="37"/>
    </row>
    <row r="3079" spans="18:37">
      <c r="R3079" s="14"/>
      <c r="S3079" s="14"/>
      <c r="T3079" s="12"/>
      <c r="U3079" s="15"/>
      <c r="V3079" s="12"/>
      <c r="W3079" s="12"/>
      <c r="X3079" s="12"/>
      <c r="Y3079" s="12"/>
      <c r="AJ3079" s="12"/>
      <c r="AK3079" s="37"/>
    </row>
    <row r="3080" spans="18:37">
      <c r="R3080" s="14"/>
      <c r="S3080" s="14"/>
      <c r="T3080" s="12"/>
      <c r="U3080" s="15"/>
      <c r="V3080" s="12"/>
      <c r="W3080" s="12"/>
      <c r="X3080" s="12"/>
      <c r="Y3080" s="12"/>
      <c r="AJ3080" s="12"/>
      <c r="AK3080" s="37"/>
    </row>
    <row r="3081" spans="18:37">
      <c r="R3081" s="14"/>
      <c r="S3081" s="14"/>
      <c r="T3081" s="12"/>
      <c r="U3081" s="15"/>
      <c r="V3081" s="12"/>
      <c r="W3081" s="12"/>
      <c r="X3081" s="12"/>
      <c r="Y3081" s="12"/>
      <c r="AJ3081" s="12"/>
      <c r="AK3081" s="37"/>
    </row>
    <row r="3082" spans="18:37">
      <c r="R3082" s="14"/>
      <c r="S3082" s="14"/>
      <c r="T3082" s="12"/>
      <c r="U3082" s="15"/>
      <c r="V3082" s="12"/>
      <c r="W3082" s="12"/>
      <c r="X3082" s="12"/>
      <c r="Y3082" s="12"/>
      <c r="AJ3082" s="12"/>
      <c r="AK3082" s="37"/>
    </row>
    <row r="3083" spans="18:37">
      <c r="R3083" s="14"/>
      <c r="S3083" s="14"/>
      <c r="T3083" s="12"/>
      <c r="U3083" s="15"/>
      <c r="V3083" s="12"/>
      <c r="W3083" s="12"/>
      <c r="X3083" s="12"/>
      <c r="Y3083" s="12"/>
      <c r="AJ3083" s="12"/>
      <c r="AK3083" s="37"/>
    </row>
    <row r="3084" spans="18:37">
      <c r="R3084" s="14"/>
      <c r="S3084" s="14"/>
      <c r="T3084" s="12"/>
      <c r="U3084" s="15"/>
      <c r="V3084" s="12"/>
      <c r="W3084" s="12"/>
      <c r="X3084" s="12"/>
      <c r="Y3084" s="12"/>
      <c r="AJ3084" s="12"/>
      <c r="AK3084" s="37"/>
    </row>
    <row r="3085" spans="18:37">
      <c r="R3085" s="14"/>
      <c r="S3085" s="14"/>
      <c r="T3085" s="12"/>
      <c r="U3085" s="15"/>
      <c r="V3085" s="12"/>
      <c r="W3085" s="12"/>
      <c r="X3085" s="12"/>
      <c r="Y3085" s="12"/>
      <c r="AJ3085" s="12"/>
      <c r="AK3085" s="37"/>
    </row>
    <row r="3086" spans="18:37">
      <c r="R3086" s="14"/>
      <c r="S3086" s="14"/>
      <c r="T3086" s="12"/>
      <c r="U3086" s="15"/>
      <c r="V3086" s="12"/>
      <c r="W3086" s="12"/>
      <c r="X3086" s="12"/>
      <c r="Y3086" s="12"/>
      <c r="AJ3086" s="12"/>
      <c r="AK3086" s="37"/>
    </row>
    <row r="3087" spans="18:37">
      <c r="R3087" s="14"/>
      <c r="S3087" s="14"/>
      <c r="T3087" s="12"/>
      <c r="U3087" s="15"/>
      <c r="V3087" s="12"/>
      <c r="W3087" s="12"/>
      <c r="X3087" s="12"/>
      <c r="Y3087" s="12"/>
      <c r="AJ3087" s="12"/>
      <c r="AK3087" s="37"/>
    </row>
    <row r="3088" spans="18:37">
      <c r="R3088" s="14"/>
      <c r="S3088" s="14"/>
      <c r="T3088" s="12"/>
      <c r="U3088" s="15"/>
      <c r="V3088" s="12"/>
      <c r="W3088" s="12"/>
      <c r="X3088" s="12"/>
      <c r="Y3088" s="12"/>
      <c r="AJ3088" s="12"/>
      <c r="AK3088" s="37"/>
    </row>
    <row r="3089" spans="18:37">
      <c r="R3089" s="14"/>
      <c r="S3089" s="14"/>
      <c r="T3089" s="12"/>
      <c r="U3089" s="15"/>
      <c r="V3089" s="12"/>
      <c r="W3089" s="12"/>
      <c r="X3089" s="12"/>
      <c r="Y3089" s="12"/>
      <c r="AJ3089" s="12"/>
      <c r="AK3089" s="37"/>
    </row>
    <row r="3090" spans="18:37">
      <c r="R3090" s="14"/>
      <c r="S3090" s="14"/>
      <c r="T3090" s="12"/>
      <c r="U3090" s="15"/>
      <c r="V3090" s="12"/>
      <c r="W3090" s="12"/>
      <c r="X3090" s="12"/>
      <c r="Y3090" s="12"/>
      <c r="AJ3090" s="12"/>
      <c r="AK3090" s="37"/>
    </row>
    <row r="3091" spans="18:37">
      <c r="R3091" s="14"/>
      <c r="S3091" s="14"/>
      <c r="T3091" s="12"/>
      <c r="U3091" s="15"/>
      <c r="V3091" s="12"/>
      <c r="W3091" s="12"/>
      <c r="X3091" s="12"/>
      <c r="Y3091" s="12"/>
      <c r="AJ3091" s="12"/>
      <c r="AK3091" s="37"/>
    </row>
    <row r="3092" spans="18:37">
      <c r="R3092" s="14"/>
      <c r="S3092" s="14"/>
      <c r="T3092" s="12"/>
      <c r="U3092" s="15"/>
      <c r="V3092" s="12"/>
      <c r="W3092" s="12"/>
      <c r="X3092" s="12"/>
      <c r="Y3092" s="12"/>
      <c r="AJ3092" s="12"/>
      <c r="AK3092" s="37"/>
    </row>
    <row r="3093" spans="18:37">
      <c r="R3093" s="14"/>
      <c r="S3093" s="14"/>
      <c r="T3093" s="12"/>
      <c r="U3093" s="15"/>
      <c r="V3093" s="12"/>
      <c r="W3093" s="12"/>
      <c r="X3093" s="12"/>
      <c r="Y3093" s="12"/>
      <c r="AJ3093" s="12"/>
      <c r="AK3093" s="37"/>
    </row>
    <row r="3094" spans="18:37">
      <c r="R3094" s="14"/>
      <c r="S3094" s="14"/>
      <c r="T3094" s="12"/>
      <c r="U3094" s="15"/>
      <c r="V3094" s="12"/>
      <c r="W3094" s="12"/>
      <c r="X3094" s="12"/>
      <c r="Y3094" s="12"/>
      <c r="AJ3094" s="12"/>
      <c r="AK3094" s="37"/>
    </row>
    <row r="3095" spans="18:37">
      <c r="R3095" s="14"/>
      <c r="S3095" s="14"/>
      <c r="T3095" s="12"/>
      <c r="U3095" s="15"/>
      <c r="V3095" s="12"/>
      <c r="W3095" s="12"/>
      <c r="X3095" s="12"/>
      <c r="Y3095" s="12"/>
      <c r="AJ3095" s="12"/>
      <c r="AK3095" s="37"/>
    </row>
    <row r="3096" spans="18:37">
      <c r="R3096" s="14"/>
      <c r="S3096" s="14"/>
      <c r="T3096" s="12"/>
      <c r="U3096" s="15"/>
      <c r="V3096" s="12"/>
      <c r="W3096" s="12"/>
      <c r="X3096" s="12"/>
      <c r="Y3096" s="12"/>
      <c r="AJ3096" s="12"/>
      <c r="AK3096" s="37"/>
    </row>
    <row r="3097" spans="18:37">
      <c r="R3097" s="14"/>
      <c r="S3097" s="14"/>
      <c r="T3097" s="12"/>
      <c r="U3097" s="15"/>
      <c r="V3097" s="12"/>
      <c r="W3097" s="12"/>
      <c r="X3097" s="12"/>
      <c r="Y3097" s="12"/>
      <c r="AJ3097" s="12"/>
      <c r="AK3097" s="37"/>
    </row>
    <row r="3098" spans="18:37">
      <c r="R3098" s="14"/>
      <c r="S3098" s="14"/>
      <c r="T3098" s="12"/>
      <c r="U3098" s="15"/>
      <c r="V3098" s="12"/>
      <c r="W3098" s="12"/>
      <c r="X3098" s="12"/>
      <c r="Y3098" s="12"/>
      <c r="AJ3098" s="12"/>
      <c r="AK3098" s="37"/>
    </row>
    <row r="3099" spans="18:37">
      <c r="R3099" s="14"/>
      <c r="S3099" s="14"/>
      <c r="T3099" s="12"/>
      <c r="U3099" s="15"/>
      <c r="V3099" s="12"/>
      <c r="W3099" s="12"/>
      <c r="X3099" s="12"/>
      <c r="Y3099" s="12"/>
      <c r="AJ3099" s="12"/>
      <c r="AK3099" s="37"/>
    </row>
    <row r="3100" spans="18:37">
      <c r="R3100" s="14"/>
      <c r="S3100" s="14"/>
      <c r="T3100" s="12"/>
      <c r="U3100" s="15"/>
      <c r="V3100" s="12"/>
      <c r="W3100" s="12"/>
      <c r="X3100" s="12"/>
      <c r="Y3100" s="12"/>
      <c r="AJ3100" s="12"/>
      <c r="AK3100" s="37"/>
    </row>
    <row r="3101" spans="18:37">
      <c r="R3101" s="14"/>
      <c r="S3101" s="14"/>
      <c r="T3101" s="12"/>
      <c r="U3101" s="15"/>
      <c r="V3101" s="12"/>
      <c r="W3101" s="12"/>
      <c r="X3101" s="12"/>
      <c r="Y3101" s="12"/>
      <c r="AJ3101" s="12"/>
      <c r="AK3101" s="37"/>
    </row>
    <row r="3102" spans="18:37">
      <c r="R3102" s="14"/>
      <c r="S3102" s="14"/>
      <c r="T3102" s="12"/>
      <c r="U3102" s="15"/>
      <c r="V3102" s="12"/>
      <c r="W3102" s="12"/>
      <c r="X3102" s="12"/>
      <c r="Y3102" s="12"/>
      <c r="AJ3102" s="12"/>
      <c r="AK3102" s="37"/>
    </row>
    <row r="3103" spans="18:37">
      <c r="R3103" s="14"/>
      <c r="S3103" s="14"/>
      <c r="T3103" s="12"/>
      <c r="U3103" s="15"/>
      <c r="V3103" s="12"/>
      <c r="W3103" s="12"/>
      <c r="X3103" s="12"/>
      <c r="Y3103" s="12"/>
      <c r="AJ3103" s="12"/>
      <c r="AK3103" s="37"/>
    </row>
    <row r="3104" spans="18:37">
      <c r="R3104" s="14"/>
      <c r="S3104" s="14"/>
      <c r="T3104" s="12"/>
      <c r="U3104" s="15"/>
      <c r="V3104" s="12"/>
      <c r="W3104" s="12"/>
      <c r="X3104" s="12"/>
      <c r="Y3104" s="12"/>
      <c r="AJ3104" s="12"/>
      <c r="AK3104" s="37"/>
    </row>
    <row r="3105" spans="18:37">
      <c r="R3105" s="14"/>
      <c r="S3105" s="14"/>
      <c r="T3105" s="12"/>
      <c r="U3105" s="15"/>
      <c r="V3105" s="12"/>
      <c r="W3105" s="12"/>
      <c r="X3105" s="12"/>
      <c r="Y3105" s="12"/>
      <c r="AJ3105" s="12"/>
      <c r="AK3105" s="37"/>
    </row>
    <row r="3106" spans="18:37">
      <c r="R3106" s="14"/>
      <c r="S3106" s="14"/>
      <c r="T3106" s="12"/>
      <c r="U3106" s="15"/>
      <c r="V3106" s="12"/>
      <c r="W3106" s="12"/>
      <c r="X3106" s="12"/>
      <c r="Y3106" s="12"/>
      <c r="AJ3106" s="12"/>
      <c r="AK3106" s="37"/>
    </row>
    <row r="3107" spans="18:37">
      <c r="R3107" s="14"/>
      <c r="S3107" s="14"/>
      <c r="T3107" s="12"/>
      <c r="U3107" s="15"/>
      <c r="V3107" s="12"/>
      <c r="W3107" s="12"/>
      <c r="X3107" s="12"/>
      <c r="Y3107" s="12"/>
      <c r="AJ3107" s="12"/>
      <c r="AK3107" s="37"/>
    </row>
    <row r="3108" spans="18:37">
      <c r="R3108" s="14"/>
      <c r="S3108" s="14"/>
      <c r="T3108" s="12"/>
      <c r="U3108" s="15"/>
      <c r="V3108" s="12"/>
      <c r="W3108" s="12"/>
      <c r="X3108" s="12"/>
      <c r="Y3108" s="12"/>
      <c r="AJ3108" s="12"/>
      <c r="AK3108" s="37"/>
    </row>
    <row r="3109" spans="18:37">
      <c r="R3109" s="14"/>
      <c r="S3109" s="14"/>
      <c r="T3109" s="12"/>
      <c r="U3109" s="15"/>
      <c r="V3109" s="12"/>
      <c r="W3109" s="12"/>
      <c r="X3109" s="12"/>
      <c r="Y3109" s="12"/>
      <c r="AJ3109" s="12"/>
      <c r="AK3109" s="37"/>
    </row>
    <row r="3110" spans="18:37">
      <c r="R3110" s="14"/>
      <c r="S3110" s="14"/>
      <c r="T3110" s="12"/>
      <c r="U3110" s="15"/>
      <c r="V3110" s="12"/>
      <c r="W3110" s="12"/>
      <c r="X3110" s="12"/>
      <c r="Y3110" s="12"/>
      <c r="AJ3110" s="12"/>
      <c r="AK3110" s="37"/>
    </row>
    <row r="3111" spans="18:37">
      <c r="R3111" s="14"/>
      <c r="S3111" s="14"/>
      <c r="T3111" s="12"/>
      <c r="U3111" s="15"/>
      <c r="V3111" s="12"/>
      <c r="W3111" s="12"/>
      <c r="X3111" s="12"/>
      <c r="Y3111" s="12"/>
      <c r="AJ3111" s="12"/>
      <c r="AK3111" s="37"/>
    </row>
    <row r="3112" spans="18:37">
      <c r="R3112" s="14"/>
      <c r="S3112" s="14"/>
      <c r="T3112" s="12"/>
      <c r="U3112" s="15"/>
      <c r="V3112" s="12"/>
      <c r="W3112" s="12"/>
      <c r="X3112" s="12"/>
      <c r="Y3112" s="12"/>
      <c r="AJ3112" s="12"/>
      <c r="AK3112" s="37"/>
    </row>
    <row r="3113" spans="18:37">
      <c r="R3113" s="14"/>
      <c r="S3113" s="14"/>
      <c r="T3113" s="12"/>
      <c r="U3113" s="15"/>
      <c r="V3113" s="12"/>
      <c r="W3113" s="12"/>
      <c r="X3113" s="12"/>
      <c r="Y3113" s="12"/>
      <c r="AJ3113" s="12"/>
      <c r="AK3113" s="37"/>
    </row>
    <row r="3114" spans="18:37">
      <c r="R3114" s="14"/>
      <c r="S3114" s="14"/>
      <c r="T3114" s="12"/>
      <c r="U3114" s="15"/>
      <c r="V3114" s="12"/>
      <c r="W3114" s="12"/>
      <c r="X3114" s="12"/>
      <c r="Y3114" s="12"/>
      <c r="AJ3114" s="12"/>
      <c r="AK3114" s="37"/>
    </row>
    <row r="3115" spans="18:37">
      <c r="R3115" s="14"/>
      <c r="S3115" s="14"/>
      <c r="T3115" s="12"/>
      <c r="U3115" s="15"/>
      <c r="V3115" s="12"/>
      <c r="W3115" s="12"/>
      <c r="X3115" s="12"/>
      <c r="Y3115" s="12"/>
      <c r="AJ3115" s="12"/>
      <c r="AK3115" s="37"/>
    </row>
    <row r="3116" spans="18:37">
      <c r="R3116" s="14"/>
      <c r="S3116" s="14"/>
      <c r="T3116" s="12"/>
      <c r="U3116" s="15"/>
      <c r="V3116" s="12"/>
      <c r="W3116" s="12"/>
      <c r="X3116" s="12"/>
      <c r="Y3116" s="12"/>
      <c r="AJ3116" s="12"/>
      <c r="AK3116" s="37"/>
    </row>
    <row r="3117" spans="18:37">
      <c r="R3117" s="14"/>
      <c r="S3117" s="14"/>
      <c r="T3117" s="12"/>
      <c r="U3117" s="15"/>
      <c r="V3117" s="12"/>
      <c r="W3117" s="12"/>
      <c r="X3117" s="12"/>
      <c r="Y3117" s="12"/>
      <c r="AJ3117" s="12"/>
      <c r="AK3117" s="37"/>
    </row>
    <row r="3118" spans="18:37">
      <c r="R3118" s="14"/>
      <c r="S3118" s="14"/>
      <c r="T3118" s="12"/>
      <c r="U3118" s="15"/>
      <c r="V3118" s="12"/>
      <c r="W3118" s="12"/>
      <c r="X3118" s="12"/>
      <c r="Y3118" s="12"/>
      <c r="AJ3118" s="12"/>
      <c r="AK3118" s="37"/>
    </row>
    <row r="3119" spans="18:37">
      <c r="R3119" s="14"/>
      <c r="S3119" s="14"/>
      <c r="T3119" s="12"/>
      <c r="U3119" s="15"/>
      <c r="V3119" s="12"/>
      <c r="W3119" s="12"/>
      <c r="X3119" s="12"/>
      <c r="Y3119" s="12"/>
      <c r="AJ3119" s="12"/>
      <c r="AK3119" s="37"/>
    </row>
    <row r="3120" spans="18:37">
      <c r="R3120" s="14"/>
      <c r="S3120" s="14"/>
      <c r="T3120" s="12"/>
      <c r="U3120" s="15"/>
      <c r="V3120" s="12"/>
      <c r="W3120" s="12"/>
      <c r="X3120" s="12"/>
      <c r="Y3120" s="12"/>
      <c r="AJ3120" s="12"/>
      <c r="AK3120" s="37"/>
    </row>
    <row r="3121" spans="18:37">
      <c r="R3121" s="14"/>
      <c r="S3121" s="14"/>
      <c r="T3121" s="12"/>
      <c r="U3121" s="15"/>
      <c r="V3121" s="12"/>
      <c r="W3121" s="12"/>
      <c r="X3121" s="12"/>
      <c r="Y3121" s="12"/>
      <c r="AJ3121" s="12"/>
      <c r="AK3121" s="37"/>
    </row>
    <row r="3122" spans="18:37">
      <c r="R3122" s="14"/>
      <c r="S3122" s="14"/>
      <c r="T3122" s="12"/>
      <c r="U3122" s="15"/>
      <c r="V3122" s="12"/>
      <c r="W3122" s="12"/>
      <c r="X3122" s="12"/>
      <c r="Y3122" s="12"/>
      <c r="AJ3122" s="12"/>
      <c r="AK3122" s="37"/>
    </row>
    <row r="3123" spans="18:37">
      <c r="R3123" s="14"/>
      <c r="S3123" s="14"/>
      <c r="T3123" s="12"/>
      <c r="U3123" s="15"/>
      <c r="V3123" s="12"/>
      <c r="W3123" s="12"/>
      <c r="X3123" s="12"/>
      <c r="Y3123" s="12"/>
      <c r="AJ3123" s="12"/>
      <c r="AK3123" s="37"/>
    </row>
    <row r="3124" spans="18:37">
      <c r="R3124" s="14"/>
      <c r="S3124" s="14"/>
      <c r="T3124" s="12"/>
      <c r="U3124" s="15"/>
      <c r="V3124" s="12"/>
      <c r="W3124" s="12"/>
      <c r="X3124" s="12"/>
      <c r="Y3124" s="12"/>
      <c r="AJ3124" s="12"/>
      <c r="AK3124" s="37"/>
    </row>
    <row r="3125" spans="18:37">
      <c r="R3125" s="14"/>
      <c r="S3125" s="14"/>
      <c r="T3125" s="12"/>
      <c r="U3125" s="15"/>
      <c r="V3125" s="12"/>
      <c r="W3125" s="12"/>
      <c r="X3125" s="12"/>
      <c r="Y3125" s="12"/>
      <c r="AJ3125" s="12"/>
      <c r="AK3125" s="37"/>
    </row>
    <row r="3126" spans="18:37">
      <c r="R3126" s="14"/>
      <c r="S3126" s="14"/>
      <c r="T3126" s="12"/>
      <c r="U3126" s="15"/>
      <c r="V3126" s="12"/>
      <c r="W3126" s="12"/>
      <c r="X3126" s="12"/>
      <c r="Y3126" s="12"/>
      <c r="AJ3126" s="12"/>
      <c r="AK3126" s="37"/>
    </row>
    <row r="3127" spans="18:37">
      <c r="R3127" s="14"/>
      <c r="S3127" s="14"/>
      <c r="T3127" s="12"/>
      <c r="U3127" s="15"/>
      <c r="V3127" s="12"/>
      <c r="W3127" s="12"/>
      <c r="X3127" s="12"/>
      <c r="Y3127" s="12"/>
      <c r="AJ3127" s="12"/>
      <c r="AK3127" s="37"/>
    </row>
    <row r="3128" spans="18:37">
      <c r="R3128" s="14"/>
      <c r="S3128" s="14"/>
      <c r="T3128" s="12"/>
      <c r="U3128" s="15"/>
      <c r="V3128" s="12"/>
      <c r="W3128" s="12"/>
      <c r="X3128" s="12"/>
      <c r="Y3128" s="12"/>
      <c r="AJ3128" s="12"/>
      <c r="AK3128" s="37"/>
    </row>
    <row r="3129" spans="18:37">
      <c r="R3129" s="14"/>
      <c r="S3129" s="14"/>
      <c r="T3129" s="12"/>
      <c r="U3129" s="15"/>
      <c r="V3129" s="12"/>
      <c r="W3129" s="12"/>
      <c r="X3129" s="12"/>
      <c r="Y3129" s="12"/>
      <c r="AJ3129" s="12"/>
      <c r="AK3129" s="37"/>
    </row>
    <row r="3130" spans="18:37">
      <c r="R3130" s="14"/>
      <c r="S3130" s="14"/>
      <c r="T3130" s="12"/>
      <c r="U3130" s="15"/>
      <c r="V3130" s="12"/>
      <c r="W3130" s="12"/>
      <c r="X3130" s="12"/>
      <c r="Y3130" s="12"/>
      <c r="AJ3130" s="12"/>
      <c r="AK3130" s="37"/>
    </row>
    <row r="3131" spans="18:37">
      <c r="R3131" s="14"/>
      <c r="S3131" s="14"/>
      <c r="T3131" s="12"/>
      <c r="U3131" s="15"/>
      <c r="V3131" s="12"/>
      <c r="W3131" s="12"/>
      <c r="X3131" s="12"/>
      <c r="Y3131" s="12"/>
      <c r="AJ3131" s="12"/>
      <c r="AK3131" s="37"/>
    </row>
    <row r="3132" spans="18:37">
      <c r="R3132" s="14"/>
      <c r="S3132" s="14"/>
      <c r="T3132" s="12"/>
      <c r="U3132" s="15"/>
      <c r="V3132" s="12"/>
      <c r="W3132" s="12"/>
      <c r="X3132" s="12"/>
      <c r="Y3132" s="12"/>
      <c r="AJ3132" s="12"/>
      <c r="AK3132" s="37"/>
    </row>
    <row r="3133" spans="18:37">
      <c r="R3133" s="14"/>
      <c r="S3133" s="14"/>
      <c r="T3133" s="12"/>
      <c r="U3133" s="15"/>
      <c r="V3133" s="12"/>
      <c r="W3133" s="12"/>
      <c r="X3133" s="12"/>
      <c r="Y3133" s="12"/>
      <c r="AJ3133" s="12"/>
      <c r="AK3133" s="37"/>
    </row>
    <row r="3134" spans="18:37">
      <c r="R3134" s="14"/>
      <c r="S3134" s="14"/>
      <c r="T3134" s="12"/>
      <c r="U3134" s="15"/>
      <c r="V3134" s="12"/>
      <c r="W3134" s="12"/>
      <c r="X3134" s="12"/>
      <c r="Y3134" s="12"/>
      <c r="AJ3134" s="12"/>
      <c r="AK3134" s="37"/>
    </row>
    <row r="3135" spans="18:37">
      <c r="R3135" s="14"/>
      <c r="S3135" s="14"/>
      <c r="T3135" s="12"/>
      <c r="U3135" s="15"/>
      <c r="V3135" s="12"/>
      <c r="W3135" s="12"/>
      <c r="X3135" s="12"/>
      <c r="Y3135" s="12"/>
      <c r="AJ3135" s="12"/>
      <c r="AK3135" s="37"/>
    </row>
    <row r="3136" spans="18:37">
      <c r="R3136" s="14"/>
      <c r="S3136" s="14"/>
      <c r="T3136" s="12"/>
      <c r="U3136" s="15"/>
      <c r="V3136" s="12"/>
      <c r="W3136" s="12"/>
      <c r="X3136" s="12"/>
      <c r="Y3136" s="12"/>
      <c r="AJ3136" s="12"/>
      <c r="AK3136" s="37"/>
    </row>
    <row r="3137" spans="18:37">
      <c r="R3137" s="14"/>
      <c r="S3137" s="14"/>
      <c r="T3137" s="12"/>
      <c r="U3137" s="15"/>
      <c r="V3137" s="12"/>
      <c r="W3137" s="12"/>
      <c r="X3137" s="12"/>
      <c r="Y3137" s="12"/>
      <c r="AJ3137" s="12"/>
      <c r="AK3137" s="37"/>
    </row>
    <row r="3138" spans="18:37">
      <c r="R3138" s="14"/>
      <c r="S3138" s="14"/>
      <c r="T3138" s="12"/>
      <c r="U3138" s="15"/>
      <c r="V3138" s="12"/>
      <c r="W3138" s="12"/>
      <c r="X3138" s="12"/>
      <c r="Y3138" s="12"/>
      <c r="AJ3138" s="12"/>
      <c r="AK3138" s="37"/>
    </row>
    <row r="3139" spans="18:37">
      <c r="R3139" s="14"/>
      <c r="S3139" s="14"/>
      <c r="T3139" s="12"/>
      <c r="U3139" s="15"/>
      <c r="V3139" s="12"/>
      <c r="W3139" s="12"/>
      <c r="X3139" s="12"/>
      <c r="Y3139" s="12"/>
      <c r="AJ3139" s="12"/>
      <c r="AK3139" s="37"/>
    </row>
    <row r="3140" spans="18:37">
      <c r="R3140" s="14"/>
      <c r="S3140" s="14"/>
      <c r="T3140" s="12"/>
      <c r="U3140" s="15"/>
      <c r="V3140" s="12"/>
      <c r="W3140" s="12"/>
      <c r="X3140" s="12"/>
      <c r="Y3140" s="12"/>
      <c r="AJ3140" s="12"/>
      <c r="AK3140" s="37"/>
    </row>
    <row r="3141" spans="18:37">
      <c r="R3141" s="14"/>
      <c r="S3141" s="14"/>
      <c r="T3141" s="12"/>
      <c r="U3141" s="15"/>
      <c r="V3141" s="12"/>
      <c r="W3141" s="12"/>
      <c r="X3141" s="12"/>
      <c r="Y3141" s="12"/>
      <c r="AJ3141" s="12"/>
      <c r="AK3141" s="37"/>
    </row>
    <row r="3142" spans="18:37">
      <c r="R3142" s="14"/>
      <c r="S3142" s="14"/>
      <c r="T3142" s="12"/>
      <c r="U3142" s="15"/>
      <c r="V3142" s="12"/>
      <c r="W3142" s="12"/>
      <c r="X3142" s="12"/>
      <c r="Y3142" s="12"/>
      <c r="AJ3142" s="12"/>
      <c r="AK3142" s="37"/>
    </row>
    <row r="3143" spans="18:37">
      <c r="R3143" s="14"/>
      <c r="S3143" s="14"/>
      <c r="T3143" s="12"/>
      <c r="U3143" s="15"/>
      <c r="V3143" s="12"/>
      <c r="W3143" s="12"/>
      <c r="X3143" s="12"/>
      <c r="Y3143" s="12"/>
      <c r="AJ3143" s="12"/>
      <c r="AK3143" s="37"/>
    </row>
    <row r="3144" spans="18:37">
      <c r="R3144" s="14"/>
      <c r="S3144" s="14"/>
      <c r="T3144" s="12"/>
      <c r="U3144" s="15"/>
      <c r="V3144" s="12"/>
      <c r="W3144" s="12"/>
      <c r="X3144" s="12"/>
      <c r="Y3144" s="12"/>
      <c r="AJ3144" s="12"/>
      <c r="AK3144" s="37"/>
    </row>
    <row r="3145" spans="18:37">
      <c r="R3145" s="14"/>
      <c r="S3145" s="14"/>
      <c r="T3145" s="12"/>
      <c r="U3145" s="15"/>
      <c r="V3145" s="12"/>
      <c r="W3145" s="12"/>
      <c r="X3145" s="12"/>
      <c r="Y3145" s="12"/>
      <c r="AJ3145" s="12"/>
      <c r="AK3145" s="37"/>
    </row>
    <row r="3146" spans="18:37">
      <c r="R3146" s="14"/>
      <c r="S3146" s="14"/>
      <c r="T3146" s="12"/>
      <c r="U3146" s="15"/>
      <c r="V3146" s="12"/>
      <c r="W3146" s="12"/>
      <c r="X3146" s="12"/>
      <c r="Y3146" s="12"/>
      <c r="AJ3146" s="12"/>
      <c r="AK3146" s="37"/>
    </row>
    <row r="3147" spans="18:37">
      <c r="R3147" s="14"/>
      <c r="S3147" s="14"/>
      <c r="T3147" s="12"/>
      <c r="U3147" s="15"/>
      <c r="V3147" s="12"/>
      <c r="W3147" s="12"/>
      <c r="X3147" s="12"/>
      <c r="Y3147" s="12"/>
      <c r="AJ3147" s="12"/>
      <c r="AK3147" s="37"/>
    </row>
    <row r="3148" spans="18:37">
      <c r="R3148" s="14"/>
      <c r="S3148" s="14"/>
      <c r="T3148" s="12"/>
      <c r="U3148" s="15"/>
      <c r="V3148" s="12"/>
      <c r="W3148" s="12"/>
      <c r="X3148" s="12"/>
      <c r="Y3148" s="12"/>
      <c r="AJ3148" s="12"/>
      <c r="AK3148" s="37"/>
    </row>
    <row r="3149" spans="18:37">
      <c r="R3149" s="14"/>
      <c r="S3149" s="14"/>
      <c r="T3149" s="12"/>
      <c r="U3149" s="15"/>
      <c r="V3149" s="12"/>
      <c r="W3149" s="12"/>
      <c r="X3149" s="12"/>
      <c r="Y3149" s="12"/>
      <c r="AJ3149" s="12"/>
      <c r="AK3149" s="37"/>
    </row>
    <row r="3150" spans="18:37">
      <c r="R3150" s="14"/>
      <c r="S3150" s="14"/>
      <c r="T3150" s="12"/>
      <c r="U3150" s="15"/>
      <c r="V3150" s="12"/>
      <c r="W3150" s="12"/>
      <c r="X3150" s="12"/>
      <c r="Y3150" s="12"/>
      <c r="AJ3150" s="12"/>
      <c r="AK3150" s="37"/>
    </row>
    <row r="3151" spans="18:37">
      <c r="R3151" s="14"/>
      <c r="S3151" s="14"/>
      <c r="T3151" s="12"/>
      <c r="U3151" s="15"/>
      <c r="V3151" s="12"/>
      <c r="W3151" s="12"/>
      <c r="X3151" s="12"/>
      <c r="Y3151" s="12"/>
      <c r="AJ3151" s="12"/>
      <c r="AK3151" s="37"/>
    </row>
    <row r="3152" spans="18:37">
      <c r="R3152" s="14"/>
      <c r="S3152" s="14"/>
      <c r="T3152" s="12"/>
      <c r="U3152" s="15"/>
      <c r="V3152" s="12"/>
      <c r="W3152" s="12"/>
      <c r="X3152" s="12"/>
      <c r="Y3152" s="12"/>
      <c r="AJ3152" s="12"/>
      <c r="AK3152" s="37"/>
    </row>
    <row r="3153" spans="18:37">
      <c r="R3153" s="14"/>
      <c r="S3153" s="14"/>
      <c r="T3153" s="12"/>
      <c r="U3153" s="15"/>
      <c r="V3153" s="12"/>
      <c r="W3153" s="12"/>
      <c r="X3153" s="12"/>
      <c r="Y3153" s="12"/>
      <c r="AJ3153" s="12"/>
      <c r="AK3153" s="37"/>
    </row>
    <row r="3154" spans="18:37">
      <c r="R3154" s="14"/>
      <c r="S3154" s="14"/>
      <c r="T3154" s="12"/>
      <c r="U3154" s="15"/>
      <c r="V3154" s="12"/>
      <c r="W3154" s="12"/>
      <c r="X3154" s="12"/>
      <c r="Y3154" s="12"/>
      <c r="AJ3154" s="12"/>
      <c r="AK3154" s="37"/>
    </row>
    <row r="3155" spans="18:37">
      <c r="R3155" s="14"/>
      <c r="S3155" s="14"/>
      <c r="T3155" s="12"/>
      <c r="U3155" s="15"/>
      <c r="V3155" s="12"/>
      <c r="W3155" s="12"/>
      <c r="X3155" s="12"/>
      <c r="Y3155" s="12"/>
      <c r="AJ3155" s="12"/>
      <c r="AK3155" s="37"/>
    </row>
    <row r="3156" spans="18:37">
      <c r="R3156" s="14"/>
      <c r="S3156" s="14"/>
      <c r="T3156" s="12"/>
      <c r="U3156" s="15"/>
      <c r="V3156" s="12"/>
      <c r="W3156" s="12"/>
      <c r="X3156" s="12"/>
      <c r="Y3156" s="12"/>
      <c r="AJ3156" s="12"/>
      <c r="AK3156" s="37"/>
    </row>
    <row r="3157" spans="18:37">
      <c r="R3157" s="14"/>
      <c r="S3157" s="14"/>
      <c r="T3157" s="12"/>
      <c r="U3157" s="15"/>
      <c r="V3157" s="12"/>
      <c r="W3157" s="12"/>
      <c r="X3157" s="12"/>
      <c r="Y3157" s="12"/>
      <c r="AJ3157" s="12"/>
      <c r="AK3157" s="37"/>
    </row>
    <row r="3158" spans="18:37">
      <c r="R3158" s="14"/>
      <c r="S3158" s="14"/>
      <c r="T3158" s="12"/>
      <c r="U3158" s="15"/>
      <c r="V3158" s="12"/>
      <c r="W3158" s="12"/>
      <c r="X3158" s="12"/>
      <c r="Y3158" s="12"/>
      <c r="AJ3158" s="12"/>
      <c r="AK3158" s="37"/>
    </row>
    <row r="3159" spans="18:37">
      <c r="R3159" s="14"/>
      <c r="S3159" s="14"/>
      <c r="T3159" s="12"/>
      <c r="U3159" s="15"/>
      <c r="V3159" s="12"/>
      <c r="W3159" s="12"/>
      <c r="X3159" s="12"/>
      <c r="Y3159" s="12"/>
      <c r="AJ3159" s="12"/>
      <c r="AK3159" s="37"/>
    </row>
    <row r="3160" spans="18:37">
      <c r="R3160" s="14"/>
      <c r="S3160" s="14"/>
      <c r="T3160" s="12"/>
      <c r="U3160" s="15"/>
      <c r="V3160" s="12"/>
      <c r="W3160" s="12"/>
      <c r="X3160" s="12"/>
      <c r="Y3160" s="12"/>
      <c r="AJ3160" s="12"/>
      <c r="AK3160" s="37"/>
    </row>
    <row r="3161" spans="18:37">
      <c r="R3161" s="14"/>
      <c r="S3161" s="14"/>
      <c r="T3161" s="12"/>
      <c r="U3161" s="15"/>
      <c r="V3161" s="12"/>
      <c r="W3161" s="12"/>
      <c r="X3161" s="12"/>
      <c r="Y3161" s="12"/>
      <c r="AJ3161" s="12"/>
      <c r="AK3161" s="37"/>
    </row>
    <row r="3162" spans="18:37">
      <c r="R3162" s="14"/>
      <c r="S3162" s="14"/>
      <c r="T3162" s="12"/>
      <c r="U3162" s="15"/>
      <c r="V3162" s="12"/>
      <c r="W3162" s="12"/>
      <c r="X3162" s="12"/>
      <c r="Y3162" s="12"/>
      <c r="AJ3162" s="12"/>
      <c r="AK3162" s="37"/>
    </row>
    <row r="3163" spans="18:37">
      <c r="R3163" s="14"/>
      <c r="S3163" s="14"/>
      <c r="T3163" s="12"/>
      <c r="U3163" s="15"/>
      <c r="V3163" s="12"/>
      <c r="W3163" s="12"/>
      <c r="X3163" s="12"/>
      <c r="Y3163" s="12"/>
      <c r="AJ3163" s="12"/>
      <c r="AK3163" s="37"/>
    </row>
    <row r="3164" spans="18:37">
      <c r="R3164" s="14"/>
      <c r="S3164" s="14"/>
      <c r="T3164" s="12"/>
      <c r="U3164" s="15"/>
      <c r="V3164" s="12"/>
      <c r="W3164" s="12"/>
      <c r="X3164" s="12"/>
      <c r="Y3164" s="12"/>
      <c r="AJ3164" s="12"/>
      <c r="AK3164" s="37"/>
    </row>
    <row r="3165" spans="18:37">
      <c r="R3165" s="14"/>
      <c r="S3165" s="14"/>
      <c r="T3165" s="12"/>
      <c r="U3165" s="15"/>
      <c r="V3165" s="12"/>
      <c r="W3165" s="12"/>
      <c r="X3165" s="12"/>
      <c r="Y3165" s="12"/>
      <c r="AJ3165" s="12"/>
      <c r="AK3165" s="37"/>
    </row>
    <row r="3166" spans="18:37">
      <c r="R3166" s="14"/>
      <c r="S3166" s="14"/>
      <c r="T3166" s="12"/>
      <c r="U3166" s="15"/>
      <c r="V3166" s="12"/>
      <c r="W3166" s="12"/>
      <c r="X3166" s="12"/>
      <c r="Y3166" s="12"/>
      <c r="AJ3166" s="12"/>
      <c r="AK3166" s="37"/>
    </row>
    <row r="3167" spans="18:37">
      <c r="R3167" s="14"/>
      <c r="S3167" s="14"/>
      <c r="T3167" s="12"/>
      <c r="U3167" s="15"/>
      <c r="V3167" s="12"/>
      <c r="W3167" s="12"/>
      <c r="X3167" s="12"/>
      <c r="Y3167" s="12"/>
      <c r="AJ3167" s="12"/>
      <c r="AK3167" s="37"/>
    </row>
    <row r="3168" spans="18:37">
      <c r="R3168" s="14"/>
      <c r="S3168" s="14"/>
      <c r="T3168" s="12"/>
      <c r="U3168" s="15"/>
      <c r="V3168" s="12"/>
      <c r="W3168" s="12"/>
      <c r="X3168" s="12"/>
      <c r="Y3168" s="12"/>
      <c r="AJ3168" s="12"/>
      <c r="AK3168" s="37"/>
    </row>
    <row r="3169" spans="18:37">
      <c r="R3169" s="14"/>
      <c r="S3169" s="14"/>
      <c r="T3169" s="12"/>
      <c r="U3169" s="15"/>
      <c r="V3169" s="12"/>
      <c r="W3169" s="12"/>
      <c r="X3169" s="12"/>
      <c r="Y3169" s="12"/>
      <c r="AJ3169" s="12"/>
      <c r="AK3169" s="37"/>
    </row>
    <row r="3170" spans="18:37">
      <c r="R3170" s="14"/>
      <c r="S3170" s="14"/>
      <c r="T3170" s="12"/>
      <c r="U3170" s="15"/>
      <c r="V3170" s="12"/>
      <c r="W3170" s="12"/>
      <c r="X3170" s="12"/>
      <c r="Y3170" s="12"/>
      <c r="AJ3170" s="12"/>
      <c r="AK3170" s="37"/>
    </row>
    <row r="3171" spans="18:37">
      <c r="R3171" s="14"/>
      <c r="S3171" s="14"/>
      <c r="T3171" s="12"/>
      <c r="U3171" s="15"/>
      <c r="V3171" s="12"/>
      <c r="W3171" s="12"/>
      <c r="X3171" s="12"/>
      <c r="Y3171" s="12"/>
      <c r="AJ3171" s="12"/>
      <c r="AK3171" s="37"/>
    </row>
    <row r="3172" spans="18:37">
      <c r="R3172" s="14"/>
      <c r="S3172" s="14"/>
      <c r="T3172" s="12"/>
      <c r="U3172" s="15"/>
      <c r="V3172" s="12"/>
      <c r="W3172" s="12"/>
      <c r="X3172" s="12"/>
      <c r="Y3172" s="12"/>
      <c r="AJ3172" s="12"/>
      <c r="AK3172" s="37"/>
    </row>
    <row r="3173" spans="18:37">
      <c r="R3173" s="14"/>
      <c r="S3173" s="14"/>
      <c r="T3173" s="12"/>
      <c r="U3173" s="15"/>
      <c r="V3173" s="12"/>
      <c r="W3173" s="12"/>
      <c r="X3173" s="12"/>
      <c r="Y3173" s="12"/>
      <c r="AJ3173" s="12"/>
      <c r="AK3173" s="37"/>
    </row>
    <row r="3174" spans="18:37">
      <c r="R3174" s="14"/>
      <c r="S3174" s="14"/>
      <c r="T3174" s="12"/>
      <c r="U3174" s="15"/>
      <c r="V3174" s="12"/>
      <c r="W3174" s="12"/>
      <c r="X3174" s="12"/>
      <c r="Y3174" s="12"/>
      <c r="AJ3174" s="12"/>
      <c r="AK3174" s="37"/>
    </row>
    <row r="3175" spans="18:37">
      <c r="R3175" s="14"/>
      <c r="S3175" s="14"/>
      <c r="T3175" s="12"/>
      <c r="U3175" s="15"/>
      <c r="V3175" s="12"/>
      <c r="W3175" s="12"/>
      <c r="X3175" s="12"/>
      <c r="Y3175" s="12"/>
      <c r="AJ3175" s="12"/>
      <c r="AK3175" s="37"/>
    </row>
    <row r="3176" spans="18:37">
      <c r="R3176" s="14"/>
      <c r="S3176" s="14"/>
      <c r="T3176" s="12"/>
      <c r="U3176" s="15"/>
      <c r="V3176" s="12"/>
      <c r="W3176" s="12"/>
      <c r="X3176" s="12"/>
      <c r="Y3176" s="12"/>
      <c r="AJ3176" s="12"/>
      <c r="AK3176" s="37"/>
    </row>
    <row r="3177" spans="18:37">
      <c r="R3177" s="14"/>
      <c r="S3177" s="14"/>
      <c r="T3177" s="12"/>
      <c r="U3177" s="15"/>
      <c r="V3177" s="12"/>
      <c r="W3177" s="12"/>
      <c r="X3177" s="12"/>
      <c r="Y3177" s="12"/>
      <c r="AJ3177" s="12"/>
      <c r="AK3177" s="37"/>
    </row>
    <row r="3178" spans="18:37">
      <c r="R3178" s="14"/>
      <c r="S3178" s="14"/>
      <c r="T3178" s="12"/>
      <c r="U3178" s="15"/>
      <c r="V3178" s="12"/>
      <c r="W3178" s="12"/>
      <c r="X3178" s="12"/>
      <c r="Y3178" s="12"/>
      <c r="AJ3178" s="12"/>
      <c r="AK3178" s="37"/>
    </row>
    <row r="3179" spans="18:37">
      <c r="R3179" s="14"/>
      <c r="S3179" s="14"/>
      <c r="T3179" s="12"/>
      <c r="U3179" s="15"/>
      <c r="V3179" s="12"/>
      <c r="W3179" s="12"/>
      <c r="X3179" s="12"/>
      <c r="Y3179" s="12"/>
      <c r="AJ3179" s="12"/>
      <c r="AK3179" s="37"/>
    </row>
    <row r="3180" spans="18:37">
      <c r="R3180" s="14"/>
      <c r="S3180" s="14"/>
      <c r="T3180" s="12"/>
      <c r="U3180" s="15"/>
      <c r="V3180" s="12"/>
      <c r="W3180" s="12"/>
      <c r="X3180" s="12"/>
      <c r="Y3180" s="12"/>
      <c r="AJ3180" s="12"/>
      <c r="AK3180" s="37"/>
    </row>
    <row r="3181" spans="18:37">
      <c r="R3181" s="14"/>
      <c r="S3181" s="14"/>
      <c r="T3181" s="12"/>
      <c r="U3181" s="15"/>
      <c r="V3181" s="12"/>
      <c r="W3181" s="12"/>
      <c r="X3181" s="12"/>
      <c r="Y3181" s="12"/>
      <c r="AJ3181" s="12"/>
      <c r="AK3181" s="37"/>
    </row>
    <row r="3182" spans="18:37">
      <c r="R3182" s="14"/>
      <c r="S3182" s="14"/>
      <c r="T3182" s="12"/>
      <c r="U3182" s="15"/>
      <c r="V3182" s="12"/>
      <c r="W3182" s="12"/>
      <c r="X3182" s="12"/>
      <c r="Y3182" s="12"/>
      <c r="AJ3182" s="12"/>
      <c r="AK3182" s="37"/>
    </row>
    <row r="3183" spans="18:37">
      <c r="R3183" s="14"/>
      <c r="S3183" s="14"/>
      <c r="T3183" s="12"/>
      <c r="U3183" s="15"/>
      <c r="V3183" s="12"/>
      <c r="W3183" s="12"/>
      <c r="X3183" s="12"/>
      <c r="Y3183" s="12"/>
      <c r="AJ3183" s="12"/>
      <c r="AK3183" s="37"/>
    </row>
    <row r="3184" spans="18:37">
      <c r="R3184" s="14"/>
      <c r="S3184" s="14"/>
      <c r="T3184" s="12"/>
      <c r="U3184" s="15"/>
      <c r="V3184" s="12"/>
      <c r="W3184" s="12"/>
      <c r="X3184" s="12"/>
      <c r="Y3184" s="12"/>
      <c r="AJ3184" s="12"/>
      <c r="AK3184" s="37"/>
    </row>
    <row r="3185" spans="18:37">
      <c r="R3185" s="14"/>
      <c r="S3185" s="14"/>
      <c r="T3185" s="12"/>
      <c r="U3185" s="15"/>
      <c r="V3185" s="12"/>
      <c r="W3185" s="12"/>
      <c r="X3185" s="12"/>
      <c r="Y3185" s="12"/>
      <c r="AJ3185" s="12"/>
      <c r="AK3185" s="37"/>
    </row>
    <row r="3186" spans="18:37">
      <c r="R3186" s="14"/>
      <c r="S3186" s="14"/>
      <c r="T3186" s="12"/>
      <c r="U3186" s="15"/>
      <c r="V3186" s="12"/>
      <c r="W3186" s="12"/>
      <c r="X3186" s="12"/>
      <c r="Y3186" s="12"/>
      <c r="AJ3186" s="12"/>
      <c r="AK3186" s="37"/>
    </row>
    <row r="3187" spans="18:37">
      <c r="R3187" s="14"/>
      <c r="S3187" s="14"/>
      <c r="T3187" s="12"/>
      <c r="U3187" s="15"/>
      <c r="V3187" s="12"/>
      <c r="W3187" s="12"/>
      <c r="X3187" s="12"/>
      <c r="Y3187" s="12"/>
      <c r="AJ3187" s="12"/>
      <c r="AK3187" s="37"/>
    </row>
    <row r="3188" spans="18:37">
      <c r="R3188" s="14"/>
      <c r="S3188" s="14"/>
      <c r="T3188" s="12"/>
      <c r="U3188" s="15"/>
      <c r="V3188" s="12"/>
      <c r="W3188" s="12"/>
      <c r="X3188" s="12"/>
      <c r="Y3188" s="12"/>
      <c r="AJ3188" s="12"/>
      <c r="AK3188" s="37"/>
    </row>
    <row r="3189" spans="18:37">
      <c r="R3189" s="14"/>
      <c r="S3189" s="14"/>
      <c r="T3189" s="12"/>
      <c r="U3189" s="15"/>
      <c r="V3189" s="12"/>
      <c r="W3189" s="12"/>
      <c r="X3189" s="12"/>
      <c r="Y3189" s="12"/>
      <c r="AJ3189" s="12"/>
      <c r="AK3189" s="37"/>
    </row>
    <row r="3190" spans="18:37">
      <c r="R3190" s="14"/>
      <c r="S3190" s="14"/>
      <c r="T3190" s="12"/>
      <c r="U3190" s="15"/>
      <c r="V3190" s="12"/>
      <c r="W3190" s="12"/>
      <c r="X3190" s="12"/>
      <c r="Y3190" s="12"/>
      <c r="AJ3190" s="12"/>
      <c r="AK3190" s="37"/>
    </row>
    <row r="3191" spans="18:37">
      <c r="R3191" s="14"/>
      <c r="S3191" s="14"/>
      <c r="T3191" s="12"/>
      <c r="U3191" s="15"/>
      <c r="V3191" s="12"/>
      <c r="W3191" s="12"/>
      <c r="X3191" s="12"/>
      <c r="Y3191" s="12"/>
      <c r="AJ3191" s="12"/>
      <c r="AK3191" s="37"/>
    </row>
    <row r="3192" spans="18:37">
      <c r="R3192" s="14"/>
      <c r="S3192" s="14"/>
      <c r="T3192" s="12"/>
      <c r="U3192" s="15"/>
      <c r="V3192" s="12"/>
      <c r="W3192" s="12"/>
      <c r="X3192" s="12"/>
      <c r="Y3192" s="12"/>
      <c r="AJ3192" s="12"/>
      <c r="AK3192" s="37"/>
    </row>
    <row r="3193" spans="18:37">
      <c r="R3193" s="14"/>
      <c r="S3193" s="14"/>
      <c r="T3193" s="12"/>
      <c r="U3193" s="15"/>
      <c r="V3193" s="12"/>
      <c r="W3193" s="12"/>
      <c r="X3193" s="12"/>
      <c r="Y3193" s="12"/>
      <c r="AJ3193" s="12"/>
      <c r="AK3193" s="37"/>
    </row>
    <row r="3194" spans="18:37">
      <c r="R3194" s="14"/>
      <c r="S3194" s="14"/>
      <c r="T3194" s="12"/>
      <c r="U3194" s="15"/>
      <c r="V3194" s="12"/>
      <c r="W3194" s="12"/>
      <c r="X3194" s="12"/>
      <c r="Y3194" s="12"/>
      <c r="AJ3194" s="12"/>
      <c r="AK3194" s="37"/>
    </row>
    <row r="3195" spans="18:37">
      <c r="R3195" s="14"/>
      <c r="S3195" s="14"/>
      <c r="T3195" s="12"/>
      <c r="U3195" s="15"/>
      <c r="V3195" s="12"/>
      <c r="W3195" s="12"/>
      <c r="X3195" s="12"/>
      <c r="Y3195" s="12"/>
      <c r="AJ3195" s="12"/>
      <c r="AK3195" s="37"/>
    </row>
    <row r="3196" spans="18:37">
      <c r="R3196" s="14"/>
      <c r="S3196" s="14"/>
      <c r="T3196" s="12"/>
      <c r="U3196" s="15"/>
      <c r="V3196" s="12"/>
      <c r="W3196" s="12"/>
      <c r="X3196" s="12"/>
      <c r="Y3196" s="12"/>
      <c r="AJ3196" s="12"/>
      <c r="AK3196" s="37"/>
    </row>
    <row r="3197" spans="18:37">
      <c r="R3197" s="14"/>
      <c r="S3197" s="14"/>
      <c r="T3197" s="12"/>
      <c r="U3197" s="15"/>
      <c r="V3197" s="12"/>
      <c r="W3197" s="12"/>
      <c r="X3197" s="12"/>
      <c r="Y3197" s="12"/>
      <c r="AJ3197" s="12"/>
      <c r="AK3197" s="37"/>
    </row>
    <row r="3198" spans="18:37">
      <c r="R3198" s="14"/>
      <c r="S3198" s="14"/>
      <c r="T3198" s="12"/>
      <c r="U3198" s="15"/>
      <c r="V3198" s="12"/>
      <c r="W3198" s="12"/>
      <c r="X3198" s="12"/>
      <c r="Y3198" s="12"/>
      <c r="AJ3198" s="12"/>
      <c r="AK3198" s="37"/>
    </row>
    <row r="3199" spans="18:37">
      <c r="R3199" s="14"/>
      <c r="S3199" s="14"/>
      <c r="T3199" s="12"/>
      <c r="U3199" s="15"/>
      <c r="V3199" s="12"/>
      <c r="W3199" s="12"/>
      <c r="X3199" s="12"/>
      <c r="Y3199" s="12"/>
      <c r="AJ3199" s="12"/>
      <c r="AK3199" s="37"/>
    </row>
    <row r="3200" spans="18:37">
      <c r="R3200" s="14"/>
      <c r="S3200" s="14"/>
      <c r="T3200" s="12"/>
      <c r="U3200" s="15"/>
      <c r="V3200" s="12"/>
      <c r="W3200" s="12"/>
      <c r="X3200" s="12"/>
      <c r="Y3200" s="12"/>
      <c r="AJ3200" s="12"/>
      <c r="AK3200" s="37"/>
    </row>
    <row r="3201" spans="18:37">
      <c r="R3201" s="14"/>
      <c r="S3201" s="14"/>
      <c r="T3201" s="12"/>
      <c r="U3201" s="15"/>
      <c r="V3201" s="12"/>
      <c r="W3201" s="12"/>
      <c r="X3201" s="12"/>
      <c r="Y3201" s="12"/>
      <c r="AJ3201" s="12"/>
      <c r="AK3201" s="37"/>
    </row>
    <row r="3202" spans="18:37">
      <c r="R3202" s="14"/>
      <c r="S3202" s="14"/>
      <c r="T3202" s="12"/>
      <c r="U3202" s="15"/>
      <c r="V3202" s="12"/>
      <c r="W3202" s="12"/>
      <c r="X3202" s="12"/>
      <c r="Y3202" s="12"/>
      <c r="AJ3202" s="12"/>
      <c r="AK3202" s="37"/>
    </row>
    <row r="3203" spans="18:37">
      <c r="R3203" s="14"/>
      <c r="S3203" s="14"/>
      <c r="T3203" s="12"/>
      <c r="U3203" s="15"/>
      <c r="V3203" s="12"/>
      <c r="W3203" s="12"/>
      <c r="X3203" s="12"/>
      <c r="Y3203" s="12"/>
      <c r="AJ3203" s="12"/>
      <c r="AK3203" s="37"/>
    </row>
    <row r="3204" spans="18:37">
      <c r="R3204" s="14"/>
      <c r="S3204" s="14"/>
      <c r="T3204" s="12"/>
      <c r="U3204" s="15"/>
      <c r="V3204" s="12"/>
      <c r="W3204" s="12"/>
      <c r="X3204" s="12"/>
      <c r="Y3204" s="12"/>
      <c r="AJ3204" s="12"/>
      <c r="AK3204" s="37"/>
    </row>
    <row r="3205" spans="18:37">
      <c r="R3205" s="14"/>
      <c r="S3205" s="14"/>
      <c r="T3205" s="12"/>
      <c r="U3205" s="15"/>
      <c r="V3205" s="12"/>
      <c r="W3205" s="12"/>
      <c r="X3205" s="12"/>
      <c r="Y3205" s="12"/>
      <c r="AJ3205" s="12"/>
      <c r="AK3205" s="37"/>
    </row>
    <row r="3206" spans="18:37">
      <c r="R3206" s="14"/>
      <c r="S3206" s="14"/>
      <c r="T3206" s="12"/>
      <c r="U3206" s="15"/>
      <c r="V3206" s="12"/>
      <c r="W3206" s="12"/>
      <c r="X3206" s="12"/>
      <c r="Y3206" s="12"/>
      <c r="AJ3206" s="12"/>
      <c r="AK3206" s="37"/>
    </row>
    <row r="3207" spans="18:37">
      <c r="R3207" s="14"/>
      <c r="S3207" s="14"/>
      <c r="T3207" s="12"/>
      <c r="U3207" s="15"/>
      <c r="V3207" s="12"/>
      <c r="W3207" s="12"/>
      <c r="X3207" s="12"/>
      <c r="Y3207" s="12"/>
      <c r="AJ3207" s="12"/>
      <c r="AK3207" s="37"/>
    </row>
    <row r="3208" spans="18:37">
      <c r="R3208" s="14"/>
      <c r="S3208" s="14"/>
      <c r="T3208" s="12"/>
      <c r="U3208" s="15"/>
      <c r="V3208" s="12"/>
      <c r="W3208" s="12"/>
      <c r="X3208" s="12"/>
      <c r="Y3208" s="12"/>
      <c r="AJ3208" s="12"/>
      <c r="AK3208" s="37"/>
    </row>
    <row r="3209" spans="18:37">
      <c r="R3209" s="14"/>
      <c r="S3209" s="14"/>
      <c r="T3209" s="12"/>
      <c r="U3209" s="15"/>
      <c r="V3209" s="12"/>
      <c r="W3209" s="12"/>
      <c r="X3209" s="12"/>
      <c r="Y3209" s="12"/>
      <c r="AJ3209" s="12"/>
      <c r="AK3209" s="37"/>
    </row>
    <row r="3210" spans="18:37">
      <c r="R3210" s="14"/>
      <c r="S3210" s="14"/>
      <c r="T3210" s="12"/>
      <c r="U3210" s="15"/>
      <c r="V3210" s="12"/>
      <c r="W3210" s="12"/>
      <c r="X3210" s="12"/>
      <c r="Y3210" s="12"/>
      <c r="AJ3210" s="12"/>
      <c r="AK3210" s="37"/>
    </row>
    <row r="3211" spans="18:37">
      <c r="R3211" s="14"/>
      <c r="S3211" s="14"/>
      <c r="T3211" s="12"/>
      <c r="U3211" s="15"/>
      <c r="V3211" s="12"/>
      <c r="W3211" s="12"/>
      <c r="X3211" s="12"/>
      <c r="Y3211" s="12"/>
      <c r="AJ3211" s="12"/>
      <c r="AK3211" s="37"/>
    </row>
    <row r="3212" spans="18:37">
      <c r="R3212" s="14"/>
      <c r="S3212" s="14"/>
      <c r="T3212" s="12"/>
      <c r="U3212" s="15"/>
      <c r="V3212" s="12"/>
      <c r="W3212" s="12"/>
      <c r="X3212" s="12"/>
      <c r="Y3212" s="12"/>
      <c r="AJ3212" s="12"/>
      <c r="AK3212" s="37"/>
    </row>
    <row r="3213" spans="18:37">
      <c r="R3213" s="14"/>
      <c r="S3213" s="14"/>
      <c r="T3213" s="12"/>
      <c r="U3213" s="15"/>
      <c r="V3213" s="12"/>
      <c r="W3213" s="12"/>
      <c r="X3213" s="12"/>
      <c r="Y3213" s="12"/>
      <c r="AJ3213" s="12"/>
      <c r="AK3213" s="37"/>
    </row>
    <row r="3214" spans="18:37">
      <c r="R3214" s="14"/>
      <c r="S3214" s="14"/>
      <c r="T3214" s="12"/>
      <c r="U3214" s="15"/>
      <c r="V3214" s="12"/>
      <c r="W3214" s="12"/>
      <c r="X3214" s="12"/>
      <c r="Y3214" s="12"/>
      <c r="AJ3214" s="12"/>
      <c r="AK3214" s="37"/>
    </row>
    <row r="3215" spans="18:37">
      <c r="R3215" s="14"/>
      <c r="S3215" s="14"/>
      <c r="T3215" s="12"/>
      <c r="U3215" s="15"/>
      <c r="V3215" s="12"/>
      <c r="W3215" s="12"/>
      <c r="X3215" s="12"/>
      <c r="Y3215" s="12"/>
      <c r="AJ3215" s="12"/>
      <c r="AK3215" s="37"/>
    </row>
    <row r="3216" spans="18:37">
      <c r="R3216" s="14"/>
      <c r="S3216" s="14"/>
      <c r="T3216" s="12"/>
      <c r="U3216" s="15"/>
      <c r="V3216" s="12"/>
      <c r="W3216" s="12"/>
      <c r="X3216" s="12"/>
      <c r="Y3216" s="12"/>
      <c r="AJ3216" s="12"/>
      <c r="AK3216" s="37"/>
    </row>
    <row r="3217" spans="18:37">
      <c r="R3217" s="14"/>
      <c r="S3217" s="14"/>
      <c r="T3217" s="12"/>
      <c r="U3217" s="15"/>
      <c r="V3217" s="12"/>
      <c r="W3217" s="12"/>
      <c r="X3217" s="12"/>
      <c r="Y3217" s="12"/>
      <c r="AJ3217" s="12"/>
      <c r="AK3217" s="37"/>
    </row>
    <row r="3218" spans="18:37">
      <c r="R3218" s="14"/>
      <c r="S3218" s="14"/>
      <c r="T3218" s="12"/>
      <c r="U3218" s="15"/>
      <c r="V3218" s="12"/>
      <c r="W3218" s="12"/>
      <c r="X3218" s="12"/>
      <c r="Y3218" s="12"/>
      <c r="AJ3218" s="12"/>
      <c r="AK3218" s="37"/>
    </row>
    <row r="3219" spans="18:37">
      <c r="R3219" s="14"/>
      <c r="S3219" s="14"/>
      <c r="T3219" s="12"/>
      <c r="U3219" s="15"/>
      <c r="V3219" s="12"/>
      <c r="W3219" s="12"/>
      <c r="X3219" s="12"/>
      <c r="Y3219" s="12"/>
      <c r="AJ3219" s="12"/>
      <c r="AK3219" s="37"/>
    </row>
    <row r="3220" spans="18:37">
      <c r="R3220" s="14"/>
      <c r="S3220" s="14"/>
      <c r="T3220" s="12"/>
      <c r="U3220" s="15"/>
      <c r="V3220" s="12"/>
      <c r="W3220" s="12"/>
      <c r="X3220" s="12"/>
      <c r="Y3220" s="12"/>
      <c r="AJ3220" s="12"/>
      <c r="AK3220" s="37"/>
    </row>
    <row r="3221" spans="18:37">
      <c r="R3221" s="14"/>
      <c r="S3221" s="14"/>
      <c r="T3221" s="12"/>
      <c r="U3221" s="15"/>
      <c r="V3221" s="12"/>
      <c r="W3221" s="12"/>
      <c r="X3221" s="12"/>
      <c r="Y3221" s="12"/>
      <c r="AJ3221" s="12"/>
      <c r="AK3221" s="37"/>
    </row>
    <row r="3222" spans="18:37">
      <c r="R3222" s="14"/>
      <c r="S3222" s="14"/>
      <c r="T3222" s="12"/>
      <c r="U3222" s="15"/>
      <c r="V3222" s="12"/>
      <c r="W3222" s="12"/>
      <c r="X3222" s="12"/>
      <c r="Y3222" s="12"/>
      <c r="AJ3222" s="12"/>
      <c r="AK3222" s="37"/>
    </row>
    <row r="3223" spans="18:37">
      <c r="R3223" s="14"/>
      <c r="S3223" s="14"/>
      <c r="T3223" s="12"/>
      <c r="U3223" s="15"/>
      <c r="V3223" s="12"/>
      <c r="W3223" s="12"/>
      <c r="X3223" s="12"/>
      <c r="Y3223" s="12"/>
      <c r="AJ3223" s="12"/>
      <c r="AK3223" s="37"/>
    </row>
    <row r="3224" spans="18:37">
      <c r="R3224" s="14"/>
      <c r="S3224" s="14"/>
      <c r="T3224" s="12"/>
      <c r="U3224" s="15"/>
      <c r="V3224" s="12"/>
      <c r="W3224" s="12"/>
      <c r="X3224" s="12"/>
      <c r="Y3224" s="12"/>
      <c r="AJ3224" s="12"/>
      <c r="AK3224" s="37"/>
    </row>
    <row r="3225" spans="18:37">
      <c r="R3225" s="14"/>
      <c r="S3225" s="14"/>
      <c r="T3225" s="12"/>
      <c r="U3225" s="15"/>
      <c r="V3225" s="12"/>
      <c r="W3225" s="12"/>
      <c r="X3225" s="12"/>
      <c r="Y3225" s="12"/>
      <c r="AJ3225" s="12"/>
      <c r="AK3225" s="37"/>
    </row>
    <row r="3226" spans="18:37">
      <c r="R3226" s="14"/>
      <c r="S3226" s="14"/>
      <c r="T3226" s="12"/>
      <c r="U3226" s="15"/>
      <c r="V3226" s="12"/>
      <c r="W3226" s="12"/>
      <c r="X3226" s="12"/>
      <c r="Y3226" s="12"/>
      <c r="AJ3226" s="12"/>
      <c r="AK3226" s="37"/>
    </row>
    <row r="3227" spans="18:37">
      <c r="R3227" s="14"/>
      <c r="S3227" s="14"/>
      <c r="T3227" s="12"/>
      <c r="U3227" s="15"/>
      <c r="V3227" s="12"/>
      <c r="W3227" s="12"/>
      <c r="X3227" s="12"/>
      <c r="Y3227" s="12"/>
      <c r="AJ3227" s="12"/>
      <c r="AK3227" s="37"/>
    </row>
    <row r="3228" spans="18:37">
      <c r="R3228" s="14"/>
      <c r="S3228" s="14"/>
      <c r="T3228" s="12"/>
      <c r="U3228" s="15"/>
      <c r="V3228" s="12"/>
      <c r="W3228" s="12"/>
      <c r="X3228" s="12"/>
      <c r="Y3228" s="12"/>
      <c r="AJ3228" s="12"/>
      <c r="AK3228" s="37"/>
    </row>
    <row r="3229" spans="18:37">
      <c r="R3229" s="14"/>
      <c r="S3229" s="14"/>
      <c r="T3229" s="12"/>
      <c r="U3229" s="15"/>
      <c r="V3229" s="12"/>
      <c r="W3229" s="12"/>
      <c r="X3229" s="12"/>
      <c r="Y3229" s="12"/>
      <c r="AJ3229" s="12"/>
      <c r="AK3229" s="37"/>
    </row>
    <row r="3230" spans="18:37">
      <c r="R3230" s="14"/>
      <c r="S3230" s="14"/>
      <c r="T3230" s="12"/>
      <c r="U3230" s="15"/>
      <c r="V3230" s="12"/>
      <c r="W3230" s="12"/>
      <c r="X3230" s="12"/>
      <c r="Y3230" s="12"/>
      <c r="AJ3230" s="12"/>
      <c r="AK3230" s="37"/>
    </row>
    <row r="3231" spans="18:37">
      <c r="R3231" s="14"/>
      <c r="S3231" s="14"/>
      <c r="T3231" s="12"/>
      <c r="U3231" s="15"/>
      <c r="V3231" s="12"/>
      <c r="W3231" s="12"/>
      <c r="X3231" s="12"/>
      <c r="Y3231" s="12"/>
      <c r="AJ3231" s="12"/>
      <c r="AK3231" s="37"/>
    </row>
    <row r="3232" spans="18:37">
      <c r="R3232" s="14"/>
      <c r="S3232" s="14"/>
      <c r="T3232" s="12"/>
      <c r="U3232" s="15"/>
      <c r="V3232" s="12"/>
      <c r="W3232" s="12"/>
      <c r="X3232" s="12"/>
      <c r="Y3232" s="12"/>
      <c r="AJ3232" s="12"/>
      <c r="AK3232" s="37"/>
    </row>
    <row r="3233" spans="18:37">
      <c r="R3233" s="14"/>
      <c r="S3233" s="14"/>
      <c r="T3233" s="12"/>
      <c r="U3233" s="15"/>
      <c r="V3233" s="12"/>
      <c r="W3233" s="12"/>
      <c r="X3233" s="12"/>
      <c r="Y3233" s="12"/>
      <c r="AJ3233" s="12"/>
      <c r="AK3233" s="37"/>
    </row>
    <row r="3234" spans="18:37">
      <c r="R3234" s="14"/>
      <c r="S3234" s="14"/>
      <c r="T3234" s="12"/>
      <c r="U3234" s="15"/>
      <c r="V3234" s="12"/>
      <c r="W3234" s="12"/>
      <c r="X3234" s="12"/>
      <c r="Y3234" s="12"/>
      <c r="AJ3234" s="12"/>
      <c r="AK3234" s="37"/>
    </row>
    <row r="3235" spans="18:37">
      <c r="R3235" s="14"/>
      <c r="S3235" s="14"/>
      <c r="T3235" s="12"/>
      <c r="U3235" s="15"/>
      <c r="V3235" s="12"/>
      <c r="W3235" s="12"/>
      <c r="X3235" s="12"/>
      <c r="Y3235" s="12"/>
      <c r="AJ3235" s="12"/>
      <c r="AK3235" s="37"/>
    </row>
    <row r="3236" spans="18:37">
      <c r="R3236" s="14"/>
      <c r="S3236" s="14"/>
      <c r="T3236" s="12"/>
      <c r="U3236" s="15"/>
      <c r="V3236" s="12"/>
      <c r="W3236" s="12"/>
      <c r="X3236" s="12"/>
      <c r="Y3236" s="12"/>
      <c r="AJ3236" s="12"/>
      <c r="AK3236" s="37"/>
    </row>
    <row r="3237" spans="18:37">
      <c r="R3237" s="14"/>
      <c r="S3237" s="14"/>
      <c r="T3237" s="12"/>
      <c r="U3237" s="15"/>
      <c r="V3237" s="12"/>
      <c r="W3237" s="12"/>
      <c r="X3237" s="12"/>
      <c r="Y3237" s="12"/>
      <c r="AJ3237" s="12"/>
      <c r="AK3237" s="37"/>
    </row>
    <row r="3238" spans="18:37">
      <c r="R3238" s="14"/>
      <c r="S3238" s="14"/>
      <c r="T3238" s="12"/>
      <c r="U3238" s="15"/>
      <c r="V3238" s="12"/>
      <c r="W3238" s="12"/>
      <c r="X3238" s="12"/>
      <c r="Y3238" s="12"/>
      <c r="AJ3238" s="12"/>
      <c r="AK3238" s="37"/>
    </row>
    <row r="3239" spans="18:37">
      <c r="R3239" s="14"/>
      <c r="S3239" s="14"/>
      <c r="T3239" s="12"/>
      <c r="U3239" s="15"/>
      <c r="V3239" s="12"/>
      <c r="W3239" s="12"/>
      <c r="X3239" s="12"/>
      <c r="Y3239" s="12"/>
      <c r="AJ3239" s="12"/>
      <c r="AK3239" s="37"/>
    </row>
    <row r="3240" spans="18:37">
      <c r="R3240" s="14"/>
      <c r="S3240" s="14"/>
      <c r="T3240" s="12"/>
      <c r="U3240" s="15"/>
      <c r="V3240" s="12"/>
      <c r="W3240" s="12"/>
      <c r="X3240" s="12"/>
      <c r="Y3240" s="12"/>
      <c r="AJ3240" s="12"/>
      <c r="AK3240" s="37"/>
    </row>
    <row r="3241" spans="18:37">
      <c r="R3241" s="14"/>
      <c r="S3241" s="14"/>
      <c r="T3241" s="12"/>
      <c r="U3241" s="15"/>
      <c r="V3241" s="12"/>
      <c r="W3241" s="12"/>
      <c r="X3241" s="12"/>
      <c r="Y3241" s="12"/>
      <c r="AJ3241" s="12"/>
      <c r="AK3241" s="37"/>
    </row>
    <row r="3242" spans="18:37">
      <c r="R3242" s="14"/>
      <c r="S3242" s="14"/>
      <c r="T3242" s="12"/>
      <c r="U3242" s="15"/>
      <c r="V3242" s="12"/>
      <c r="W3242" s="12"/>
      <c r="X3242" s="12"/>
      <c r="Y3242" s="12"/>
      <c r="AJ3242" s="12"/>
      <c r="AK3242" s="37"/>
    </row>
    <row r="3243" spans="18:37">
      <c r="R3243" s="14"/>
      <c r="S3243" s="14"/>
      <c r="T3243" s="12"/>
      <c r="U3243" s="15"/>
      <c r="V3243" s="12"/>
      <c r="W3243" s="12"/>
      <c r="X3243" s="12"/>
      <c r="Y3243" s="12"/>
      <c r="AJ3243" s="12"/>
      <c r="AK3243" s="37"/>
    </row>
    <row r="3244" spans="18:37">
      <c r="R3244" s="14"/>
      <c r="S3244" s="14"/>
      <c r="T3244" s="12"/>
      <c r="U3244" s="15"/>
      <c r="V3244" s="12"/>
      <c r="W3244" s="12"/>
      <c r="X3244" s="12"/>
      <c r="Y3244" s="12"/>
      <c r="AJ3244" s="12"/>
      <c r="AK3244" s="37"/>
    </row>
    <row r="3245" spans="18:37">
      <c r="R3245" s="14"/>
      <c r="S3245" s="14"/>
      <c r="T3245" s="12"/>
      <c r="U3245" s="15"/>
      <c r="V3245" s="12"/>
      <c r="W3245" s="12"/>
      <c r="X3245" s="12"/>
      <c r="Y3245" s="12"/>
      <c r="AJ3245" s="12"/>
      <c r="AK3245" s="37"/>
    </row>
    <row r="3246" spans="18:37">
      <c r="R3246" s="14"/>
      <c r="S3246" s="14"/>
      <c r="T3246" s="12"/>
      <c r="U3246" s="15"/>
      <c r="V3246" s="12"/>
      <c r="W3246" s="12"/>
      <c r="X3246" s="12"/>
      <c r="Y3246" s="12"/>
      <c r="AJ3246" s="12"/>
      <c r="AK3246" s="37"/>
    </row>
    <row r="3247" spans="18:37">
      <c r="R3247" s="14"/>
      <c r="S3247" s="14"/>
      <c r="T3247" s="12"/>
      <c r="U3247" s="15"/>
      <c r="V3247" s="12"/>
      <c r="W3247" s="12"/>
      <c r="X3247" s="12"/>
      <c r="Y3247" s="12"/>
      <c r="AJ3247" s="12"/>
      <c r="AK3247" s="37"/>
    </row>
    <row r="3248" spans="18:37">
      <c r="R3248" s="14"/>
      <c r="S3248" s="14"/>
      <c r="T3248" s="12"/>
      <c r="U3248" s="15"/>
      <c r="V3248" s="12"/>
      <c r="W3248" s="12"/>
      <c r="X3248" s="12"/>
      <c r="Y3248" s="12"/>
      <c r="AJ3248" s="12"/>
      <c r="AK3248" s="37"/>
    </row>
    <row r="3249" spans="18:37">
      <c r="R3249" s="14"/>
      <c r="S3249" s="14"/>
      <c r="T3249" s="12"/>
      <c r="U3249" s="15"/>
      <c r="V3249" s="12"/>
      <c r="W3249" s="12"/>
      <c r="X3249" s="12"/>
      <c r="Y3249" s="12"/>
      <c r="AJ3249" s="12"/>
      <c r="AK3249" s="37"/>
    </row>
    <row r="3250" spans="18:37">
      <c r="R3250" s="14"/>
      <c r="S3250" s="14"/>
      <c r="T3250" s="12"/>
      <c r="U3250" s="15"/>
      <c r="V3250" s="12"/>
      <c r="W3250" s="12"/>
      <c r="X3250" s="12"/>
      <c r="Y3250" s="12"/>
      <c r="AJ3250" s="12"/>
      <c r="AK3250" s="37"/>
    </row>
    <row r="3251" spans="18:37">
      <c r="R3251" s="14"/>
      <c r="S3251" s="14"/>
      <c r="T3251" s="12"/>
      <c r="U3251" s="15"/>
      <c r="V3251" s="12"/>
      <c r="W3251" s="12"/>
      <c r="X3251" s="12"/>
      <c r="Y3251" s="12"/>
      <c r="AJ3251" s="12"/>
      <c r="AK3251" s="37"/>
    </row>
    <row r="3252" spans="18:37">
      <c r="R3252" s="14"/>
      <c r="S3252" s="14"/>
      <c r="T3252" s="12"/>
      <c r="U3252" s="15"/>
      <c r="V3252" s="12"/>
      <c r="W3252" s="12"/>
      <c r="X3252" s="12"/>
      <c r="Y3252" s="12"/>
      <c r="AJ3252" s="12"/>
      <c r="AK3252" s="37"/>
    </row>
    <row r="3253" spans="18:37">
      <c r="R3253" s="14"/>
      <c r="S3253" s="14"/>
      <c r="T3253" s="12"/>
      <c r="U3253" s="15"/>
      <c r="V3253" s="12"/>
      <c r="W3253" s="12"/>
      <c r="X3253" s="12"/>
      <c r="Y3253" s="12"/>
      <c r="AJ3253" s="12"/>
      <c r="AK3253" s="37"/>
    </row>
    <row r="3254" spans="18:37">
      <c r="R3254" s="14"/>
      <c r="S3254" s="14"/>
      <c r="T3254" s="12"/>
      <c r="U3254" s="15"/>
      <c r="V3254" s="12"/>
      <c r="W3254" s="12"/>
      <c r="X3254" s="12"/>
      <c r="Y3254" s="12"/>
      <c r="AJ3254" s="12"/>
      <c r="AK3254" s="37"/>
    </row>
    <row r="3255" spans="18:37">
      <c r="R3255" s="14"/>
      <c r="S3255" s="14"/>
      <c r="T3255" s="12"/>
      <c r="U3255" s="15"/>
      <c r="V3255" s="12"/>
      <c r="W3255" s="12"/>
      <c r="X3255" s="12"/>
      <c r="Y3255" s="12"/>
      <c r="AJ3255" s="12"/>
      <c r="AK3255" s="37"/>
    </row>
    <row r="3256" spans="18:37">
      <c r="R3256" s="14"/>
      <c r="S3256" s="14"/>
      <c r="T3256" s="12"/>
      <c r="U3256" s="15"/>
      <c r="V3256" s="12"/>
      <c r="W3256" s="12"/>
      <c r="X3256" s="12"/>
      <c r="Y3256" s="12"/>
      <c r="AJ3256" s="12"/>
      <c r="AK3256" s="37"/>
    </row>
    <row r="3257" spans="18:37">
      <c r="R3257" s="14"/>
      <c r="S3257" s="14"/>
      <c r="T3257" s="12"/>
      <c r="U3257" s="15"/>
      <c r="V3257" s="12"/>
      <c r="W3257" s="12"/>
      <c r="X3257" s="12"/>
      <c r="Y3257" s="12"/>
      <c r="AJ3257" s="12"/>
      <c r="AK3257" s="37"/>
    </row>
    <row r="3258" spans="18:37">
      <c r="R3258" s="14"/>
      <c r="S3258" s="14"/>
      <c r="T3258" s="12"/>
      <c r="U3258" s="15"/>
      <c r="V3258" s="12"/>
      <c r="W3258" s="12"/>
      <c r="X3258" s="12"/>
      <c r="Y3258" s="12"/>
      <c r="AJ3258" s="12"/>
      <c r="AK3258" s="37"/>
    </row>
    <row r="3259" spans="18:37">
      <c r="R3259" s="14"/>
      <c r="S3259" s="14"/>
      <c r="T3259" s="12"/>
      <c r="U3259" s="15"/>
      <c r="V3259" s="12"/>
      <c r="W3259" s="12"/>
      <c r="X3259" s="12"/>
      <c r="Y3259" s="12"/>
      <c r="AJ3259" s="12"/>
      <c r="AK3259" s="37"/>
    </row>
    <row r="3260" spans="18:37">
      <c r="R3260" s="14"/>
      <c r="S3260" s="14"/>
      <c r="T3260" s="12"/>
      <c r="U3260" s="15"/>
      <c r="V3260" s="12"/>
      <c r="W3260" s="12"/>
      <c r="X3260" s="12"/>
      <c r="Y3260" s="12"/>
      <c r="AJ3260" s="12"/>
      <c r="AK3260" s="37"/>
    </row>
    <row r="3261" spans="18:37">
      <c r="R3261" s="14"/>
      <c r="S3261" s="14"/>
      <c r="T3261" s="12"/>
      <c r="U3261" s="15"/>
      <c r="V3261" s="12"/>
      <c r="W3261" s="12"/>
      <c r="X3261" s="12"/>
      <c r="Y3261" s="12"/>
      <c r="AJ3261" s="12"/>
      <c r="AK3261" s="37"/>
    </row>
    <row r="3262" spans="18:37">
      <c r="R3262" s="14"/>
      <c r="S3262" s="14"/>
      <c r="T3262" s="12"/>
      <c r="U3262" s="15"/>
      <c r="V3262" s="12"/>
      <c r="W3262" s="12"/>
      <c r="X3262" s="12"/>
      <c r="Y3262" s="12"/>
      <c r="AJ3262" s="12"/>
      <c r="AK3262" s="37"/>
    </row>
    <row r="3263" spans="18:37">
      <c r="R3263" s="14"/>
      <c r="S3263" s="14"/>
      <c r="T3263" s="12"/>
      <c r="U3263" s="15"/>
      <c r="V3263" s="12"/>
      <c r="W3263" s="12"/>
      <c r="X3263" s="12"/>
      <c r="Y3263" s="12"/>
      <c r="AJ3263" s="12"/>
      <c r="AK3263" s="37"/>
    </row>
    <row r="3264" spans="18:37">
      <c r="R3264" s="14"/>
      <c r="S3264" s="14"/>
      <c r="T3264" s="12"/>
      <c r="U3264" s="15"/>
      <c r="V3264" s="12"/>
      <c r="W3264" s="12"/>
      <c r="X3264" s="12"/>
      <c r="Y3264" s="12"/>
      <c r="AJ3264" s="12"/>
      <c r="AK3264" s="37"/>
    </row>
    <row r="3265" spans="18:37">
      <c r="R3265" s="14"/>
      <c r="S3265" s="14"/>
      <c r="T3265" s="12"/>
      <c r="U3265" s="15"/>
      <c r="V3265" s="12"/>
      <c r="W3265" s="12"/>
      <c r="X3265" s="12"/>
      <c r="Y3265" s="12"/>
      <c r="AJ3265" s="12"/>
      <c r="AK3265" s="37"/>
    </row>
    <row r="3266" spans="18:37">
      <c r="R3266" s="14"/>
      <c r="S3266" s="14"/>
      <c r="T3266" s="12"/>
      <c r="U3266" s="15"/>
      <c r="V3266" s="12"/>
      <c r="W3266" s="12"/>
      <c r="X3266" s="12"/>
      <c r="Y3266" s="12"/>
      <c r="AJ3266" s="12"/>
      <c r="AK3266" s="37"/>
    </row>
    <row r="3267" spans="18:37">
      <c r="R3267" s="14"/>
      <c r="S3267" s="14"/>
      <c r="T3267" s="12"/>
      <c r="U3267" s="15"/>
      <c r="V3267" s="12"/>
      <c r="W3267" s="12"/>
      <c r="X3267" s="12"/>
      <c r="Y3267" s="12"/>
      <c r="AJ3267" s="12"/>
      <c r="AK3267" s="37"/>
    </row>
    <row r="3268" spans="18:37">
      <c r="R3268" s="14"/>
      <c r="S3268" s="14"/>
      <c r="T3268" s="12"/>
      <c r="U3268" s="15"/>
      <c r="V3268" s="12"/>
      <c r="W3268" s="12"/>
      <c r="X3268" s="12"/>
      <c r="Y3268" s="12"/>
      <c r="AJ3268" s="12"/>
      <c r="AK3268" s="37"/>
    </row>
    <row r="3269" spans="18:37">
      <c r="R3269" s="14"/>
      <c r="S3269" s="14"/>
      <c r="T3269" s="12"/>
      <c r="U3269" s="15"/>
      <c r="V3269" s="12"/>
      <c r="W3269" s="12"/>
      <c r="X3269" s="12"/>
      <c r="Y3269" s="12"/>
      <c r="AJ3269" s="12"/>
      <c r="AK3269" s="37"/>
    </row>
    <row r="3270" spans="18:37">
      <c r="R3270" s="14"/>
      <c r="S3270" s="14"/>
      <c r="T3270" s="12"/>
      <c r="U3270" s="15"/>
      <c r="V3270" s="12"/>
      <c r="W3270" s="12"/>
      <c r="X3270" s="12"/>
      <c r="Y3270" s="12"/>
      <c r="AJ3270" s="12"/>
      <c r="AK3270" s="37"/>
    </row>
    <row r="3271" spans="18:37">
      <c r="R3271" s="14"/>
      <c r="S3271" s="14"/>
      <c r="T3271" s="12"/>
      <c r="U3271" s="15"/>
      <c r="V3271" s="12"/>
      <c r="W3271" s="12"/>
      <c r="X3271" s="12"/>
      <c r="Y3271" s="12"/>
      <c r="AJ3271" s="12"/>
      <c r="AK3271" s="37"/>
    </row>
    <row r="3272" spans="18:37">
      <c r="R3272" s="14"/>
      <c r="S3272" s="14"/>
      <c r="T3272" s="12"/>
      <c r="U3272" s="15"/>
      <c r="V3272" s="12"/>
      <c r="W3272" s="12"/>
      <c r="X3272" s="12"/>
      <c r="Y3272" s="12"/>
      <c r="AJ3272" s="12"/>
      <c r="AK3272" s="37"/>
    </row>
    <row r="3273" spans="18:37">
      <c r="R3273" s="14"/>
      <c r="S3273" s="14"/>
      <c r="T3273" s="12"/>
      <c r="U3273" s="15"/>
      <c r="V3273" s="12"/>
      <c r="W3273" s="12"/>
      <c r="X3273" s="12"/>
      <c r="Y3273" s="12"/>
      <c r="AJ3273" s="12"/>
      <c r="AK3273" s="37"/>
    </row>
    <row r="3274" spans="18:37">
      <c r="R3274" s="14"/>
      <c r="S3274" s="14"/>
      <c r="T3274" s="12"/>
      <c r="U3274" s="15"/>
      <c r="V3274" s="12"/>
      <c r="W3274" s="12"/>
      <c r="X3274" s="12"/>
      <c r="Y3274" s="12"/>
      <c r="AJ3274" s="12"/>
      <c r="AK3274" s="37"/>
    </row>
    <row r="3275" spans="18:37">
      <c r="R3275" s="14"/>
      <c r="S3275" s="14"/>
      <c r="T3275" s="12"/>
      <c r="U3275" s="15"/>
      <c r="V3275" s="12"/>
      <c r="W3275" s="12"/>
      <c r="X3275" s="12"/>
      <c r="Y3275" s="12"/>
      <c r="AJ3275" s="12"/>
      <c r="AK3275" s="37"/>
    </row>
    <row r="3276" spans="18:37">
      <c r="R3276" s="14"/>
      <c r="S3276" s="14"/>
      <c r="T3276" s="12"/>
      <c r="U3276" s="15"/>
      <c r="V3276" s="12"/>
      <c r="W3276" s="12"/>
      <c r="X3276" s="12"/>
      <c r="Y3276" s="12"/>
      <c r="AJ3276" s="12"/>
      <c r="AK3276" s="37"/>
    </row>
    <row r="3277" spans="18:37">
      <c r="R3277" s="14"/>
      <c r="S3277" s="14"/>
      <c r="T3277" s="12"/>
      <c r="U3277" s="15"/>
      <c r="V3277" s="12"/>
      <c r="W3277" s="12"/>
      <c r="X3277" s="12"/>
      <c r="Y3277" s="12"/>
      <c r="AJ3277" s="12"/>
      <c r="AK3277" s="37"/>
    </row>
    <row r="3278" spans="18:37">
      <c r="R3278" s="14"/>
      <c r="S3278" s="14"/>
      <c r="T3278" s="12"/>
      <c r="U3278" s="15"/>
      <c r="V3278" s="12"/>
      <c r="W3278" s="12"/>
      <c r="X3278" s="12"/>
      <c r="Y3278" s="12"/>
      <c r="AJ3278" s="12"/>
      <c r="AK3278" s="37"/>
    </row>
    <row r="3279" spans="18:37">
      <c r="R3279" s="14"/>
      <c r="S3279" s="14"/>
      <c r="T3279" s="12"/>
      <c r="U3279" s="15"/>
      <c r="V3279" s="12"/>
      <c r="W3279" s="12"/>
      <c r="X3279" s="12"/>
      <c r="Y3279" s="12"/>
      <c r="AJ3279" s="12"/>
      <c r="AK3279" s="37"/>
    </row>
    <row r="3280" spans="18:37">
      <c r="R3280" s="14"/>
      <c r="S3280" s="14"/>
      <c r="T3280" s="12"/>
      <c r="U3280" s="15"/>
      <c r="V3280" s="12"/>
      <c r="W3280" s="12"/>
      <c r="X3280" s="12"/>
      <c r="Y3280" s="12"/>
      <c r="AJ3280" s="12"/>
      <c r="AK3280" s="37"/>
    </row>
    <row r="3281" spans="18:37">
      <c r="R3281" s="14"/>
      <c r="S3281" s="14"/>
      <c r="T3281" s="12"/>
      <c r="U3281" s="15"/>
      <c r="V3281" s="12"/>
      <c r="W3281" s="12"/>
      <c r="X3281" s="12"/>
      <c r="Y3281" s="12"/>
      <c r="AJ3281" s="12"/>
      <c r="AK3281" s="37"/>
    </row>
    <row r="3282" spans="18:37">
      <c r="R3282" s="14"/>
      <c r="S3282" s="14"/>
      <c r="T3282" s="12"/>
      <c r="U3282" s="15"/>
      <c r="V3282" s="12"/>
      <c r="W3282" s="12"/>
      <c r="X3282" s="12"/>
      <c r="Y3282" s="12"/>
      <c r="AJ3282" s="12"/>
      <c r="AK3282" s="37"/>
    </row>
    <row r="3283" spans="18:37">
      <c r="R3283" s="14"/>
      <c r="S3283" s="14"/>
      <c r="T3283" s="12"/>
      <c r="U3283" s="15"/>
      <c r="V3283" s="12"/>
      <c r="W3283" s="12"/>
      <c r="X3283" s="12"/>
      <c r="Y3283" s="12"/>
      <c r="AJ3283" s="12"/>
      <c r="AK3283" s="37"/>
    </row>
    <row r="3284" spans="18:37">
      <c r="R3284" s="14"/>
      <c r="S3284" s="14"/>
      <c r="T3284" s="12"/>
      <c r="U3284" s="15"/>
      <c r="V3284" s="12"/>
      <c r="W3284" s="12"/>
      <c r="X3284" s="12"/>
      <c r="Y3284" s="12"/>
      <c r="AJ3284" s="12"/>
      <c r="AK3284" s="37"/>
    </row>
    <row r="3285" spans="18:37">
      <c r="R3285" s="14"/>
      <c r="S3285" s="14"/>
      <c r="T3285" s="12"/>
      <c r="U3285" s="15"/>
      <c r="V3285" s="12"/>
      <c r="W3285" s="12"/>
      <c r="X3285" s="12"/>
      <c r="Y3285" s="12"/>
      <c r="AJ3285" s="12"/>
      <c r="AK3285" s="37"/>
    </row>
    <row r="3286" spans="18:37">
      <c r="R3286" s="14"/>
      <c r="S3286" s="14"/>
      <c r="T3286" s="12"/>
      <c r="U3286" s="15"/>
      <c r="V3286" s="12"/>
      <c r="W3286" s="12"/>
      <c r="X3286" s="12"/>
      <c r="Y3286" s="12"/>
      <c r="AJ3286" s="12"/>
      <c r="AK3286" s="37"/>
    </row>
    <row r="3287" spans="18:37">
      <c r="R3287" s="14"/>
      <c r="S3287" s="14"/>
      <c r="T3287" s="12"/>
      <c r="U3287" s="15"/>
      <c r="V3287" s="12"/>
      <c r="W3287" s="12"/>
      <c r="X3287" s="12"/>
      <c r="Y3287" s="12"/>
      <c r="AJ3287" s="12"/>
      <c r="AK3287" s="37"/>
    </row>
    <row r="3288" spans="18:37">
      <c r="R3288" s="14"/>
      <c r="S3288" s="14"/>
      <c r="T3288" s="12"/>
      <c r="U3288" s="15"/>
      <c r="V3288" s="12"/>
      <c r="W3288" s="12"/>
      <c r="X3288" s="12"/>
      <c r="Y3288" s="12"/>
      <c r="AJ3288" s="12"/>
      <c r="AK3288" s="37"/>
    </row>
    <row r="3289" spans="18:37">
      <c r="R3289" s="14"/>
      <c r="S3289" s="14"/>
      <c r="T3289" s="12"/>
      <c r="U3289" s="15"/>
      <c r="V3289" s="12"/>
      <c r="W3289" s="12"/>
      <c r="X3289" s="12"/>
      <c r="Y3289" s="12"/>
      <c r="AJ3289" s="12"/>
      <c r="AK3289" s="37"/>
    </row>
    <row r="3290" spans="18:37">
      <c r="R3290" s="14"/>
      <c r="S3290" s="14"/>
      <c r="T3290" s="12"/>
      <c r="U3290" s="15"/>
      <c r="V3290" s="12"/>
      <c r="W3290" s="12"/>
      <c r="X3290" s="12"/>
      <c r="Y3290" s="12"/>
      <c r="AJ3290" s="12"/>
      <c r="AK3290" s="37"/>
    </row>
    <row r="3291" spans="18:37">
      <c r="R3291" s="14"/>
      <c r="S3291" s="14"/>
      <c r="T3291" s="12"/>
      <c r="U3291" s="15"/>
      <c r="V3291" s="12"/>
      <c r="W3291" s="12"/>
      <c r="X3291" s="12"/>
      <c r="Y3291" s="12"/>
      <c r="AJ3291" s="12"/>
      <c r="AK3291" s="37"/>
    </row>
    <row r="3292" spans="18:37">
      <c r="R3292" s="14"/>
      <c r="S3292" s="14"/>
      <c r="T3292" s="12"/>
      <c r="U3292" s="15"/>
      <c r="V3292" s="12"/>
      <c r="W3292" s="12"/>
      <c r="X3292" s="12"/>
      <c r="Y3292" s="12"/>
      <c r="AJ3292" s="12"/>
      <c r="AK3292" s="37"/>
    </row>
    <row r="3293" spans="18:37">
      <c r="R3293" s="14"/>
      <c r="S3293" s="14"/>
      <c r="T3293" s="12"/>
      <c r="U3293" s="15"/>
      <c r="V3293" s="12"/>
      <c r="W3293" s="12"/>
      <c r="X3293" s="12"/>
      <c r="Y3293" s="12"/>
      <c r="AJ3293" s="12"/>
      <c r="AK3293" s="37"/>
    </row>
    <row r="3294" spans="18:37">
      <c r="R3294" s="14"/>
      <c r="S3294" s="14"/>
      <c r="T3294" s="12"/>
      <c r="U3294" s="15"/>
      <c r="V3294" s="12"/>
      <c r="W3294" s="12"/>
      <c r="X3294" s="12"/>
      <c r="Y3294" s="12"/>
      <c r="AJ3294" s="12"/>
      <c r="AK3294" s="37"/>
    </row>
    <row r="3295" spans="18:37">
      <c r="R3295" s="14"/>
      <c r="S3295" s="14"/>
      <c r="T3295" s="12"/>
      <c r="U3295" s="15"/>
      <c r="V3295" s="12"/>
      <c r="W3295" s="12"/>
      <c r="X3295" s="12"/>
      <c r="Y3295" s="12"/>
      <c r="AJ3295" s="12"/>
      <c r="AK3295" s="37"/>
    </row>
    <row r="3296" spans="18:37">
      <c r="R3296" s="14"/>
      <c r="S3296" s="14"/>
      <c r="T3296" s="12"/>
      <c r="U3296" s="15"/>
      <c r="V3296" s="12"/>
      <c r="W3296" s="12"/>
      <c r="X3296" s="12"/>
      <c r="Y3296" s="12"/>
      <c r="AJ3296" s="12"/>
      <c r="AK3296" s="37"/>
    </row>
    <row r="3297" spans="18:37">
      <c r="R3297" s="14"/>
      <c r="S3297" s="14"/>
      <c r="T3297" s="12"/>
      <c r="U3297" s="15"/>
      <c r="V3297" s="12"/>
      <c r="W3297" s="12"/>
      <c r="X3297" s="12"/>
      <c r="Y3297" s="12"/>
      <c r="AJ3297" s="12"/>
      <c r="AK3297" s="37"/>
    </row>
    <row r="3298" spans="18:37">
      <c r="R3298" s="14"/>
      <c r="S3298" s="14"/>
      <c r="T3298" s="12"/>
      <c r="U3298" s="15"/>
      <c r="V3298" s="12"/>
      <c r="W3298" s="12"/>
      <c r="X3298" s="12"/>
      <c r="Y3298" s="12"/>
      <c r="AJ3298" s="12"/>
      <c r="AK3298" s="37"/>
    </row>
    <row r="3299" spans="18:37">
      <c r="R3299" s="14"/>
      <c r="S3299" s="14"/>
      <c r="T3299" s="12"/>
      <c r="U3299" s="15"/>
      <c r="V3299" s="12"/>
      <c r="W3299" s="12"/>
      <c r="X3299" s="12"/>
      <c r="Y3299" s="12"/>
      <c r="AJ3299" s="12"/>
      <c r="AK3299" s="37"/>
    </row>
    <row r="3300" spans="18:37">
      <c r="R3300" s="14"/>
      <c r="S3300" s="14"/>
      <c r="T3300" s="12"/>
      <c r="U3300" s="15"/>
      <c r="V3300" s="12"/>
      <c r="W3300" s="12"/>
      <c r="X3300" s="12"/>
      <c r="Y3300" s="12"/>
      <c r="AJ3300" s="12"/>
      <c r="AK3300" s="37"/>
    </row>
    <row r="3301" spans="18:37">
      <c r="R3301" s="14"/>
      <c r="S3301" s="14"/>
      <c r="T3301" s="12"/>
      <c r="U3301" s="15"/>
      <c r="V3301" s="12"/>
      <c r="W3301" s="12"/>
      <c r="X3301" s="12"/>
      <c r="Y3301" s="12"/>
      <c r="AJ3301" s="12"/>
      <c r="AK3301" s="37"/>
    </row>
    <row r="3302" spans="18:37">
      <c r="R3302" s="14"/>
      <c r="S3302" s="14"/>
      <c r="T3302" s="12"/>
      <c r="U3302" s="15"/>
      <c r="V3302" s="12"/>
      <c r="W3302" s="12"/>
      <c r="X3302" s="12"/>
      <c r="Y3302" s="12"/>
      <c r="AJ3302" s="12"/>
      <c r="AK3302" s="37"/>
    </row>
    <row r="3303" spans="18:37">
      <c r="R3303" s="14"/>
      <c r="S3303" s="14"/>
      <c r="T3303" s="12"/>
      <c r="U3303" s="15"/>
      <c r="V3303" s="12"/>
      <c r="W3303" s="12"/>
      <c r="X3303" s="12"/>
      <c r="Y3303" s="12"/>
      <c r="AJ3303" s="12"/>
      <c r="AK3303" s="37"/>
    </row>
    <row r="3304" spans="18:37">
      <c r="R3304" s="14"/>
      <c r="S3304" s="14"/>
      <c r="T3304" s="12"/>
      <c r="U3304" s="15"/>
      <c r="V3304" s="12"/>
      <c r="W3304" s="12"/>
      <c r="X3304" s="12"/>
      <c r="Y3304" s="12"/>
      <c r="AJ3304" s="12"/>
      <c r="AK3304" s="37"/>
    </row>
    <row r="3305" spans="18:37">
      <c r="R3305" s="14"/>
      <c r="S3305" s="14"/>
      <c r="T3305" s="12"/>
      <c r="U3305" s="15"/>
      <c r="V3305" s="12"/>
      <c r="W3305" s="12"/>
      <c r="X3305" s="12"/>
      <c r="Y3305" s="12"/>
      <c r="AJ3305" s="12"/>
      <c r="AK3305" s="37"/>
    </row>
    <row r="3306" spans="18:37">
      <c r="R3306" s="14"/>
      <c r="S3306" s="14"/>
      <c r="T3306" s="12"/>
      <c r="U3306" s="15"/>
      <c r="V3306" s="12"/>
      <c r="W3306" s="12"/>
      <c r="X3306" s="12"/>
      <c r="Y3306" s="12"/>
      <c r="AJ3306" s="12"/>
      <c r="AK3306" s="37"/>
    </row>
    <row r="3307" spans="18:37">
      <c r="R3307" s="14"/>
      <c r="S3307" s="14"/>
      <c r="T3307" s="12"/>
      <c r="U3307" s="15"/>
      <c r="V3307" s="12"/>
      <c r="W3307" s="12"/>
      <c r="X3307" s="12"/>
      <c r="Y3307" s="12"/>
      <c r="AJ3307" s="12"/>
      <c r="AK3307" s="37"/>
    </row>
    <row r="3308" spans="18:37">
      <c r="R3308" s="14"/>
      <c r="S3308" s="14"/>
      <c r="T3308" s="12"/>
      <c r="U3308" s="15"/>
      <c r="V3308" s="12"/>
      <c r="W3308" s="12"/>
      <c r="X3308" s="12"/>
      <c r="Y3308" s="12"/>
      <c r="AJ3308" s="12"/>
      <c r="AK3308" s="37"/>
    </row>
    <row r="3309" spans="18:37">
      <c r="R3309" s="14"/>
      <c r="S3309" s="14"/>
      <c r="T3309" s="12"/>
      <c r="U3309" s="15"/>
      <c r="V3309" s="12"/>
      <c r="W3309" s="12"/>
      <c r="X3309" s="12"/>
      <c r="Y3309" s="12"/>
      <c r="AJ3309" s="12"/>
      <c r="AK3309" s="37"/>
    </row>
    <row r="3310" spans="18:37">
      <c r="R3310" s="14"/>
      <c r="S3310" s="14"/>
      <c r="T3310" s="12"/>
      <c r="U3310" s="15"/>
      <c r="V3310" s="12"/>
      <c r="W3310" s="12"/>
      <c r="X3310" s="12"/>
      <c r="Y3310" s="12"/>
      <c r="AJ3310" s="12"/>
      <c r="AK3310" s="37"/>
    </row>
    <row r="3311" spans="18:37">
      <c r="R3311" s="14"/>
      <c r="S3311" s="14"/>
      <c r="T3311" s="12"/>
      <c r="U3311" s="15"/>
      <c r="V3311" s="12"/>
      <c r="W3311" s="12"/>
      <c r="X3311" s="12"/>
      <c r="Y3311" s="12"/>
      <c r="AJ3311" s="12"/>
      <c r="AK3311" s="37"/>
    </row>
    <row r="3312" spans="18:37">
      <c r="R3312" s="14"/>
      <c r="S3312" s="14"/>
      <c r="T3312" s="12"/>
      <c r="U3312" s="15"/>
      <c r="V3312" s="12"/>
      <c r="W3312" s="12"/>
      <c r="X3312" s="12"/>
      <c r="Y3312" s="12"/>
      <c r="AJ3312" s="12"/>
      <c r="AK3312" s="37"/>
    </row>
    <row r="3313" spans="18:37">
      <c r="R3313" s="14"/>
      <c r="S3313" s="14"/>
      <c r="T3313" s="12"/>
      <c r="U3313" s="15"/>
      <c r="V3313" s="12"/>
      <c r="W3313" s="12"/>
      <c r="X3313" s="12"/>
      <c r="Y3313" s="12"/>
      <c r="AJ3313" s="12"/>
      <c r="AK3313" s="37"/>
    </row>
    <row r="3314" spans="18:37">
      <c r="R3314" s="14"/>
      <c r="S3314" s="14"/>
      <c r="T3314" s="12"/>
      <c r="U3314" s="15"/>
      <c r="V3314" s="12"/>
      <c r="W3314" s="12"/>
      <c r="X3314" s="12"/>
      <c r="Y3314" s="12"/>
      <c r="AJ3314" s="12"/>
      <c r="AK3314" s="37"/>
    </row>
    <row r="3315" spans="18:37">
      <c r="R3315" s="14"/>
      <c r="S3315" s="14"/>
      <c r="T3315" s="12"/>
      <c r="U3315" s="15"/>
      <c r="V3315" s="12"/>
      <c r="W3315" s="12"/>
      <c r="X3315" s="12"/>
      <c r="Y3315" s="12"/>
      <c r="AJ3315" s="12"/>
      <c r="AK3315" s="37"/>
    </row>
    <row r="3316" spans="18:37">
      <c r="R3316" s="14"/>
      <c r="S3316" s="14"/>
      <c r="T3316" s="12"/>
      <c r="U3316" s="15"/>
      <c r="V3316" s="12"/>
      <c r="W3316" s="12"/>
      <c r="X3316" s="12"/>
      <c r="Y3316" s="12"/>
      <c r="AJ3316" s="12"/>
      <c r="AK3316" s="37"/>
    </row>
    <row r="3317" spans="18:37">
      <c r="R3317" s="14"/>
      <c r="S3317" s="14"/>
      <c r="T3317" s="12"/>
      <c r="U3317" s="15"/>
      <c r="V3317" s="12"/>
      <c r="W3317" s="12"/>
      <c r="X3317" s="12"/>
      <c r="Y3317" s="12"/>
      <c r="AJ3317" s="12"/>
      <c r="AK3317" s="37"/>
    </row>
    <row r="3318" spans="18:37">
      <c r="R3318" s="14"/>
      <c r="S3318" s="14"/>
      <c r="T3318" s="12"/>
      <c r="U3318" s="15"/>
      <c r="V3318" s="12"/>
      <c r="W3318" s="12"/>
      <c r="X3318" s="12"/>
      <c r="Y3318" s="12"/>
      <c r="AJ3318" s="12"/>
      <c r="AK3318" s="37"/>
    </row>
    <row r="3319" spans="18:37">
      <c r="R3319" s="14"/>
      <c r="S3319" s="14"/>
      <c r="T3319" s="12"/>
      <c r="U3319" s="15"/>
      <c r="V3319" s="12"/>
      <c r="W3319" s="12"/>
      <c r="X3319" s="12"/>
      <c r="Y3319" s="12"/>
      <c r="AJ3319" s="12"/>
      <c r="AK3319" s="37"/>
    </row>
    <row r="3320" spans="18:37">
      <c r="R3320" s="14"/>
      <c r="S3320" s="14"/>
      <c r="T3320" s="12"/>
      <c r="U3320" s="15"/>
      <c r="V3320" s="12"/>
      <c r="W3320" s="12"/>
      <c r="X3320" s="12"/>
      <c r="Y3320" s="12"/>
      <c r="AJ3320" s="12"/>
      <c r="AK3320" s="37"/>
    </row>
    <row r="3321" spans="18:37">
      <c r="R3321" s="14"/>
      <c r="S3321" s="14"/>
      <c r="T3321" s="12"/>
      <c r="U3321" s="15"/>
      <c r="V3321" s="12"/>
      <c r="W3321" s="12"/>
      <c r="X3321" s="12"/>
      <c r="Y3321" s="12"/>
      <c r="AJ3321" s="12"/>
      <c r="AK3321" s="37"/>
    </row>
    <row r="3322" spans="18:37">
      <c r="R3322" s="14"/>
      <c r="S3322" s="14"/>
      <c r="T3322" s="12"/>
      <c r="U3322" s="15"/>
      <c r="V3322" s="12"/>
      <c r="W3322" s="12"/>
      <c r="X3322" s="12"/>
      <c r="Y3322" s="12"/>
      <c r="AJ3322" s="12"/>
      <c r="AK3322" s="37"/>
    </row>
    <row r="3323" spans="18:37">
      <c r="R3323" s="14"/>
      <c r="S3323" s="14"/>
      <c r="T3323" s="12"/>
      <c r="U3323" s="15"/>
      <c r="V3323" s="12"/>
      <c r="W3323" s="12"/>
      <c r="X3323" s="12"/>
      <c r="Y3323" s="12"/>
      <c r="AJ3323" s="12"/>
      <c r="AK3323" s="37"/>
    </row>
    <row r="3324" spans="18:37">
      <c r="R3324" s="14"/>
      <c r="S3324" s="14"/>
      <c r="T3324" s="12"/>
      <c r="U3324" s="15"/>
      <c r="V3324" s="12"/>
      <c r="W3324" s="12"/>
      <c r="X3324" s="12"/>
      <c r="Y3324" s="12"/>
      <c r="AJ3324" s="12"/>
      <c r="AK3324" s="37"/>
    </row>
    <row r="3325" spans="18:37">
      <c r="R3325" s="14"/>
      <c r="S3325" s="14"/>
      <c r="T3325" s="12"/>
      <c r="U3325" s="15"/>
      <c r="V3325" s="12"/>
      <c r="W3325" s="12"/>
      <c r="X3325" s="12"/>
      <c r="Y3325" s="12"/>
      <c r="AJ3325" s="12"/>
      <c r="AK3325" s="37"/>
    </row>
    <row r="3326" spans="18:37">
      <c r="R3326" s="14"/>
      <c r="S3326" s="14"/>
      <c r="T3326" s="12"/>
      <c r="U3326" s="15"/>
      <c r="V3326" s="12"/>
      <c r="W3326" s="12"/>
      <c r="X3326" s="12"/>
      <c r="Y3326" s="12"/>
      <c r="AJ3326" s="12"/>
      <c r="AK3326" s="37"/>
    </row>
    <row r="3327" spans="18:37">
      <c r="R3327" s="14"/>
      <c r="S3327" s="14"/>
      <c r="T3327" s="12"/>
      <c r="U3327" s="15"/>
      <c r="V3327" s="12"/>
      <c r="W3327" s="12"/>
      <c r="X3327" s="12"/>
      <c r="Y3327" s="12"/>
      <c r="AJ3327" s="12"/>
      <c r="AK3327" s="37"/>
    </row>
    <row r="3328" spans="18:37">
      <c r="R3328" s="14"/>
      <c r="S3328" s="14"/>
      <c r="T3328" s="12"/>
      <c r="U3328" s="15"/>
      <c r="V3328" s="12"/>
      <c r="W3328" s="12"/>
      <c r="X3328" s="12"/>
      <c r="Y3328" s="12"/>
      <c r="AJ3328" s="12"/>
      <c r="AK3328" s="37"/>
    </row>
    <row r="3329" spans="18:37">
      <c r="R3329" s="14"/>
      <c r="S3329" s="14"/>
      <c r="T3329" s="12"/>
      <c r="U3329" s="15"/>
      <c r="V3329" s="12"/>
      <c r="W3329" s="12"/>
      <c r="X3329" s="12"/>
      <c r="Y3329" s="12"/>
      <c r="AJ3329" s="12"/>
      <c r="AK3329" s="37"/>
    </row>
    <row r="3330" spans="18:37">
      <c r="R3330" s="14"/>
      <c r="S3330" s="14"/>
      <c r="T3330" s="12"/>
      <c r="U3330" s="15"/>
      <c r="V3330" s="12"/>
      <c r="W3330" s="12"/>
      <c r="X3330" s="12"/>
      <c r="Y3330" s="12"/>
      <c r="AJ3330" s="12"/>
      <c r="AK3330" s="37"/>
    </row>
    <row r="3331" spans="18:37">
      <c r="R3331" s="14"/>
      <c r="S3331" s="14"/>
      <c r="T3331" s="12"/>
      <c r="U3331" s="15"/>
      <c r="V3331" s="12"/>
      <c r="W3331" s="12"/>
      <c r="X3331" s="12"/>
      <c r="Y3331" s="12"/>
      <c r="AJ3331" s="12"/>
      <c r="AK3331" s="37"/>
    </row>
    <row r="3332" spans="18:37">
      <c r="R3332" s="14"/>
      <c r="S3332" s="14"/>
      <c r="T3332" s="12"/>
      <c r="U3332" s="15"/>
      <c r="V3332" s="12"/>
      <c r="W3332" s="12"/>
      <c r="X3332" s="12"/>
      <c r="Y3332" s="12"/>
      <c r="AJ3332" s="12"/>
      <c r="AK3332" s="37"/>
    </row>
    <row r="3333" spans="18:37">
      <c r="R3333" s="14"/>
      <c r="S3333" s="14"/>
      <c r="T3333" s="12"/>
      <c r="U3333" s="15"/>
      <c r="V3333" s="12"/>
      <c r="W3333" s="12"/>
      <c r="X3333" s="12"/>
      <c r="Y3333" s="12"/>
      <c r="AJ3333" s="12"/>
      <c r="AK3333" s="37"/>
    </row>
    <row r="3334" spans="18:37">
      <c r="R3334" s="14"/>
      <c r="S3334" s="14"/>
      <c r="T3334" s="12"/>
      <c r="U3334" s="15"/>
      <c r="V3334" s="12"/>
      <c r="W3334" s="12"/>
      <c r="X3334" s="12"/>
      <c r="Y3334" s="12"/>
      <c r="AJ3334" s="12"/>
      <c r="AK3334" s="37"/>
    </row>
    <row r="3335" spans="18:37">
      <c r="R3335" s="14"/>
      <c r="S3335" s="14"/>
      <c r="T3335" s="12"/>
      <c r="U3335" s="15"/>
      <c r="V3335" s="12"/>
      <c r="W3335" s="12"/>
      <c r="X3335" s="12"/>
      <c r="Y3335" s="12"/>
      <c r="AJ3335" s="12"/>
      <c r="AK3335" s="37"/>
    </row>
    <row r="3336" spans="18:37">
      <c r="R3336" s="14"/>
      <c r="S3336" s="14"/>
      <c r="T3336" s="12"/>
      <c r="U3336" s="15"/>
      <c r="V3336" s="12"/>
      <c r="W3336" s="12"/>
      <c r="X3336" s="12"/>
      <c r="Y3336" s="12"/>
      <c r="AJ3336" s="12"/>
      <c r="AK3336" s="37"/>
    </row>
    <row r="3337" spans="18:37">
      <c r="R3337" s="14"/>
      <c r="S3337" s="14"/>
      <c r="T3337" s="12"/>
      <c r="U3337" s="15"/>
      <c r="V3337" s="12"/>
      <c r="W3337" s="12"/>
      <c r="X3337" s="12"/>
      <c r="Y3337" s="12"/>
      <c r="AJ3337" s="12"/>
      <c r="AK3337" s="37"/>
    </row>
    <row r="3338" spans="18:37">
      <c r="R3338" s="14"/>
      <c r="S3338" s="14"/>
      <c r="T3338" s="12"/>
      <c r="U3338" s="15"/>
      <c r="V3338" s="12"/>
      <c r="W3338" s="12"/>
      <c r="X3338" s="12"/>
      <c r="Y3338" s="12"/>
      <c r="AJ3338" s="12"/>
      <c r="AK3338" s="37"/>
    </row>
    <row r="3339" spans="18:37">
      <c r="R3339" s="14"/>
      <c r="S3339" s="14"/>
      <c r="T3339" s="12"/>
      <c r="U3339" s="15"/>
      <c r="V3339" s="12"/>
      <c r="W3339" s="12"/>
      <c r="X3339" s="12"/>
      <c r="Y3339" s="12"/>
      <c r="AJ3339" s="12"/>
      <c r="AK3339" s="37"/>
    </row>
    <row r="3340" spans="18:37">
      <c r="R3340" s="14"/>
      <c r="S3340" s="14"/>
      <c r="T3340" s="12"/>
      <c r="U3340" s="15"/>
      <c r="V3340" s="12"/>
      <c r="W3340" s="12"/>
      <c r="X3340" s="12"/>
      <c r="Y3340" s="12"/>
      <c r="AJ3340" s="12"/>
      <c r="AK3340" s="37"/>
    </row>
    <row r="3341" spans="18:37">
      <c r="R3341" s="14"/>
      <c r="S3341" s="14"/>
      <c r="T3341" s="12"/>
      <c r="U3341" s="15"/>
      <c r="V3341" s="12"/>
      <c r="W3341" s="12"/>
      <c r="X3341" s="12"/>
      <c r="Y3341" s="12"/>
      <c r="AJ3341" s="12"/>
      <c r="AK3341" s="37"/>
    </row>
    <row r="3342" spans="18:37">
      <c r="R3342" s="14"/>
      <c r="S3342" s="14"/>
      <c r="T3342" s="12"/>
      <c r="U3342" s="15"/>
      <c r="V3342" s="12"/>
      <c r="W3342" s="12"/>
      <c r="X3342" s="12"/>
      <c r="Y3342" s="12"/>
      <c r="AJ3342" s="12"/>
      <c r="AK3342" s="37"/>
    </row>
    <row r="3343" spans="18:37">
      <c r="R3343" s="14"/>
      <c r="S3343" s="14"/>
      <c r="T3343" s="12"/>
      <c r="U3343" s="15"/>
      <c r="V3343" s="12"/>
      <c r="W3343" s="12"/>
      <c r="X3343" s="12"/>
      <c r="Y3343" s="12"/>
      <c r="AJ3343" s="12"/>
      <c r="AK3343" s="37"/>
    </row>
    <row r="3344" spans="18:37">
      <c r="R3344" s="14"/>
      <c r="S3344" s="14"/>
      <c r="T3344" s="12"/>
      <c r="U3344" s="15"/>
      <c r="V3344" s="12"/>
      <c r="W3344" s="12"/>
      <c r="X3344" s="12"/>
      <c r="Y3344" s="12"/>
      <c r="AJ3344" s="12"/>
      <c r="AK3344" s="37"/>
    </row>
    <row r="3345" spans="18:37">
      <c r="R3345" s="14"/>
      <c r="S3345" s="14"/>
      <c r="T3345" s="12"/>
      <c r="U3345" s="15"/>
      <c r="V3345" s="12"/>
      <c r="W3345" s="12"/>
      <c r="X3345" s="12"/>
      <c r="Y3345" s="12"/>
      <c r="AJ3345" s="12"/>
      <c r="AK3345" s="33"/>
    </row>
    <row r="3346" spans="18:37">
      <c r="R3346" s="14"/>
      <c r="S3346" s="14"/>
      <c r="T3346" s="12"/>
      <c r="U3346" s="15"/>
      <c r="V3346" s="12"/>
      <c r="W3346" s="12"/>
      <c r="X3346" s="12"/>
      <c r="Y3346" s="12"/>
      <c r="AJ3346" s="12"/>
      <c r="AK3346" s="33"/>
    </row>
    <row r="3347" spans="18:37">
      <c r="R3347" s="14"/>
      <c r="S3347" s="14"/>
      <c r="T3347" s="12"/>
      <c r="U3347" s="15"/>
      <c r="V3347" s="12"/>
      <c r="W3347" s="12"/>
      <c r="X3347" s="12"/>
      <c r="Y3347" s="12"/>
      <c r="AJ3347" s="12"/>
      <c r="AK3347" s="33"/>
    </row>
    <row r="3348" spans="18:37">
      <c r="R3348" s="14"/>
      <c r="S3348" s="14"/>
      <c r="T3348" s="12"/>
      <c r="U3348" s="15"/>
      <c r="V3348" s="12"/>
      <c r="W3348" s="12"/>
      <c r="X3348" s="12"/>
      <c r="Y3348" s="12"/>
      <c r="AJ3348" s="12"/>
      <c r="AK3348" s="33"/>
    </row>
    <row r="3349" spans="18:37">
      <c r="R3349" s="14"/>
      <c r="S3349" s="14"/>
      <c r="T3349" s="12"/>
      <c r="U3349" s="15"/>
      <c r="V3349" s="12"/>
      <c r="W3349" s="12"/>
      <c r="X3349" s="12"/>
      <c r="Y3349" s="12"/>
      <c r="AJ3349" s="12"/>
      <c r="AK3349" s="33"/>
    </row>
    <row r="3350" spans="18:37">
      <c r="R3350" s="14"/>
      <c r="S3350" s="14"/>
      <c r="T3350" s="12"/>
      <c r="U3350" s="15"/>
      <c r="V3350" s="12"/>
      <c r="W3350" s="12"/>
      <c r="X3350" s="12"/>
      <c r="Y3350" s="12"/>
      <c r="AJ3350" s="12"/>
      <c r="AK3350" s="33"/>
    </row>
    <row r="3351" spans="18:37">
      <c r="R3351" s="14"/>
      <c r="S3351" s="14"/>
      <c r="T3351" s="12"/>
      <c r="U3351" s="15"/>
      <c r="V3351" s="12"/>
      <c r="W3351" s="12"/>
      <c r="X3351" s="12"/>
      <c r="Y3351" s="12"/>
      <c r="AJ3351" s="12"/>
      <c r="AK3351" s="33"/>
    </row>
    <row r="3352" spans="18:37">
      <c r="R3352" s="14"/>
      <c r="S3352" s="14"/>
      <c r="T3352" s="12"/>
      <c r="U3352" s="15"/>
      <c r="V3352" s="12"/>
      <c r="W3352" s="12"/>
      <c r="X3352" s="12"/>
      <c r="Y3352" s="12"/>
      <c r="AJ3352" s="12"/>
      <c r="AK3352" s="33"/>
    </row>
    <row r="3353" spans="18:37">
      <c r="R3353" s="14"/>
      <c r="S3353" s="14"/>
      <c r="T3353" s="12"/>
      <c r="U3353" s="15"/>
      <c r="V3353" s="12"/>
      <c r="W3353" s="12"/>
      <c r="X3353" s="12"/>
      <c r="Y3353" s="12"/>
      <c r="AJ3353" s="12"/>
      <c r="AK3353" s="33"/>
    </row>
    <row r="3354" spans="18:37">
      <c r="R3354" s="14"/>
      <c r="S3354" s="14"/>
      <c r="T3354" s="12"/>
      <c r="U3354" s="15"/>
      <c r="V3354" s="12"/>
      <c r="W3354" s="12"/>
      <c r="X3354" s="12"/>
      <c r="Y3354" s="12"/>
      <c r="AJ3354" s="12"/>
      <c r="AK3354" s="33"/>
    </row>
    <row r="3355" spans="18:37">
      <c r="R3355" s="14"/>
      <c r="S3355" s="14"/>
      <c r="T3355" s="12"/>
      <c r="U3355" s="15"/>
      <c r="V3355" s="12"/>
      <c r="W3355" s="12"/>
      <c r="X3355" s="12"/>
      <c r="Y3355" s="12"/>
      <c r="AJ3355" s="12"/>
      <c r="AK3355" s="33"/>
    </row>
    <row r="3356" spans="18:37">
      <c r="R3356" s="14"/>
      <c r="S3356" s="14"/>
      <c r="T3356" s="12"/>
      <c r="U3356" s="15"/>
      <c r="V3356" s="12"/>
      <c r="W3356" s="12"/>
      <c r="X3356" s="12"/>
      <c r="Y3356" s="12"/>
      <c r="AJ3356" s="12"/>
      <c r="AK3356" s="33"/>
    </row>
    <row r="3357" spans="18:37">
      <c r="R3357" s="14"/>
      <c r="S3357" s="14"/>
      <c r="T3357" s="12"/>
      <c r="U3357" s="15"/>
      <c r="V3357" s="12"/>
      <c r="W3357" s="12"/>
      <c r="X3357" s="12"/>
      <c r="Y3357" s="12"/>
      <c r="AJ3357" s="12"/>
      <c r="AK3357" s="33"/>
    </row>
    <row r="3358" spans="18:37">
      <c r="R3358" s="14"/>
      <c r="S3358" s="14"/>
      <c r="T3358" s="12"/>
      <c r="U3358" s="15"/>
      <c r="V3358" s="12"/>
      <c r="W3358" s="12"/>
      <c r="X3358" s="12"/>
      <c r="Y3358" s="12"/>
      <c r="AJ3358" s="38"/>
      <c r="AK3358" s="39"/>
    </row>
    <row r="3359" spans="18:37">
      <c r="R3359" s="14"/>
      <c r="S3359" s="14"/>
      <c r="T3359" s="12"/>
      <c r="U3359" s="15"/>
      <c r="V3359" s="12"/>
      <c r="W3359" s="12"/>
      <c r="X3359" s="12"/>
      <c r="Y3359" s="12"/>
      <c r="AJ3359" s="12"/>
      <c r="AK3359" s="33"/>
    </row>
    <row r="3360" spans="18:37">
      <c r="R3360" s="14"/>
      <c r="S3360" s="14"/>
      <c r="T3360" s="12"/>
      <c r="U3360" s="15"/>
      <c r="V3360" s="12"/>
      <c r="W3360" s="12"/>
      <c r="X3360" s="12"/>
      <c r="Y3360" s="12"/>
      <c r="AJ3360" s="12"/>
      <c r="AK3360" s="33"/>
    </row>
    <row r="3361" spans="18:37">
      <c r="R3361" s="14"/>
      <c r="S3361" s="14"/>
      <c r="T3361" s="12"/>
      <c r="U3361" s="15"/>
      <c r="V3361" s="12"/>
      <c r="W3361" s="12"/>
      <c r="X3361" s="12"/>
      <c r="Y3361" s="12"/>
      <c r="AJ3361" s="12"/>
      <c r="AK3361" s="33"/>
    </row>
    <row r="3362" spans="18:37">
      <c r="R3362" s="14"/>
      <c r="S3362" s="14"/>
      <c r="T3362" s="12"/>
      <c r="U3362" s="15"/>
      <c r="V3362" s="12"/>
      <c r="W3362" s="12"/>
      <c r="X3362" s="12"/>
      <c r="Y3362" s="12"/>
      <c r="AJ3362" s="12"/>
      <c r="AK3362" s="33"/>
    </row>
    <row r="3363" spans="18:37">
      <c r="R3363" s="14"/>
      <c r="S3363" s="14"/>
      <c r="T3363" s="12"/>
      <c r="U3363" s="15"/>
      <c r="V3363" s="12"/>
      <c r="W3363" s="12"/>
      <c r="X3363" s="12"/>
      <c r="Y3363" s="12"/>
      <c r="AJ3363" s="12"/>
      <c r="AK3363" s="33"/>
    </row>
    <row r="3364" spans="18:37">
      <c r="R3364" s="14"/>
      <c r="S3364" s="14"/>
      <c r="T3364" s="12"/>
      <c r="U3364" s="15"/>
      <c r="V3364" s="12"/>
      <c r="W3364" s="12"/>
      <c r="X3364" s="12"/>
      <c r="Y3364" s="12"/>
      <c r="AJ3364" s="12"/>
      <c r="AK3364" s="33"/>
    </row>
    <row r="3365" spans="18:37">
      <c r="R3365" s="14"/>
      <c r="S3365" s="14"/>
      <c r="T3365" s="12"/>
      <c r="U3365" s="15"/>
      <c r="V3365" s="12"/>
      <c r="W3365" s="12"/>
      <c r="X3365" s="12"/>
      <c r="Y3365" s="12"/>
      <c r="AJ3365" s="12"/>
      <c r="AK3365" s="33"/>
    </row>
    <row r="3366" spans="18:37">
      <c r="R3366" s="14"/>
      <c r="S3366" s="14"/>
      <c r="T3366" s="12"/>
      <c r="U3366" s="15"/>
      <c r="V3366" s="12"/>
      <c r="W3366" s="12"/>
      <c r="X3366" s="12"/>
      <c r="Y3366" s="12"/>
      <c r="AJ3366" s="12"/>
      <c r="AK3366" s="33"/>
    </row>
    <row r="3367" spans="18:37">
      <c r="R3367" s="14"/>
      <c r="S3367" s="14"/>
      <c r="T3367" s="12"/>
      <c r="U3367" s="15"/>
      <c r="V3367" s="12"/>
      <c r="W3367" s="12"/>
      <c r="X3367" s="12"/>
      <c r="Y3367" s="12"/>
      <c r="AJ3367" s="12"/>
      <c r="AK3367" s="33"/>
    </row>
    <row r="3368" spans="18:37">
      <c r="R3368" s="14"/>
      <c r="S3368" s="14"/>
      <c r="T3368" s="12"/>
      <c r="U3368" s="15"/>
      <c r="V3368" s="12"/>
      <c r="W3368" s="12"/>
      <c r="X3368" s="12"/>
      <c r="Y3368" s="12"/>
      <c r="AJ3368" s="12"/>
      <c r="AK3368" s="33"/>
    </row>
    <row r="3369" spans="18:37">
      <c r="R3369" s="14"/>
      <c r="S3369" s="14"/>
      <c r="T3369" s="12"/>
      <c r="U3369" s="15"/>
      <c r="V3369" s="12"/>
      <c r="W3369" s="12"/>
      <c r="X3369" s="12"/>
      <c r="Y3369" s="12"/>
      <c r="AJ3369" s="12"/>
      <c r="AK3369" s="33"/>
    </row>
    <row r="3370" spans="18:37">
      <c r="R3370" s="14"/>
      <c r="S3370" s="14"/>
      <c r="T3370" s="12"/>
      <c r="U3370" s="15"/>
      <c r="V3370" s="12"/>
      <c r="W3370" s="12"/>
      <c r="X3370" s="12"/>
      <c r="Y3370" s="12"/>
      <c r="AJ3370" s="12"/>
      <c r="AK3370" s="33"/>
    </row>
    <row r="3371" spans="18:37">
      <c r="R3371" s="14"/>
      <c r="S3371" s="14"/>
      <c r="T3371" s="12"/>
      <c r="U3371" s="15"/>
      <c r="V3371" s="12"/>
      <c r="W3371" s="12"/>
      <c r="X3371" s="12"/>
      <c r="Y3371" s="12"/>
      <c r="AJ3371" s="12"/>
      <c r="AK3371" s="33"/>
    </row>
    <row r="3372" spans="18:37">
      <c r="R3372" s="14"/>
      <c r="S3372" s="14"/>
      <c r="T3372" s="12"/>
      <c r="U3372" s="15"/>
      <c r="V3372" s="12"/>
      <c r="W3372" s="12"/>
      <c r="X3372" s="12"/>
      <c r="Y3372" s="12"/>
      <c r="AJ3372" s="12"/>
      <c r="AK3372" s="33"/>
    </row>
    <row r="3373" spans="18:37">
      <c r="R3373" s="14"/>
      <c r="S3373" s="14"/>
      <c r="T3373" s="12"/>
      <c r="U3373" s="15"/>
      <c r="V3373" s="12"/>
      <c r="W3373" s="12"/>
      <c r="X3373" s="12"/>
      <c r="Y3373" s="12"/>
      <c r="AJ3373" s="12"/>
      <c r="AK3373" s="33"/>
    </row>
    <row r="3374" spans="18:37">
      <c r="R3374" s="14"/>
      <c r="S3374" s="14"/>
      <c r="T3374" s="12"/>
      <c r="U3374" s="15"/>
      <c r="V3374" s="12"/>
      <c r="W3374" s="12"/>
      <c r="X3374" s="12"/>
      <c r="Y3374" s="12"/>
      <c r="AJ3374" s="12"/>
      <c r="AK3374" s="33"/>
    </row>
    <row r="3375" spans="18:37">
      <c r="R3375" s="14"/>
      <c r="S3375" s="14"/>
      <c r="T3375" s="12"/>
      <c r="U3375" s="15"/>
      <c r="V3375" s="12"/>
      <c r="W3375" s="12"/>
      <c r="X3375" s="12"/>
      <c r="Y3375" s="12"/>
      <c r="AJ3375" s="12"/>
      <c r="AK3375" s="33"/>
    </row>
    <row r="3376" spans="18:37">
      <c r="R3376" s="14"/>
      <c r="S3376" s="14"/>
      <c r="T3376" s="12"/>
      <c r="U3376" s="15"/>
      <c r="V3376" s="12"/>
      <c r="W3376" s="12"/>
      <c r="X3376" s="12"/>
      <c r="Y3376" s="12"/>
      <c r="AJ3376" s="12"/>
      <c r="AK3376" s="33"/>
    </row>
    <row r="3377" spans="18:37">
      <c r="R3377" s="14"/>
      <c r="S3377" s="14"/>
      <c r="T3377" s="12"/>
      <c r="U3377" s="15"/>
      <c r="V3377" s="12"/>
      <c r="W3377" s="12"/>
      <c r="X3377" s="12"/>
      <c r="Y3377" s="12"/>
      <c r="AJ3377" s="12"/>
      <c r="AK3377" s="33"/>
    </row>
    <row r="3378" spans="18:37">
      <c r="R3378" s="14"/>
      <c r="S3378" s="14"/>
      <c r="T3378" s="12"/>
      <c r="U3378" s="15"/>
      <c r="V3378" s="12"/>
      <c r="W3378" s="12"/>
      <c r="X3378" s="12"/>
      <c r="Y3378" s="12"/>
      <c r="AJ3378" s="12"/>
      <c r="AK3378" s="33"/>
    </row>
    <row r="3379" spans="18:37">
      <c r="R3379" s="14"/>
      <c r="S3379" s="14"/>
      <c r="T3379" s="12"/>
      <c r="U3379" s="15"/>
      <c r="V3379" s="12"/>
      <c r="W3379" s="12"/>
      <c r="X3379" s="12"/>
      <c r="Y3379" s="12"/>
      <c r="AJ3379" s="12"/>
      <c r="AK3379" s="33"/>
    </row>
    <row r="3380" spans="18:37">
      <c r="R3380" s="14"/>
      <c r="S3380" s="14"/>
      <c r="T3380" s="12"/>
      <c r="U3380" s="15"/>
      <c r="V3380" s="12"/>
      <c r="W3380" s="12"/>
      <c r="X3380" s="12"/>
      <c r="Y3380" s="12"/>
      <c r="AJ3380" s="12"/>
      <c r="AK3380" s="33"/>
    </row>
    <row r="3381" spans="18:37">
      <c r="R3381" s="14"/>
      <c r="S3381" s="14"/>
      <c r="T3381" s="12"/>
      <c r="U3381" s="15"/>
      <c r="V3381" s="12"/>
      <c r="W3381" s="12"/>
      <c r="X3381" s="12"/>
      <c r="Y3381" s="12"/>
      <c r="AJ3381" s="12"/>
      <c r="AK3381" s="33"/>
    </row>
    <row r="3382" spans="18:37">
      <c r="R3382" s="14"/>
      <c r="S3382" s="14"/>
      <c r="T3382" s="12"/>
      <c r="U3382" s="15"/>
      <c r="V3382" s="12"/>
      <c r="W3382" s="12"/>
      <c r="X3382" s="12"/>
      <c r="Y3382" s="12"/>
      <c r="AJ3382" s="12"/>
      <c r="AK3382" s="33"/>
    </row>
    <row r="3383" spans="18:37">
      <c r="R3383" s="14"/>
      <c r="S3383" s="14"/>
      <c r="T3383" s="12"/>
      <c r="U3383" s="15"/>
      <c r="V3383" s="12"/>
      <c r="W3383" s="12"/>
      <c r="X3383" s="12"/>
      <c r="Y3383" s="12"/>
      <c r="AJ3383" s="12"/>
      <c r="AK3383" s="33"/>
    </row>
    <row r="3384" spans="18:37">
      <c r="R3384" s="14"/>
      <c r="S3384" s="14"/>
      <c r="T3384" s="12"/>
      <c r="U3384" s="15"/>
      <c r="V3384" s="12"/>
      <c r="W3384" s="12"/>
      <c r="X3384" s="12"/>
      <c r="Y3384" s="12"/>
      <c r="AJ3384" s="12"/>
      <c r="AK3384" s="33"/>
    </row>
    <row r="3385" spans="18:37">
      <c r="R3385" s="14"/>
      <c r="S3385" s="14"/>
      <c r="T3385" s="12"/>
      <c r="U3385" s="15"/>
      <c r="V3385" s="12"/>
      <c r="W3385" s="12"/>
      <c r="X3385" s="12"/>
      <c r="Y3385" s="12"/>
      <c r="AJ3385" s="12"/>
      <c r="AK3385" s="33"/>
    </row>
    <row r="3386" spans="18:37">
      <c r="R3386" s="14"/>
      <c r="S3386" s="14"/>
      <c r="T3386" s="12"/>
      <c r="U3386" s="15"/>
      <c r="V3386" s="12"/>
      <c r="W3386" s="12"/>
      <c r="X3386" s="12"/>
      <c r="Y3386" s="12"/>
      <c r="AJ3386" s="12"/>
      <c r="AK3386" s="33"/>
    </row>
    <row r="3387" spans="18:37">
      <c r="R3387" s="14"/>
      <c r="S3387" s="14"/>
      <c r="T3387" s="12"/>
      <c r="U3387" s="15"/>
      <c r="V3387" s="12"/>
      <c r="W3387" s="12"/>
      <c r="X3387" s="12"/>
      <c r="Y3387" s="12"/>
      <c r="AJ3387" s="12"/>
      <c r="AK3387" s="33"/>
    </row>
    <row r="3388" spans="18:37">
      <c r="R3388" s="14"/>
      <c r="S3388" s="14"/>
      <c r="T3388" s="12"/>
      <c r="U3388" s="15"/>
      <c r="V3388" s="12"/>
      <c r="W3388" s="12"/>
      <c r="X3388" s="12"/>
      <c r="Y3388" s="12"/>
      <c r="AJ3388" s="12"/>
      <c r="AK3388" s="33"/>
    </row>
    <row r="3389" spans="18:37">
      <c r="R3389" s="14"/>
      <c r="S3389" s="14"/>
      <c r="T3389" s="12"/>
      <c r="U3389" s="15"/>
      <c r="V3389" s="12"/>
      <c r="W3389" s="12"/>
      <c r="X3389" s="12"/>
      <c r="Y3389" s="12"/>
      <c r="AJ3389" s="12"/>
      <c r="AK3389" s="33"/>
    </row>
    <row r="3390" spans="18:37">
      <c r="R3390" s="14"/>
      <c r="S3390" s="14"/>
      <c r="T3390" s="12"/>
      <c r="U3390" s="15"/>
      <c r="V3390" s="12"/>
      <c r="W3390" s="12"/>
      <c r="X3390" s="12"/>
      <c r="Y3390" s="12"/>
      <c r="AJ3390" s="12"/>
      <c r="AK3390" s="33"/>
    </row>
    <row r="3391" spans="18:37">
      <c r="R3391" s="14"/>
      <c r="S3391" s="14"/>
      <c r="T3391" s="12"/>
      <c r="U3391" s="15"/>
      <c r="V3391" s="12"/>
      <c r="W3391" s="12"/>
      <c r="X3391" s="12"/>
      <c r="Y3391" s="12"/>
      <c r="AJ3391" s="12"/>
      <c r="AK3391" s="33"/>
    </row>
    <row r="3392" spans="18:37">
      <c r="R3392" s="14"/>
      <c r="S3392" s="14"/>
      <c r="T3392" s="12"/>
      <c r="U3392" s="15"/>
      <c r="V3392" s="12"/>
      <c r="W3392" s="12"/>
      <c r="X3392" s="12"/>
      <c r="Y3392" s="12"/>
      <c r="AJ3392" s="12"/>
      <c r="AK3392" s="33"/>
    </row>
    <row r="3393" spans="18:37">
      <c r="R3393" s="14"/>
      <c r="S3393" s="14"/>
      <c r="T3393" s="12"/>
      <c r="U3393" s="15"/>
      <c r="V3393" s="12"/>
      <c r="W3393" s="12"/>
      <c r="X3393" s="12"/>
      <c r="Y3393" s="12"/>
      <c r="AJ3393" s="12"/>
      <c r="AK3393" s="33"/>
    </row>
    <row r="3394" spans="18:37">
      <c r="R3394" s="14"/>
      <c r="S3394" s="14"/>
      <c r="T3394" s="12"/>
      <c r="U3394" s="15"/>
      <c r="V3394" s="12"/>
      <c r="W3394" s="12"/>
      <c r="X3394" s="12"/>
      <c r="Y3394" s="12"/>
      <c r="AJ3394" s="12"/>
      <c r="AK3394" s="33"/>
    </row>
    <row r="3395" spans="18:37">
      <c r="R3395" s="14"/>
      <c r="S3395" s="14"/>
      <c r="T3395" s="12"/>
      <c r="U3395" s="15"/>
      <c r="V3395" s="12"/>
      <c r="W3395" s="12"/>
      <c r="X3395" s="12"/>
      <c r="Y3395" s="12"/>
      <c r="AJ3395" s="12"/>
      <c r="AK3395" s="33"/>
    </row>
    <row r="3396" spans="18:37">
      <c r="R3396" s="14"/>
      <c r="S3396" s="14"/>
      <c r="T3396" s="12"/>
      <c r="U3396" s="15"/>
      <c r="V3396" s="12"/>
      <c r="W3396" s="12"/>
      <c r="X3396" s="12"/>
      <c r="Y3396" s="12"/>
      <c r="AJ3396" s="12"/>
      <c r="AK3396" s="33"/>
    </row>
    <row r="3397" spans="18:37">
      <c r="R3397" s="14"/>
      <c r="S3397" s="14"/>
      <c r="T3397" s="12"/>
      <c r="U3397" s="15"/>
      <c r="V3397" s="12"/>
      <c r="W3397" s="12"/>
      <c r="X3397" s="12"/>
      <c r="Y3397" s="12"/>
      <c r="AJ3397" s="12"/>
      <c r="AK3397" s="33"/>
    </row>
    <row r="3398" spans="18:37">
      <c r="R3398" s="14"/>
      <c r="S3398" s="14"/>
      <c r="T3398" s="12"/>
      <c r="U3398" s="15"/>
      <c r="V3398" s="12"/>
      <c r="W3398" s="12"/>
      <c r="X3398" s="12"/>
      <c r="Y3398" s="12"/>
      <c r="AJ3398" s="12"/>
      <c r="AK3398" s="33"/>
    </row>
    <row r="3399" spans="18:37">
      <c r="R3399" s="14"/>
      <c r="S3399" s="14"/>
      <c r="T3399" s="12"/>
      <c r="U3399" s="15"/>
      <c r="V3399" s="12"/>
      <c r="W3399" s="12"/>
      <c r="X3399" s="12"/>
      <c r="Y3399" s="12"/>
      <c r="AJ3399" s="12"/>
      <c r="AK3399" s="33"/>
    </row>
    <row r="3400" spans="18:37">
      <c r="R3400" s="14"/>
      <c r="S3400" s="14"/>
      <c r="T3400" s="12"/>
      <c r="U3400" s="15"/>
      <c r="V3400" s="12"/>
      <c r="W3400" s="12"/>
      <c r="X3400" s="12"/>
      <c r="Y3400" s="12"/>
      <c r="AJ3400" s="12"/>
      <c r="AK3400" s="33"/>
    </row>
    <row r="3401" spans="18:37">
      <c r="R3401" s="14"/>
      <c r="S3401" s="14"/>
      <c r="T3401" s="12"/>
      <c r="U3401" s="15"/>
      <c r="V3401" s="12"/>
      <c r="W3401" s="12"/>
      <c r="X3401" s="12"/>
      <c r="Y3401" s="12"/>
      <c r="AJ3401" s="12"/>
      <c r="AK3401" s="33"/>
    </row>
    <row r="3402" spans="18:37">
      <c r="R3402" s="14"/>
      <c r="S3402" s="14"/>
      <c r="T3402" s="12"/>
      <c r="U3402" s="15"/>
      <c r="V3402" s="12"/>
      <c r="W3402" s="12"/>
      <c r="X3402" s="12"/>
      <c r="Y3402" s="12"/>
      <c r="AJ3402" s="12"/>
      <c r="AK3402" s="33"/>
    </row>
    <row r="3403" spans="18:37">
      <c r="R3403" s="14"/>
      <c r="S3403" s="14"/>
      <c r="T3403" s="12"/>
      <c r="U3403" s="15"/>
      <c r="V3403" s="12"/>
      <c r="W3403" s="12"/>
      <c r="X3403" s="12"/>
      <c r="Y3403" s="12"/>
      <c r="AJ3403" s="12"/>
      <c r="AK3403" s="33"/>
    </row>
    <row r="3404" spans="18:37">
      <c r="R3404" s="14"/>
      <c r="S3404" s="14"/>
      <c r="T3404" s="12"/>
      <c r="U3404" s="15"/>
      <c r="V3404" s="12"/>
      <c r="W3404" s="12"/>
      <c r="X3404" s="12"/>
      <c r="Y3404" s="12"/>
      <c r="AJ3404" s="12"/>
      <c r="AK3404" s="33"/>
    </row>
    <row r="3405" spans="18:37">
      <c r="R3405" s="14"/>
      <c r="S3405" s="14"/>
      <c r="T3405" s="12"/>
      <c r="U3405" s="15"/>
      <c r="V3405" s="12"/>
      <c r="W3405" s="12"/>
      <c r="X3405" s="12"/>
      <c r="Y3405" s="12"/>
      <c r="AJ3405" s="12"/>
      <c r="AK3405" s="33"/>
    </row>
    <row r="3406" spans="18:37">
      <c r="R3406" s="14"/>
      <c r="S3406" s="14"/>
      <c r="T3406" s="12"/>
      <c r="U3406" s="15"/>
      <c r="V3406" s="12"/>
      <c r="W3406" s="12"/>
      <c r="X3406" s="12"/>
      <c r="Y3406" s="12"/>
      <c r="AJ3406" s="12"/>
      <c r="AK3406" s="33"/>
    </row>
    <row r="3407" spans="18:37">
      <c r="R3407" s="14"/>
      <c r="S3407" s="14"/>
      <c r="T3407" s="12"/>
      <c r="U3407" s="15"/>
      <c r="V3407" s="12"/>
      <c r="W3407" s="12"/>
      <c r="X3407" s="12"/>
      <c r="Y3407" s="12"/>
      <c r="AJ3407" s="12"/>
      <c r="AK3407" s="33"/>
    </row>
    <row r="3408" spans="18:37">
      <c r="R3408" s="14"/>
      <c r="S3408" s="14"/>
      <c r="T3408" s="12"/>
      <c r="U3408" s="15"/>
      <c r="V3408" s="12"/>
      <c r="W3408" s="12"/>
      <c r="X3408" s="12"/>
      <c r="Y3408" s="12"/>
      <c r="AJ3408" s="12"/>
      <c r="AK3408" s="33"/>
    </row>
    <row r="3409" spans="18:37">
      <c r="R3409" s="14"/>
      <c r="S3409" s="14"/>
      <c r="T3409" s="12"/>
      <c r="U3409" s="15"/>
      <c r="V3409" s="12"/>
      <c r="W3409" s="12"/>
      <c r="X3409" s="12"/>
      <c r="Y3409" s="12"/>
      <c r="AJ3409" s="12"/>
      <c r="AK3409" s="33"/>
    </row>
    <row r="3410" spans="18:37">
      <c r="R3410" s="14"/>
      <c r="S3410" s="14"/>
      <c r="T3410" s="12"/>
      <c r="U3410" s="15"/>
      <c r="V3410" s="12"/>
      <c r="W3410" s="12"/>
      <c r="X3410" s="12"/>
      <c r="Y3410" s="12"/>
      <c r="AJ3410" s="12"/>
      <c r="AK3410" s="33"/>
    </row>
    <row r="3411" spans="18:37">
      <c r="R3411" s="14"/>
      <c r="S3411" s="14"/>
      <c r="T3411" s="12"/>
      <c r="U3411" s="15"/>
      <c r="V3411" s="12"/>
      <c r="W3411" s="12"/>
      <c r="X3411" s="12"/>
      <c r="Y3411" s="12"/>
      <c r="AJ3411" s="12"/>
      <c r="AK3411" s="33"/>
    </row>
    <row r="3412" spans="18:37">
      <c r="R3412" s="14"/>
      <c r="S3412" s="14"/>
      <c r="T3412" s="12"/>
      <c r="U3412" s="15"/>
      <c r="V3412" s="12"/>
      <c r="W3412" s="12"/>
      <c r="X3412" s="12"/>
      <c r="Y3412" s="12"/>
      <c r="AJ3412" s="12"/>
      <c r="AK3412" s="33"/>
    </row>
    <row r="3413" spans="18:37">
      <c r="R3413" s="14"/>
      <c r="S3413" s="14"/>
      <c r="T3413" s="12"/>
      <c r="U3413" s="15"/>
      <c r="V3413" s="12"/>
      <c r="W3413" s="12"/>
      <c r="X3413" s="12"/>
      <c r="Y3413" s="12"/>
      <c r="AJ3413" s="12"/>
      <c r="AK3413" s="33"/>
    </row>
    <row r="3414" spans="18:37">
      <c r="R3414" s="14"/>
      <c r="S3414" s="14"/>
      <c r="T3414" s="12"/>
      <c r="U3414" s="15"/>
      <c r="V3414" s="12"/>
      <c r="W3414" s="12"/>
      <c r="X3414" s="12"/>
      <c r="Y3414" s="12"/>
      <c r="AJ3414" s="12"/>
      <c r="AK3414" s="33"/>
    </row>
    <row r="3415" spans="18:37">
      <c r="R3415" s="14"/>
      <c r="S3415" s="14"/>
      <c r="T3415" s="12"/>
      <c r="U3415" s="15"/>
      <c r="V3415" s="12"/>
      <c r="W3415" s="12"/>
      <c r="X3415" s="12"/>
      <c r="Y3415" s="12"/>
      <c r="AJ3415" s="12"/>
      <c r="AK3415" s="33"/>
    </row>
    <row r="3416" spans="18:37">
      <c r="R3416" s="14"/>
      <c r="S3416" s="14"/>
      <c r="T3416" s="12"/>
      <c r="U3416" s="15"/>
      <c r="V3416" s="12"/>
      <c r="W3416" s="12"/>
      <c r="X3416" s="12"/>
      <c r="Y3416" s="12"/>
      <c r="AJ3416" s="12"/>
      <c r="AK3416" s="33"/>
    </row>
    <row r="3417" spans="18:37">
      <c r="R3417" s="14"/>
      <c r="S3417" s="14"/>
      <c r="T3417" s="12"/>
      <c r="U3417" s="15"/>
      <c r="V3417" s="12"/>
      <c r="W3417" s="12"/>
      <c r="X3417" s="12"/>
      <c r="Y3417" s="12"/>
      <c r="AJ3417" s="12"/>
      <c r="AK3417" s="33"/>
    </row>
    <row r="3418" spans="18:37">
      <c r="R3418" s="14"/>
      <c r="S3418" s="14"/>
      <c r="T3418" s="12"/>
      <c r="U3418" s="15"/>
      <c r="V3418" s="12"/>
      <c r="W3418" s="12"/>
      <c r="X3418" s="12"/>
      <c r="Y3418" s="12"/>
      <c r="AJ3418" s="12"/>
      <c r="AK3418" s="33"/>
    </row>
    <row r="3419" spans="18:37">
      <c r="R3419" s="14"/>
      <c r="S3419" s="14"/>
      <c r="T3419" s="12"/>
      <c r="U3419" s="15"/>
      <c r="V3419" s="12"/>
      <c r="W3419" s="12"/>
      <c r="X3419" s="12"/>
      <c r="Y3419" s="12"/>
      <c r="AJ3419" s="12"/>
      <c r="AK3419" s="33"/>
    </row>
    <row r="3420" spans="18:37">
      <c r="R3420" s="14"/>
      <c r="S3420" s="14"/>
      <c r="T3420" s="12"/>
      <c r="U3420" s="15"/>
      <c r="V3420" s="12"/>
      <c r="W3420" s="12"/>
      <c r="X3420" s="12"/>
      <c r="Y3420" s="12"/>
      <c r="AJ3420" s="12"/>
      <c r="AK3420" s="33"/>
    </row>
    <row r="3421" spans="18:37">
      <c r="R3421" s="14"/>
      <c r="S3421" s="14"/>
      <c r="T3421" s="12"/>
      <c r="U3421" s="15"/>
      <c r="V3421" s="12"/>
      <c r="W3421" s="12"/>
      <c r="X3421" s="12"/>
      <c r="Y3421" s="12"/>
      <c r="AJ3421" s="12"/>
      <c r="AK3421" s="33"/>
    </row>
    <row r="3422" spans="18:37">
      <c r="R3422" s="14"/>
      <c r="S3422" s="14"/>
      <c r="T3422" s="12"/>
      <c r="U3422" s="15"/>
      <c r="V3422" s="12"/>
      <c r="W3422" s="12"/>
      <c r="X3422" s="12"/>
      <c r="Y3422" s="12"/>
      <c r="AJ3422" s="12"/>
      <c r="AK3422" s="33"/>
    </row>
    <row r="3423" spans="18:37">
      <c r="R3423" s="14"/>
      <c r="S3423" s="14"/>
      <c r="T3423" s="12"/>
      <c r="U3423" s="15"/>
      <c r="V3423" s="12"/>
      <c r="W3423" s="12"/>
      <c r="X3423" s="12"/>
      <c r="Y3423" s="12"/>
      <c r="AJ3423" s="12"/>
      <c r="AK3423" s="33"/>
    </row>
    <row r="3424" spans="18:37">
      <c r="R3424" s="14"/>
      <c r="S3424" s="14"/>
      <c r="T3424" s="12"/>
      <c r="U3424" s="15"/>
      <c r="V3424" s="12"/>
      <c r="W3424" s="12"/>
      <c r="X3424" s="12"/>
      <c r="Y3424" s="12"/>
      <c r="AJ3424" s="12"/>
      <c r="AK3424" s="33"/>
    </row>
    <row r="3425" spans="18:37">
      <c r="R3425" s="14"/>
      <c r="S3425" s="14"/>
      <c r="T3425" s="12"/>
      <c r="U3425" s="15"/>
      <c r="V3425" s="12"/>
      <c r="W3425" s="12"/>
      <c r="X3425" s="12"/>
      <c r="Y3425" s="12"/>
      <c r="AJ3425" s="12"/>
      <c r="AK3425" s="33"/>
    </row>
    <row r="3426" spans="18:37">
      <c r="R3426" s="14"/>
      <c r="S3426" s="14"/>
      <c r="T3426" s="12"/>
      <c r="U3426" s="15"/>
      <c r="V3426" s="12"/>
      <c r="W3426" s="12"/>
      <c r="X3426" s="12"/>
      <c r="Y3426" s="12"/>
      <c r="AJ3426" s="12"/>
      <c r="AK3426" s="33"/>
    </row>
    <row r="3427" spans="18:37">
      <c r="R3427" s="14"/>
      <c r="S3427" s="14"/>
      <c r="T3427" s="12"/>
      <c r="U3427" s="15"/>
      <c r="V3427" s="12"/>
      <c r="W3427" s="12"/>
      <c r="X3427" s="12"/>
      <c r="Y3427" s="12"/>
      <c r="AJ3427" s="12"/>
      <c r="AK3427" s="33"/>
    </row>
    <row r="3428" spans="18:37">
      <c r="R3428" s="14"/>
      <c r="S3428" s="14"/>
      <c r="T3428" s="12"/>
      <c r="U3428" s="15"/>
      <c r="V3428" s="12"/>
      <c r="W3428" s="12"/>
      <c r="X3428" s="12"/>
      <c r="Y3428" s="12"/>
      <c r="AJ3428" s="12"/>
      <c r="AK3428" s="33"/>
    </row>
    <row r="3429" spans="18:37">
      <c r="R3429" s="14"/>
      <c r="S3429" s="14"/>
      <c r="T3429" s="12"/>
      <c r="U3429" s="15"/>
      <c r="V3429" s="12"/>
      <c r="W3429" s="12"/>
      <c r="X3429" s="12"/>
      <c r="Y3429" s="12"/>
      <c r="AJ3429" s="12"/>
      <c r="AK3429" s="33"/>
    </row>
    <row r="3430" spans="18:37">
      <c r="R3430" s="14"/>
      <c r="S3430" s="14"/>
      <c r="T3430" s="12"/>
      <c r="U3430" s="15"/>
      <c r="V3430" s="12"/>
      <c r="W3430" s="12"/>
      <c r="X3430" s="12"/>
      <c r="Y3430" s="12"/>
      <c r="AJ3430" s="12"/>
      <c r="AK3430" s="33"/>
    </row>
    <row r="3431" spans="18:37">
      <c r="R3431" s="14"/>
      <c r="S3431" s="14"/>
      <c r="T3431" s="12"/>
      <c r="U3431" s="15"/>
      <c r="V3431" s="12"/>
      <c r="W3431" s="12"/>
      <c r="X3431" s="12"/>
      <c r="Y3431" s="12"/>
      <c r="AJ3431" s="38"/>
      <c r="AK3431" s="39"/>
    </row>
    <row r="3432" spans="18:37">
      <c r="R3432" s="14"/>
      <c r="S3432" s="14"/>
      <c r="T3432" s="12"/>
      <c r="U3432" s="15"/>
      <c r="V3432" s="12"/>
      <c r="W3432" s="12"/>
      <c r="X3432" s="12"/>
      <c r="Y3432" s="12"/>
      <c r="AJ3432" s="12"/>
      <c r="AK3432" s="33"/>
    </row>
    <row r="3433" spans="18:37">
      <c r="AJ3433" s="12"/>
      <c r="AK3433" s="33"/>
    </row>
    <row r="3434" spans="18:37">
      <c r="AJ3434" s="12"/>
      <c r="AK3434" s="33"/>
    </row>
    <row r="3435" spans="18:37">
      <c r="AJ3435" s="12"/>
      <c r="AK3435" s="33"/>
    </row>
    <row r="3436" spans="18:37">
      <c r="AJ3436" s="12"/>
      <c r="AK3436" s="33"/>
    </row>
    <row r="3437" spans="18:37">
      <c r="AJ3437" s="12"/>
      <c r="AK3437" s="33"/>
    </row>
    <row r="3438" spans="18:37">
      <c r="AJ3438" s="12"/>
      <c r="AK3438" s="33"/>
    </row>
    <row r="3439" spans="18:37">
      <c r="AJ3439" s="12"/>
      <c r="AK3439" s="33"/>
    </row>
    <row r="3440" spans="18:37">
      <c r="AJ3440" s="12"/>
      <c r="AK3440" s="33"/>
    </row>
    <row r="3441" spans="36:37">
      <c r="AJ3441" s="12"/>
      <c r="AK3441" s="33"/>
    </row>
    <row r="3442" spans="36:37">
      <c r="AJ3442" s="12"/>
      <c r="AK3442" s="33"/>
    </row>
    <row r="3443" spans="36:37">
      <c r="AJ3443" s="12"/>
      <c r="AK3443" s="33"/>
    </row>
    <row r="3444" spans="36:37">
      <c r="AJ3444" s="12"/>
      <c r="AK3444" s="33"/>
    </row>
    <row r="3445" spans="36:37">
      <c r="AJ3445" s="12"/>
      <c r="AK3445" s="33"/>
    </row>
    <row r="3446" spans="36:37">
      <c r="AJ3446" s="12"/>
      <c r="AK3446" s="33"/>
    </row>
    <row r="3447" spans="36:37">
      <c r="AJ3447" s="12"/>
      <c r="AK3447" s="33"/>
    </row>
    <row r="3448" spans="36:37">
      <c r="AJ3448" s="12"/>
      <c r="AK3448" s="33"/>
    </row>
    <row r="3449" spans="36:37">
      <c r="AJ3449" s="12"/>
      <c r="AK3449" s="33"/>
    </row>
    <row r="3450" spans="36:37">
      <c r="AJ3450" s="12"/>
      <c r="AK3450" s="33"/>
    </row>
    <row r="3451" spans="36:37">
      <c r="AJ3451" s="12"/>
      <c r="AK3451" s="33"/>
    </row>
    <row r="3452" spans="36:37">
      <c r="AJ3452" s="12"/>
      <c r="AK3452" s="33"/>
    </row>
    <row r="3453" spans="36:37">
      <c r="AJ3453" s="12"/>
      <c r="AK3453" s="33"/>
    </row>
    <row r="3454" spans="36:37">
      <c r="AJ3454" s="12"/>
      <c r="AK3454" s="33"/>
    </row>
    <row r="3455" spans="36:37">
      <c r="AJ3455" s="12"/>
      <c r="AK3455" s="33"/>
    </row>
    <row r="3456" spans="36:37">
      <c r="AJ3456" s="12"/>
      <c r="AK3456" s="33"/>
    </row>
    <row r="3457" spans="36:37">
      <c r="AJ3457" s="12"/>
      <c r="AK3457" s="33"/>
    </row>
    <row r="3458" spans="36:37">
      <c r="AJ3458" s="12"/>
      <c r="AK3458" s="33"/>
    </row>
    <row r="3459" spans="36:37">
      <c r="AJ3459" s="12"/>
      <c r="AK3459" s="33"/>
    </row>
    <row r="3460" spans="36:37">
      <c r="AJ3460" s="12"/>
      <c r="AK3460" s="33"/>
    </row>
    <row r="3461" spans="36:37">
      <c r="AJ3461" s="12"/>
      <c r="AK3461" s="33"/>
    </row>
    <row r="3462" spans="36:37">
      <c r="AJ3462" s="12"/>
      <c r="AK3462" s="33"/>
    </row>
    <row r="3463" spans="36:37">
      <c r="AJ3463" s="12"/>
      <c r="AK3463" s="33"/>
    </row>
    <row r="3464" spans="36:37">
      <c r="AJ3464" s="12"/>
      <c r="AK3464" s="33"/>
    </row>
    <row r="3465" spans="36:37">
      <c r="AJ3465" s="12"/>
      <c r="AK3465" s="33"/>
    </row>
    <row r="3466" spans="36:37">
      <c r="AJ3466" s="12"/>
      <c r="AK3466" s="33"/>
    </row>
    <row r="3467" spans="36:37">
      <c r="AJ3467" s="12"/>
      <c r="AK3467" s="33"/>
    </row>
    <row r="3468" spans="36:37">
      <c r="AJ3468" s="12"/>
      <c r="AK3468" s="33"/>
    </row>
    <row r="3469" spans="36:37">
      <c r="AJ3469" s="12"/>
      <c r="AK3469" s="33"/>
    </row>
    <row r="3470" spans="36:37">
      <c r="AJ3470" s="38"/>
      <c r="AK3470" s="39"/>
    </row>
    <row r="3471" spans="36:37">
      <c r="AJ3471" s="12"/>
      <c r="AK3471" s="33"/>
    </row>
    <row r="3472" spans="36:37">
      <c r="AJ3472" s="12"/>
      <c r="AK3472" s="33"/>
    </row>
    <row r="3473" spans="36:37">
      <c r="AJ3473" s="38"/>
      <c r="AK3473" s="39"/>
    </row>
    <row r="3474" spans="36:37">
      <c r="AJ3474" s="12"/>
      <c r="AK3474" s="33"/>
    </row>
    <row r="3475" spans="36:37">
      <c r="AJ3475" s="12"/>
      <c r="AK3475" s="33"/>
    </row>
    <row r="3476" spans="36:37">
      <c r="AJ3476" s="12"/>
      <c r="AK3476" s="33"/>
    </row>
    <row r="3477" spans="36:37">
      <c r="AJ3477" s="12"/>
      <c r="AK3477" s="33"/>
    </row>
    <row r="3478" spans="36:37">
      <c r="AJ3478" s="12"/>
      <c r="AK3478" s="33"/>
    </row>
    <row r="3479" spans="36:37">
      <c r="AJ3479" s="12"/>
      <c r="AK3479" s="33"/>
    </row>
    <row r="3480" spans="36:37">
      <c r="AJ3480" s="12"/>
      <c r="AK3480" s="33"/>
    </row>
    <row r="3481" spans="36:37">
      <c r="AJ3481" s="12"/>
      <c r="AK3481" s="33"/>
    </row>
    <row r="3482" spans="36:37">
      <c r="AJ3482" s="12"/>
      <c r="AK3482" s="33"/>
    </row>
    <row r="3483" spans="36:37">
      <c r="AJ3483" s="12"/>
      <c r="AK3483" s="33"/>
    </row>
    <row r="3484" spans="36:37">
      <c r="AJ3484" s="12"/>
      <c r="AK3484" s="33"/>
    </row>
    <row r="3485" spans="36:37">
      <c r="AJ3485" s="12"/>
      <c r="AK3485" s="33"/>
    </row>
    <row r="3486" spans="36:37">
      <c r="AJ3486" s="12"/>
      <c r="AK3486" s="33"/>
    </row>
    <row r="3487" spans="36:37">
      <c r="AJ3487" s="12"/>
      <c r="AK3487" s="33"/>
    </row>
    <row r="3488" spans="36:37">
      <c r="AJ3488" s="12"/>
      <c r="AK3488" s="33"/>
    </row>
    <row r="3489" spans="36:37">
      <c r="AJ3489" s="12"/>
      <c r="AK3489" s="33"/>
    </row>
    <row r="3490" spans="36:37">
      <c r="AJ3490" s="12"/>
      <c r="AK3490" s="33"/>
    </row>
    <row r="3491" spans="36:37">
      <c r="AJ3491" s="12"/>
      <c r="AK3491" s="33"/>
    </row>
    <row r="3492" spans="36:37">
      <c r="AJ3492" s="12"/>
      <c r="AK3492" s="33"/>
    </row>
    <row r="3493" spans="36:37">
      <c r="AJ3493" s="12"/>
      <c r="AK3493" s="33"/>
    </row>
    <row r="3494" spans="36:37">
      <c r="AJ3494" s="12"/>
      <c r="AK3494" s="33"/>
    </row>
    <row r="3495" spans="36:37">
      <c r="AJ3495" s="12"/>
      <c r="AK3495" s="33"/>
    </row>
    <row r="3496" spans="36:37">
      <c r="AJ3496" s="12"/>
      <c r="AK3496" s="33"/>
    </row>
    <row r="3497" spans="36:37">
      <c r="AJ3497" s="12"/>
      <c r="AK3497" s="33"/>
    </row>
    <row r="3498" spans="36:37">
      <c r="AJ3498" s="12"/>
      <c r="AK3498" s="33"/>
    </row>
    <row r="3499" spans="36:37">
      <c r="AJ3499" s="12"/>
      <c r="AK3499" s="33"/>
    </row>
    <row r="3500" spans="36:37">
      <c r="AJ3500" s="12"/>
      <c r="AK3500" s="33"/>
    </row>
    <row r="3501" spans="36:37">
      <c r="AJ3501" s="12"/>
      <c r="AK3501" s="33"/>
    </row>
    <row r="3502" spans="36:37">
      <c r="AJ3502" s="12"/>
      <c r="AK3502" s="33"/>
    </row>
    <row r="3503" spans="36:37">
      <c r="AJ3503" s="12"/>
      <c r="AK3503" s="33"/>
    </row>
    <row r="3504" spans="36:37">
      <c r="AJ3504" s="12"/>
      <c r="AK3504" s="33"/>
    </row>
    <row r="3505" spans="36:37">
      <c r="AJ3505" s="12"/>
      <c r="AK3505" s="33"/>
    </row>
    <row r="3506" spans="36:37">
      <c r="AJ3506" s="12"/>
      <c r="AK3506" s="33"/>
    </row>
    <row r="3507" spans="36:37">
      <c r="AJ3507" s="12"/>
      <c r="AK3507" s="33"/>
    </row>
    <row r="3508" spans="36:37">
      <c r="AJ3508" s="12"/>
      <c r="AK3508" s="33"/>
    </row>
    <row r="3509" spans="36:37">
      <c r="AJ3509" s="12"/>
      <c r="AK3509" s="33"/>
    </row>
    <row r="3510" spans="36:37">
      <c r="AJ3510" s="12"/>
      <c r="AK3510" s="33"/>
    </row>
    <row r="3511" spans="36:37">
      <c r="AJ3511" s="12"/>
      <c r="AK3511" s="33"/>
    </row>
    <row r="3512" spans="36:37">
      <c r="AJ3512" s="12"/>
      <c r="AK3512" s="33"/>
    </row>
    <row r="3513" spans="36:37">
      <c r="AJ3513" s="12"/>
      <c r="AK3513" s="33"/>
    </row>
    <row r="3514" spans="36:37">
      <c r="AJ3514" s="12"/>
      <c r="AK3514" s="33"/>
    </row>
    <row r="3515" spans="36:37">
      <c r="AJ3515" s="12"/>
      <c r="AK3515" s="33"/>
    </row>
    <row r="3516" spans="36:37">
      <c r="AJ3516" s="12"/>
      <c r="AK3516" s="33"/>
    </row>
    <row r="3517" spans="36:37">
      <c r="AJ3517" s="12"/>
      <c r="AK3517" s="33"/>
    </row>
    <row r="3518" spans="36:37">
      <c r="AJ3518" s="12"/>
      <c r="AK3518" s="33"/>
    </row>
    <row r="3519" spans="36:37">
      <c r="AJ3519" s="12"/>
      <c r="AK3519" s="33"/>
    </row>
    <row r="3520" spans="36:37">
      <c r="AJ3520" s="12"/>
      <c r="AK3520" s="33"/>
    </row>
    <row r="3521" spans="36:37">
      <c r="AJ3521" s="12"/>
      <c r="AK3521" s="33"/>
    </row>
    <row r="3522" spans="36:37">
      <c r="AJ3522" s="12"/>
      <c r="AK3522" s="33"/>
    </row>
    <row r="3523" spans="36:37">
      <c r="AJ3523" s="12"/>
      <c r="AK3523" s="33"/>
    </row>
    <row r="3524" spans="36:37">
      <c r="AJ3524" s="12"/>
      <c r="AK3524" s="33"/>
    </row>
    <row r="3525" spans="36:37">
      <c r="AJ3525" s="12"/>
      <c r="AK3525" s="33"/>
    </row>
    <row r="3526" spans="36:37">
      <c r="AJ3526" s="12"/>
      <c r="AK3526" s="33"/>
    </row>
    <row r="3527" spans="36:37">
      <c r="AJ3527" s="12"/>
      <c r="AK3527" s="33"/>
    </row>
    <row r="3528" spans="36:37">
      <c r="AJ3528" s="12"/>
      <c r="AK3528" s="33"/>
    </row>
    <row r="3529" spans="36:37">
      <c r="AJ3529" s="12"/>
      <c r="AK3529" s="33"/>
    </row>
    <row r="3530" spans="36:37">
      <c r="AJ3530" s="12"/>
      <c r="AK3530" s="33"/>
    </row>
    <row r="3531" spans="36:37">
      <c r="AJ3531" s="12"/>
      <c r="AK3531" s="33"/>
    </row>
    <row r="3532" spans="36:37">
      <c r="AJ3532" s="12"/>
      <c r="AK3532" s="33"/>
    </row>
    <row r="3533" spans="36:37">
      <c r="AJ3533" s="12"/>
      <c r="AK3533" s="33"/>
    </row>
    <row r="3534" spans="36:37">
      <c r="AJ3534" s="12"/>
      <c r="AK3534" s="33"/>
    </row>
    <row r="3535" spans="36:37">
      <c r="AJ3535" s="38"/>
      <c r="AK3535" s="33"/>
    </row>
    <row r="3536" spans="36:37">
      <c r="AJ3536" s="12"/>
      <c r="AK3536" s="33"/>
    </row>
    <row r="3537" spans="36:37">
      <c r="AJ3537" s="12"/>
      <c r="AK3537" s="33"/>
    </row>
    <row r="3538" spans="36:37">
      <c r="AJ3538" s="12"/>
      <c r="AK3538" s="33"/>
    </row>
    <row r="3539" spans="36:37">
      <c r="AJ3539" s="12"/>
      <c r="AK3539" s="33"/>
    </row>
    <row r="3540" spans="36:37">
      <c r="AJ3540" s="12"/>
      <c r="AK3540" s="33"/>
    </row>
    <row r="3541" spans="36:37">
      <c r="AJ3541" s="12"/>
      <c r="AK3541" s="33"/>
    </row>
    <row r="3542" spans="36:37">
      <c r="AJ3542" s="12"/>
      <c r="AK3542" s="33"/>
    </row>
    <row r="3543" spans="36:37">
      <c r="AJ3543" s="12"/>
      <c r="AK3543" s="33"/>
    </row>
    <row r="3544" spans="36:37">
      <c r="AJ3544" s="12"/>
      <c r="AK3544" s="33"/>
    </row>
    <row r="3545" spans="36:37">
      <c r="AJ3545" s="12"/>
      <c r="AK3545" s="33"/>
    </row>
    <row r="3546" spans="36:37">
      <c r="AJ3546" s="12"/>
      <c r="AK3546" s="33"/>
    </row>
    <row r="3547" spans="36:37">
      <c r="AJ3547" s="12"/>
      <c r="AK3547" s="33"/>
    </row>
    <row r="3548" spans="36:37">
      <c r="AJ3548" s="12"/>
      <c r="AK3548" s="33"/>
    </row>
    <row r="3549" spans="36:37">
      <c r="AJ3549" s="12"/>
      <c r="AK3549" s="33"/>
    </row>
    <row r="3550" spans="36:37">
      <c r="AJ3550" s="12"/>
      <c r="AK3550" s="33"/>
    </row>
    <row r="3551" spans="36:37">
      <c r="AJ3551" s="12"/>
      <c r="AK3551" s="33"/>
    </row>
    <row r="3552" spans="36:37">
      <c r="AJ3552" s="12"/>
      <c r="AK3552" s="33"/>
    </row>
    <row r="3553" spans="36:37">
      <c r="AJ3553" s="12"/>
      <c r="AK3553" s="33"/>
    </row>
    <row r="3554" spans="36:37">
      <c r="AJ3554" s="12"/>
      <c r="AK3554" s="33"/>
    </row>
    <row r="3555" spans="36:37">
      <c r="AJ3555" s="12"/>
      <c r="AK3555" s="33"/>
    </row>
    <row r="3556" spans="36:37">
      <c r="AJ3556" s="12"/>
      <c r="AK3556" s="33"/>
    </row>
    <row r="3557" spans="36:37">
      <c r="AJ3557" s="12"/>
      <c r="AK3557" s="33"/>
    </row>
    <row r="3558" spans="36:37">
      <c r="AJ3558" s="12"/>
      <c r="AK3558" s="33"/>
    </row>
    <row r="3559" spans="36:37">
      <c r="AJ3559" s="12"/>
      <c r="AK3559" s="33"/>
    </row>
    <row r="3560" spans="36:37">
      <c r="AJ3560" s="12"/>
      <c r="AK3560" s="33"/>
    </row>
    <row r="3561" spans="36:37">
      <c r="AJ3561" s="12"/>
      <c r="AK3561" s="33"/>
    </row>
    <row r="3562" spans="36:37">
      <c r="AJ3562" s="12"/>
      <c r="AK3562" s="33"/>
    </row>
    <row r="3563" spans="36:37">
      <c r="AJ3563" s="12"/>
      <c r="AK3563" s="33"/>
    </row>
    <row r="3564" spans="36:37">
      <c r="AJ3564" s="12"/>
      <c r="AK3564" s="33"/>
    </row>
    <row r="3565" spans="36:37">
      <c r="AJ3565" s="12"/>
      <c r="AK3565" s="33"/>
    </row>
    <row r="3566" spans="36:37">
      <c r="AJ3566" s="12"/>
      <c r="AK3566" s="33"/>
    </row>
    <row r="3567" spans="36:37">
      <c r="AJ3567" s="12"/>
      <c r="AK3567" s="33"/>
    </row>
    <row r="3568" spans="36:37">
      <c r="AJ3568" s="12"/>
      <c r="AK3568" s="33"/>
    </row>
    <row r="3569" spans="36:37">
      <c r="AJ3569" s="12"/>
      <c r="AK3569" s="33"/>
    </row>
    <row r="3570" spans="36:37">
      <c r="AJ3570" s="12"/>
      <c r="AK3570" s="33"/>
    </row>
    <row r="3571" spans="36:37">
      <c r="AJ3571" s="12"/>
      <c r="AK3571" s="33"/>
    </row>
    <row r="3572" spans="36:37">
      <c r="AJ3572" s="12"/>
      <c r="AK3572" s="33"/>
    </row>
    <row r="3573" spans="36:37">
      <c r="AJ3573" s="12"/>
      <c r="AK3573" s="33"/>
    </row>
    <row r="3574" spans="36:37">
      <c r="AJ3574" s="12"/>
      <c r="AK3574" s="33"/>
    </row>
    <row r="3575" spans="36:37">
      <c r="AJ3575" s="12"/>
      <c r="AK3575" s="33"/>
    </row>
    <row r="3576" spans="36:37">
      <c r="AJ3576" s="12"/>
      <c r="AK3576" s="33"/>
    </row>
    <row r="3577" spans="36:37">
      <c r="AJ3577" s="12"/>
      <c r="AK3577" s="33"/>
    </row>
    <row r="3578" spans="36:37">
      <c r="AJ3578" s="12"/>
      <c r="AK3578" s="33"/>
    </row>
    <row r="3579" spans="36:37">
      <c r="AJ3579" s="12"/>
      <c r="AK3579" s="33"/>
    </row>
    <row r="3580" spans="36:37">
      <c r="AJ3580" s="12"/>
      <c r="AK3580" s="33"/>
    </row>
    <row r="3581" spans="36:37">
      <c r="AJ3581" s="12"/>
      <c r="AK3581" s="33"/>
    </row>
    <row r="3582" spans="36:37">
      <c r="AJ3582" s="12"/>
      <c r="AK3582" s="33"/>
    </row>
    <row r="3583" spans="36:37">
      <c r="AJ3583" s="12"/>
      <c r="AK3583" s="33"/>
    </row>
    <row r="3584" spans="36:37">
      <c r="AJ3584" s="12"/>
      <c r="AK3584" s="33"/>
    </row>
    <row r="3585" spans="36:37">
      <c r="AJ3585" s="12"/>
      <c r="AK3585" s="33"/>
    </row>
    <row r="3586" spans="36:37">
      <c r="AJ3586" s="12"/>
      <c r="AK3586" s="33"/>
    </row>
    <row r="3587" spans="36:37">
      <c r="AJ3587" s="12"/>
      <c r="AK3587" s="33"/>
    </row>
    <row r="3588" spans="36:37">
      <c r="AJ3588" s="12"/>
      <c r="AK3588" s="33"/>
    </row>
    <row r="3589" spans="36:37">
      <c r="AJ3589" s="12"/>
      <c r="AK3589" s="33"/>
    </row>
    <row r="3590" spans="36:37">
      <c r="AJ3590" s="12"/>
      <c r="AK3590" s="33"/>
    </row>
    <row r="3591" spans="36:37">
      <c r="AJ3591" s="12"/>
      <c r="AK3591" s="33"/>
    </row>
    <row r="3592" spans="36:37">
      <c r="AJ3592" s="12"/>
      <c r="AK3592" s="33"/>
    </row>
    <row r="3593" spans="36:37">
      <c r="AJ3593" s="12"/>
      <c r="AK3593" s="33"/>
    </row>
    <row r="3594" spans="36:37">
      <c r="AJ3594" s="12"/>
      <c r="AK3594" s="33"/>
    </row>
    <row r="3595" spans="36:37">
      <c r="AJ3595" s="12"/>
      <c r="AK3595" s="33"/>
    </row>
    <row r="3596" spans="36:37">
      <c r="AJ3596" s="12"/>
      <c r="AK3596" s="33"/>
    </row>
    <row r="3597" spans="36:37">
      <c r="AJ3597" s="12"/>
      <c r="AK3597" s="33"/>
    </row>
    <row r="3598" spans="36:37">
      <c r="AJ3598" s="12"/>
      <c r="AK3598" s="33"/>
    </row>
    <row r="3599" spans="36:37">
      <c r="AJ3599" s="12"/>
      <c r="AK3599" s="33"/>
    </row>
    <row r="3600" spans="36:37">
      <c r="AJ3600" s="12"/>
      <c r="AK3600" s="33"/>
    </row>
    <row r="3601" spans="36:37">
      <c r="AJ3601" s="12"/>
      <c r="AK3601" s="33"/>
    </row>
    <row r="3602" spans="36:37">
      <c r="AJ3602" s="12"/>
      <c r="AK3602" s="33"/>
    </row>
    <row r="3603" spans="36:37">
      <c r="AJ3603" s="12"/>
      <c r="AK3603" s="33"/>
    </row>
    <row r="3604" spans="36:37">
      <c r="AJ3604" s="12"/>
      <c r="AK3604" s="33"/>
    </row>
    <row r="3605" spans="36:37">
      <c r="AJ3605" s="12"/>
      <c r="AK3605" s="33"/>
    </row>
    <row r="3606" spans="36:37">
      <c r="AJ3606" s="12"/>
      <c r="AK3606" s="33"/>
    </row>
    <row r="3607" spans="36:37">
      <c r="AJ3607" s="12"/>
      <c r="AK3607" s="33"/>
    </row>
    <row r="3608" spans="36:37">
      <c r="AJ3608" s="12"/>
      <c r="AK3608" s="33"/>
    </row>
    <row r="3609" spans="36:37">
      <c r="AJ3609" s="12"/>
      <c r="AK3609" s="33"/>
    </row>
    <row r="3610" spans="36:37">
      <c r="AJ3610" s="12"/>
      <c r="AK3610" s="33"/>
    </row>
    <row r="3611" spans="36:37">
      <c r="AJ3611" s="12"/>
      <c r="AK3611" s="33"/>
    </row>
    <row r="3612" spans="36:37">
      <c r="AJ3612" s="12"/>
      <c r="AK3612" s="33"/>
    </row>
    <row r="3613" spans="36:37">
      <c r="AJ3613" s="12"/>
      <c r="AK3613" s="33"/>
    </row>
    <row r="3614" spans="36:37">
      <c r="AJ3614" s="12"/>
      <c r="AK3614" s="33"/>
    </row>
    <row r="3615" spans="36:37">
      <c r="AJ3615" s="12"/>
      <c r="AK3615" s="33"/>
    </row>
    <row r="3616" spans="36:37">
      <c r="AJ3616" s="12"/>
      <c r="AK3616" s="33"/>
    </row>
    <row r="3617" spans="36:37">
      <c r="AJ3617" s="12"/>
      <c r="AK3617" s="33"/>
    </row>
    <row r="3618" spans="36:37">
      <c r="AJ3618" s="12"/>
      <c r="AK3618" s="33"/>
    </row>
    <row r="3619" spans="36:37">
      <c r="AJ3619" s="12"/>
      <c r="AK3619" s="33"/>
    </row>
    <row r="3620" spans="36:37">
      <c r="AJ3620" s="12"/>
      <c r="AK3620" s="33"/>
    </row>
    <row r="3621" spans="36:37">
      <c r="AJ3621" s="12"/>
      <c r="AK3621" s="33"/>
    </row>
    <row r="3622" spans="36:37">
      <c r="AJ3622" s="12"/>
      <c r="AK3622" s="33"/>
    </row>
    <row r="3623" spans="36:37">
      <c r="AJ3623" s="12"/>
      <c r="AK3623" s="33"/>
    </row>
    <row r="3624" spans="36:37">
      <c r="AJ3624" s="12"/>
      <c r="AK3624" s="33"/>
    </row>
    <row r="3625" spans="36:37">
      <c r="AJ3625" s="12"/>
      <c r="AK3625" s="33"/>
    </row>
    <row r="3626" spans="36:37">
      <c r="AJ3626" s="12"/>
      <c r="AK3626" s="33"/>
    </row>
    <row r="3627" spans="36:37">
      <c r="AJ3627" s="12"/>
      <c r="AK3627" s="33"/>
    </row>
    <row r="3628" spans="36:37">
      <c r="AJ3628" s="12"/>
      <c r="AK3628" s="33"/>
    </row>
    <row r="3629" spans="36:37">
      <c r="AJ3629" s="12"/>
      <c r="AK3629" s="33"/>
    </row>
    <row r="3630" spans="36:37">
      <c r="AJ3630" s="12"/>
      <c r="AK3630" s="33"/>
    </row>
    <row r="3631" spans="36:37">
      <c r="AJ3631" s="12"/>
      <c r="AK3631" s="33"/>
    </row>
    <row r="3632" spans="36:37">
      <c r="AJ3632" s="12"/>
      <c r="AK3632" s="33"/>
    </row>
    <row r="3633" spans="36:37">
      <c r="AJ3633" s="12"/>
      <c r="AK3633" s="33"/>
    </row>
    <row r="3634" spans="36:37">
      <c r="AJ3634" s="12"/>
      <c r="AK3634" s="33"/>
    </row>
    <row r="3635" spans="36:37">
      <c r="AJ3635" s="12"/>
      <c r="AK3635" s="33"/>
    </row>
    <row r="3636" spans="36:37">
      <c r="AJ3636" s="12"/>
      <c r="AK3636" s="33"/>
    </row>
    <row r="3637" spans="36:37">
      <c r="AJ3637" s="12"/>
      <c r="AK3637" s="33"/>
    </row>
    <row r="3638" spans="36:37">
      <c r="AJ3638" s="12"/>
      <c r="AK3638" s="33"/>
    </row>
    <row r="3639" spans="36:37">
      <c r="AJ3639" s="12"/>
      <c r="AK3639" s="33"/>
    </row>
    <row r="3640" spans="36:37">
      <c r="AJ3640" s="12"/>
      <c r="AK3640" s="33"/>
    </row>
    <row r="3641" spans="36:37">
      <c r="AJ3641" s="12"/>
      <c r="AK3641" s="33"/>
    </row>
    <row r="3642" spans="36:37">
      <c r="AJ3642" s="12"/>
      <c r="AK3642" s="33"/>
    </row>
    <row r="3643" spans="36:37">
      <c r="AJ3643" s="12"/>
      <c r="AK3643" s="33"/>
    </row>
    <row r="3644" spans="36:37">
      <c r="AJ3644" s="12"/>
      <c r="AK3644" s="33"/>
    </row>
    <row r="3645" spans="36:37">
      <c r="AJ3645" s="12"/>
      <c r="AK3645" s="33"/>
    </row>
    <row r="3646" spans="36:37">
      <c r="AJ3646" s="12"/>
      <c r="AK3646" s="33"/>
    </row>
    <row r="3647" spans="36:37">
      <c r="AJ3647" s="12"/>
      <c r="AK3647" s="33"/>
    </row>
    <row r="3648" spans="36:37">
      <c r="AJ3648" s="12"/>
      <c r="AK3648" s="33"/>
    </row>
    <row r="3649" spans="36:37">
      <c r="AJ3649" s="12"/>
      <c r="AK3649" s="33"/>
    </row>
    <row r="3650" spans="36:37">
      <c r="AJ3650" s="12"/>
      <c r="AK3650" s="33"/>
    </row>
    <row r="3651" spans="36:37">
      <c r="AJ3651" s="12"/>
      <c r="AK3651" s="33"/>
    </row>
    <row r="3652" spans="36:37">
      <c r="AJ3652" s="12"/>
      <c r="AK3652" s="33"/>
    </row>
    <row r="3653" spans="36:37">
      <c r="AJ3653" s="12"/>
      <c r="AK3653" s="33"/>
    </row>
    <row r="3654" spans="36:37">
      <c r="AJ3654" s="12"/>
      <c r="AK3654" s="33"/>
    </row>
    <row r="3655" spans="36:37">
      <c r="AJ3655" s="12"/>
      <c r="AK3655" s="33"/>
    </row>
    <row r="3656" spans="36:37">
      <c r="AJ3656" s="12"/>
      <c r="AK3656" s="33"/>
    </row>
    <row r="3657" spans="36:37">
      <c r="AJ3657" s="12"/>
      <c r="AK3657" s="33"/>
    </row>
    <row r="3658" spans="36:37">
      <c r="AJ3658" s="12"/>
      <c r="AK3658" s="33"/>
    </row>
    <row r="3659" spans="36:37">
      <c r="AJ3659" s="12"/>
      <c r="AK3659" s="33"/>
    </row>
    <row r="3660" spans="36:37">
      <c r="AJ3660" s="12"/>
      <c r="AK3660" s="33"/>
    </row>
    <row r="3661" spans="36:37">
      <c r="AJ3661" s="12"/>
      <c r="AK3661" s="33"/>
    </row>
    <row r="3662" spans="36:37">
      <c r="AJ3662" s="12"/>
      <c r="AK3662" s="33"/>
    </row>
    <row r="3663" spans="36:37">
      <c r="AJ3663" s="12"/>
      <c r="AK3663" s="33"/>
    </row>
    <row r="3664" spans="36:37">
      <c r="AJ3664" s="12"/>
      <c r="AK3664" s="33"/>
    </row>
    <row r="3665" spans="36:37">
      <c r="AJ3665" s="12"/>
      <c r="AK3665" s="33"/>
    </row>
    <row r="3666" spans="36:37">
      <c r="AJ3666" s="12"/>
      <c r="AK3666" s="33"/>
    </row>
    <row r="3667" spans="36:37">
      <c r="AJ3667" s="12"/>
      <c r="AK3667" s="33"/>
    </row>
    <row r="3668" spans="36:37">
      <c r="AJ3668" s="12"/>
      <c r="AK3668" s="33"/>
    </row>
    <row r="3669" spans="36:37">
      <c r="AJ3669" s="12"/>
      <c r="AK3669" s="33"/>
    </row>
    <row r="3670" spans="36:37">
      <c r="AJ3670" s="12"/>
      <c r="AK3670" s="33"/>
    </row>
    <row r="3671" spans="36:37">
      <c r="AJ3671" s="12"/>
      <c r="AK3671" s="33"/>
    </row>
    <row r="3672" spans="36:37">
      <c r="AJ3672" s="12"/>
      <c r="AK3672" s="33"/>
    </row>
    <row r="3673" spans="36:37">
      <c r="AJ3673" s="12"/>
      <c r="AK3673" s="33"/>
    </row>
    <row r="3674" spans="36:37">
      <c r="AJ3674" s="12"/>
      <c r="AK3674" s="33"/>
    </row>
    <row r="3675" spans="36:37">
      <c r="AJ3675" s="12"/>
      <c r="AK3675" s="33"/>
    </row>
    <row r="3676" spans="36:37">
      <c r="AJ3676" s="12"/>
      <c r="AK3676" s="33"/>
    </row>
    <row r="3677" spans="36:37">
      <c r="AJ3677" s="12"/>
      <c r="AK3677" s="33"/>
    </row>
    <row r="3678" spans="36:37">
      <c r="AJ3678" s="12"/>
      <c r="AK3678" s="33"/>
    </row>
    <row r="3679" spans="36:37">
      <c r="AJ3679" s="12"/>
      <c r="AK3679" s="33"/>
    </row>
    <row r="3680" spans="36:37">
      <c r="AJ3680" s="12"/>
      <c r="AK3680" s="33"/>
    </row>
    <row r="3681" spans="36:37">
      <c r="AJ3681" s="12"/>
      <c r="AK3681" s="33"/>
    </row>
    <row r="3682" spans="36:37">
      <c r="AJ3682" s="12"/>
      <c r="AK3682" s="33"/>
    </row>
    <row r="3683" spans="36:37">
      <c r="AJ3683" s="12"/>
      <c r="AK3683" s="33"/>
    </row>
    <row r="3684" spans="36:37">
      <c r="AJ3684" s="12"/>
      <c r="AK3684" s="33"/>
    </row>
    <row r="3685" spans="36:37">
      <c r="AJ3685" s="12"/>
      <c r="AK3685" s="33"/>
    </row>
    <row r="3686" spans="36:37">
      <c r="AJ3686" s="12"/>
      <c r="AK3686" s="33"/>
    </row>
    <row r="3687" spans="36:37">
      <c r="AJ3687" s="12"/>
      <c r="AK3687" s="33"/>
    </row>
    <row r="3688" spans="36:37">
      <c r="AJ3688" s="12"/>
      <c r="AK3688" s="33"/>
    </row>
    <row r="3689" spans="36:37">
      <c r="AJ3689" s="38"/>
      <c r="AK3689" s="33"/>
    </row>
    <row r="3690" spans="36:37">
      <c r="AJ3690" s="12"/>
      <c r="AK3690" s="33"/>
    </row>
    <row r="3691" spans="36:37">
      <c r="AJ3691" s="12"/>
      <c r="AK3691" s="33"/>
    </row>
    <row r="3692" spans="36:37">
      <c r="AJ3692" s="12"/>
      <c r="AK3692" s="33"/>
    </row>
    <row r="3693" spans="36:37">
      <c r="AJ3693" s="12"/>
      <c r="AK3693" s="33"/>
    </row>
    <row r="3694" spans="36:37">
      <c r="AJ3694" s="12"/>
      <c r="AK3694" s="33"/>
    </row>
    <row r="3695" spans="36:37">
      <c r="AJ3695" s="12"/>
      <c r="AK3695" s="33"/>
    </row>
    <row r="3696" spans="36:37">
      <c r="AJ3696" s="12"/>
      <c r="AK3696" s="33"/>
    </row>
    <row r="3697" spans="36:37">
      <c r="AJ3697" s="12"/>
      <c r="AK3697" s="33"/>
    </row>
    <row r="3698" spans="36:37">
      <c r="AJ3698" s="38"/>
      <c r="AK3698" s="39"/>
    </row>
    <row r="3699" spans="36:37">
      <c r="AJ3699" s="12"/>
      <c r="AK3699" s="33"/>
    </row>
    <row r="3700" spans="36:37">
      <c r="AJ3700" s="12"/>
      <c r="AK3700" s="33"/>
    </row>
    <row r="3701" spans="36:37">
      <c r="AJ3701" s="12"/>
      <c r="AK3701" s="33"/>
    </row>
    <row r="3702" spans="36:37">
      <c r="AJ3702" s="12"/>
      <c r="AK3702" s="33"/>
    </row>
    <row r="3703" spans="36:37">
      <c r="AJ3703" s="12"/>
      <c r="AK3703" s="33"/>
    </row>
    <row r="3704" spans="36:37">
      <c r="AJ3704" s="12"/>
      <c r="AK3704" s="33"/>
    </row>
    <row r="3705" spans="36:37">
      <c r="AJ3705" s="12"/>
      <c r="AK3705" s="33"/>
    </row>
    <row r="3706" spans="36:37">
      <c r="AJ3706" s="12"/>
      <c r="AK3706" s="33"/>
    </row>
    <row r="3707" spans="36:37">
      <c r="AJ3707" s="12"/>
      <c r="AK3707" s="33"/>
    </row>
    <row r="3708" spans="36:37">
      <c r="AJ3708" s="12"/>
      <c r="AK3708" s="33"/>
    </row>
    <row r="3709" spans="36:37">
      <c r="AJ3709" s="12"/>
      <c r="AK3709" s="33"/>
    </row>
    <row r="3710" spans="36:37">
      <c r="AJ3710" s="12"/>
      <c r="AK3710" s="33"/>
    </row>
    <row r="3711" spans="36:37">
      <c r="AJ3711" s="12"/>
      <c r="AK3711" s="33"/>
    </row>
    <row r="3712" spans="36:37">
      <c r="AJ3712" s="12"/>
      <c r="AK3712" s="33"/>
    </row>
    <row r="3713" spans="36:37">
      <c r="AJ3713" s="12"/>
      <c r="AK3713" s="33"/>
    </row>
    <row r="3714" spans="36:37">
      <c r="AJ3714" s="12"/>
      <c r="AK3714" s="33"/>
    </row>
    <row r="3715" spans="36:37">
      <c r="AJ3715" s="12"/>
      <c r="AK3715" s="33"/>
    </row>
    <row r="3716" spans="36:37">
      <c r="AJ3716" s="12"/>
      <c r="AK3716" s="33"/>
    </row>
    <row r="3717" spans="36:37">
      <c r="AJ3717" s="12"/>
      <c r="AK3717" s="33"/>
    </row>
    <row r="3718" spans="36:37">
      <c r="AJ3718" s="12"/>
      <c r="AK3718" s="33"/>
    </row>
    <row r="3719" spans="36:37">
      <c r="AJ3719" s="12"/>
      <c r="AK3719" s="33"/>
    </row>
    <row r="3720" spans="36:37">
      <c r="AJ3720" s="12"/>
      <c r="AK3720" s="33"/>
    </row>
    <row r="3721" spans="36:37">
      <c r="AJ3721" s="12"/>
      <c r="AK3721" s="33"/>
    </row>
    <row r="3722" spans="36:37">
      <c r="AJ3722" s="12"/>
      <c r="AK3722" s="33"/>
    </row>
    <row r="3723" spans="36:37">
      <c r="AJ3723" s="12"/>
      <c r="AK3723" s="33"/>
    </row>
    <row r="3724" spans="36:37">
      <c r="AJ3724" s="12"/>
      <c r="AK3724" s="33"/>
    </row>
    <row r="3725" spans="36:37">
      <c r="AJ3725" s="12"/>
      <c r="AK3725" s="33"/>
    </row>
    <row r="3726" spans="36:37">
      <c r="AJ3726" s="12"/>
      <c r="AK3726" s="33"/>
    </row>
    <row r="3727" spans="36:37">
      <c r="AJ3727" s="12"/>
      <c r="AK3727" s="33"/>
    </row>
    <row r="3728" spans="36:37">
      <c r="AJ3728" s="12"/>
      <c r="AK3728" s="33"/>
    </row>
    <row r="3729" spans="36:37">
      <c r="AJ3729" s="12"/>
      <c r="AK3729" s="33"/>
    </row>
    <row r="3730" spans="36:37">
      <c r="AJ3730" s="12"/>
      <c r="AK3730" s="33"/>
    </row>
    <row r="3731" spans="36:37">
      <c r="AJ3731" s="12"/>
      <c r="AK3731" s="33"/>
    </row>
    <row r="3732" spans="36:37">
      <c r="AJ3732" s="12"/>
      <c r="AK3732" s="33"/>
    </row>
    <row r="3733" spans="36:37">
      <c r="AJ3733" s="12"/>
      <c r="AK3733" s="33"/>
    </row>
    <row r="3734" spans="36:37">
      <c r="AJ3734" s="12"/>
      <c r="AK3734" s="33"/>
    </row>
    <row r="3735" spans="36:37">
      <c r="AJ3735" s="12"/>
      <c r="AK3735" s="33"/>
    </row>
    <row r="3736" spans="36:37">
      <c r="AJ3736" s="12"/>
      <c r="AK3736" s="33"/>
    </row>
    <row r="3737" spans="36:37">
      <c r="AJ3737" s="12"/>
      <c r="AK3737" s="33"/>
    </row>
    <row r="3738" spans="36:37">
      <c r="AJ3738" s="12"/>
      <c r="AK3738" s="33"/>
    </row>
    <row r="3739" spans="36:37">
      <c r="AJ3739" s="12"/>
      <c r="AK3739" s="33"/>
    </row>
    <row r="3740" spans="36:37">
      <c r="AJ3740" s="12"/>
      <c r="AK3740" s="33"/>
    </row>
    <row r="3741" spans="36:37">
      <c r="AJ3741" s="12"/>
      <c r="AK3741" s="33"/>
    </row>
    <row r="3742" spans="36:37">
      <c r="AJ3742" s="12"/>
      <c r="AK3742" s="33"/>
    </row>
    <row r="3743" spans="36:37">
      <c r="AJ3743" s="12"/>
      <c r="AK3743" s="33"/>
    </row>
    <row r="3744" spans="36:37">
      <c r="AJ3744" s="12"/>
      <c r="AK3744" s="33"/>
    </row>
    <row r="3745" spans="36:37">
      <c r="AJ3745" s="12"/>
      <c r="AK3745" s="33"/>
    </row>
    <row r="3746" spans="36:37">
      <c r="AJ3746" s="12"/>
      <c r="AK3746" s="33"/>
    </row>
    <row r="3747" spans="36:37">
      <c r="AJ3747" s="12"/>
      <c r="AK3747" s="33"/>
    </row>
    <row r="3748" spans="36:37">
      <c r="AJ3748" s="12"/>
      <c r="AK3748" s="33"/>
    </row>
    <row r="3749" spans="36:37">
      <c r="AJ3749" s="12"/>
      <c r="AK3749" s="33"/>
    </row>
    <row r="3750" spans="36:37">
      <c r="AJ3750" s="12"/>
      <c r="AK3750" s="33"/>
    </row>
    <row r="3751" spans="36:37">
      <c r="AJ3751" s="12"/>
      <c r="AK3751" s="33"/>
    </row>
    <row r="3752" spans="36:37">
      <c r="AJ3752" s="12"/>
      <c r="AK3752" s="33"/>
    </row>
    <row r="3753" spans="36:37">
      <c r="AJ3753" s="38"/>
      <c r="AK3753" s="39"/>
    </row>
    <row r="3754" spans="36:37">
      <c r="AJ3754" s="12"/>
      <c r="AK3754" s="33"/>
    </row>
    <row r="3755" spans="36:37">
      <c r="AJ3755" s="12"/>
      <c r="AK3755" s="33"/>
    </row>
    <row r="3756" spans="36:37">
      <c r="AJ3756" s="12"/>
      <c r="AK3756" s="33"/>
    </row>
    <row r="3757" spans="36:37">
      <c r="AJ3757" s="12"/>
      <c r="AK3757" s="33"/>
    </row>
    <row r="3758" spans="36:37">
      <c r="AJ3758" s="12"/>
      <c r="AK3758" s="33"/>
    </row>
    <row r="3759" spans="36:37">
      <c r="AJ3759" s="12"/>
      <c r="AK3759" s="33"/>
    </row>
    <row r="3760" spans="36:37">
      <c r="AJ3760" s="12"/>
      <c r="AK3760" s="33"/>
    </row>
    <row r="3761" spans="36:37">
      <c r="AJ3761" s="12"/>
      <c r="AK3761" s="33"/>
    </row>
    <row r="3762" spans="36:37">
      <c r="AJ3762" s="12"/>
      <c r="AK3762" s="33"/>
    </row>
    <row r="3763" spans="36:37">
      <c r="AJ3763" s="12"/>
      <c r="AK3763" s="33"/>
    </row>
    <row r="3764" spans="36:37">
      <c r="AJ3764" s="12"/>
      <c r="AK3764" s="33"/>
    </row>
    <row r="3765" spans="36:37">
      <c r="AJ3765" s="12"/>
      <c r="AK3765" s="33"/>
    </row>
    <row r="3766" spans="36:37">
      <c r="AJ3766" s="12"/>
      <c r="AK3766" s="33"/>
    </row>
    <row r="3767" spans="36:37">
      <c r="AJ3767" s="12"/>
      <c r="AK3767" s="33"/>
    </row>
    <row r="3768" spans="36:37">
      <c r="AJ3768" s="12"/>
      <c r="AK3768" s="33"/>
    </row>
    <row r="3769" spans="36:37">
      <c r="AJ3769" s="12"/>
      <c r="AK3769" s="33"/>
    </row>
    <row r="3770" spans="36:37">
      <c r="AJ3770" s="12"/>
      <c r="AK3770" s="33"/>
    </row>
    <row r="3771" spans="36:37">
      <c r="AJ3771" s="12"/>
      <c r="AK3771" s="33"/>
    </row>
    <row r="3772" spans="36:37">
      <c r="AJ3772" s="12"/>
      <c r="AK3772" s="33"/>
    </row>
    <row r="3773" spans="36:37">
      <c r="AJ3773" s="12"/>
      <c r="AK3773" s="33"/>
    </row>
    <row r="3774" spans="36:37">
      <c r="AJ3774" s="12"/>
      <c r="AK3774" s="33"/>
    </row>
    <row r="3775" spans="36:37">
      <c r="AJ3775" s="12"/>
      <c r="AK3775" s="33"/>
    </row>
    <row r="3776" spans="36:37">
      <c r="AJ3776" s="12"/>
      <c r="AK3776" s="33"/>
    </row>
    <row r="3777" spans="36:37">
      <c r="AJ3777" s="38"/>
      <c r="AK3777" s="39"/>
    </row>
    <row r="3778" spans="36:37">
      <c r="AJ3778" s="12"/>
      <c r="AK3778" s="33"/>
    </row>
    <row r="3779" spans="36:37">
      <c r="AJ3779" s="12"/>
      <c r="AK3779" s="33"/>
    </row>
    <row r="3780" spans="36:37">
      <c r="AJ3780" s="12"/>
      <c r="AK3780" s="33"/>
    </row>
    <row r="3781" spans="36:37">
      <c r="AJ3781" s="12"/>
      <c r="AK3781" s="33"/>
    </row>
    <row r="3782" spans="36:37">
      <c r="AJ3782" s="12"/>
      <c r="AK3782" s="33"/>
    </row>
    <row r="3783" spans="36:37">
      <c r="AJ3783" s="12"/>
      <c r="AK3783" s="33"/>
    </row>
    <row r="3784" spans="36:37">
      <c r="AJ3784" s="12"/>
      <c r="AK3784" s="33"/>
    </row>
    <row r="3785" spans="36:37">
      <c r="AJ3785" s="12"/>
      <c r="AK3785" s="33"/>
    </row>
    <row r="3786" spans="36:37">
      <c r="AJ3786" s="12"/>
      <c r="AK3786" s="33"/>
    </row>
    <row r="3787" spans="36:37">
      <c r="AJ3787" s="12"/>
      <c r="AK3787" s="33"/>
    </row>
    <row r="3788" spans="36:37">
      <c r="AJ3788" s="12"/>
      <c r="AK3788" s="33"/>
    </row>
    <row r="3789" spans="36:37">
      <c r="AJ3789" s="12"/>
      <c r="AK3789" s="33"/>
    </row>
    <row r="3790" spans="36:37">
      <c r="AJ3790" s="12"/>
      <c r="AK3790" s="33"/>
    </row>
    <row r="3791" spans="36:37">
      <c r="AJ3791" s="12"/>
      <c r="AK3791" s="33"/>
    </row>
    <row r="3792" spans="36:37">
      <c r="AJ3792" s="12"/>
      <c r="AK3792" s="33"/>
    </row>
    <row r="3793" spans="36:37">
      <c r="AJ3793" s="12"/>
      <c r="AK3793" s="33"/>
    </row>
    <row r="3794" spans="36:37">
      <c r="AJ3794" s="12"/>
      <c r="AK3794" s="33"/>
    </row>
    <row r="3795" spans="36:37">
      <c r="AJ3795" s="12"/>
      <c r="AK3795" s="33"/>
    </row>
    <row r="3796" spans="36:37">
      <c r="AJ3796" s="12"/>
      <c r="AK3796" s="33"/>
    </row>
    <row r="3797" spans="36:37">
      <c r="AJ3797" s="12"/>
      <c r="AK3797" s="33"/>
    </row>
    <row r="3798" spans="36:37">
      <c r="AJ3798" s="12"/>
      <c r="AK3798" s="33"/>
    </row>
    <row r="3799" spans="36:37">
      <c r="AJ3799" s="12"/>
      <c r="AK3799" s="33"/>
    </row>
    <row r="3800" spans="36:37">
      <c r="AJ3800" s="12"/>
      <c r="AK3800" s="33"/>
    </row>
    <row r="3801" spans="36:37">
      <c r="AJ3801" s="12"/>
      <c r="AK3801" s="33"/>
    </row>
    <row r="3802" spans="36:37">
      <c r="AJ3802" s="12"/>
      <c r="AK3802" s="33"/>
    </row>
    <row r="3803" spans="36:37">
      <c r="AJ3803" s="12"/>
      <c r="AK3803" s="33"/>
    </row>
    <row r="3804" spans="36:37">
      <c r="AJ3804" s="12"/>
      <c r="AK3804" s="33"/>
    </row>
    <row r="3805" spans="36:37">
      <c r="AJ3805" s="12"/>
      <c r="AK3805" s="33"/>
    </row>
    <row r="3806" spans="36:37">
      <c r="AJ3806" s="12"/>
      <c r="AK3806" s="33"/>
    </row>
    <row r="3807" spans="36:37">
      <c r="AJ3807" s="12"/>
      <c r="AK3807" s="33"/>
    </row>
    <row r="3808" spans="36:37">
      <c r="AJ3808" s="12"/>
      <c r="AK3808" s="33"/>
    </row>
    <row r="3809" spans="36:37">
      <c r="AJ3809" s="12"/>
      <c r="AK3809" s="33"/>
    </row>
    <row r="3810" spans="36:37">
      <c r="AJ3810" s="12"/>
      <c r="AK3810" s="33"/>
    </row>
    <row r="3811" spans="36:37">
      <c r="AJ3811" s="12"/>
      <c r="AK3811" s="33"/>
    </row>
    <row r="3812" spans="36:37">
      <c r="AJ3812" s="12"/>
      <c r="AK3812" s="33"/>
    </row>
    <row r="3813" spans="36:37">
      <c r="AJ3813" s="12"/>
      <c r="AK3813" s="33"/>
    </row>
    <row r="3814" spans="36:37">
      <c r="AJ3814" s="12"/>
      <c r="AK3814" s="33"/>
    </row>
    <row r="3815" spans="36:37">
      <c r="AJ3815" s="12"/>
      <c r="AK3815" s="33"/>
    </row>
    <row r="3816" spans="36:37">
      <c r="AJ3816" s="12"/>
      <c r="AK3816" s="33"/>
    </row>
    <row r="3817" spans="36:37">
      <c r="AJ3817" s="12"/>
      <c r="AK3817" s="33"/>
    </row>
    <row r="3818" spans="36:37">
      <c r="AJ3818" s="12"/>
      <c r="AK3818" s="33"/>
    </row>
    <row r="3819" spans="36:37">
      <c r="AJ3819" s="12"/>
      <c r="AK3819" s="33"/>
    </row>
    <row r="3820" spans="36:37">
      <c r="AJ3820" s="12"/>
      <c r="AK3820" s="33"/>
    </row>
    <row r="3821" spans="36:37">
      <c r="AJ3821" s="12"/>
      <c r="AK3821" s="33"/>
    </row>
    <row r="3822" spans="36:37">
      <c r="AJ3822" s="12"/>
      <c r="AK3822" s="33"/>
    </row>
    <row r="3823" spans="36:37">
      <c r="AJ3823" s="12"/>
      <c r="AK3823" s="33"/>
    </row>
    <row r="3824" spans="36:37">
      <c r="AJ3824" s="12"/>
      <c r="AK3824" s="33"/>
    </row>
    <row r="3825" spans="36:37">
      <c r="AJ3825" s="12"/>
      <c r="AK3825" s="33"/>
    </row>
    <row r="3826" spans="36:37">
      <c r="AJ3826" s="12"/>
      <c r="AK3826" s="33"/>
    </row>
    <row r="3827" spans="36:37">
      <c r="AJ3827" s="12"/>
      <c r="AK3827" s="33"/>
    </row>
    <row r="3828" spans="36:37">
      <c r="AJ3828" s="12"/>
      <c r="AK3828" s="33"/>
    </row>
    <row r="3829" spans="36:37">
      <c r="AJ3829" s="12"/>
      <c r="AK3829" s="33"/>
    </row>
    <row r="3830" spans="36:37">
      <c r="AJ3830" s="12"/>
      <c r="AK3830" s="33"/>
    </row>
    <row r="3831" spans="36:37">
      <c r="AJ3831" s="12"/>
      <c r="AK3831" s="33"/>
    </row>
    <row r="3832" spans="36:37">
      <c r="AJ3832" s="12"/>
      <c r="AK3832" s="33"/>
    </row>
    <row r="3833" spans="36:37">
      <c r="AJ3833" s="12"/>
      <c r="AK3833" s="33"/>
    </row>
    <row r="3834" spans="36:37">
      <c r="AJ3834" s="12"/>
      <c r="AK3834" s="33"/>
    </row>
    <row r="3835" spans="36:37">
      <c r="AJ3835" s="12"/>
      <c r="AK3835" s="33"/>
    </row>
    <row r="3836" spans="36:37">
      <c r="AJ3836" s="12"/>
      <c r="AK3836" s="33"/>
    </row>
    <row r="3837" spans="36:37">
      <c r="AJ3837" s="12"/>
      <c r="AK3837" s="33"/>
    </row>
    <row r="3838" spans="36:37">
      <c r="AJ3838" s="12"/>
      <c r="AK3838" s="33"/>
    </row>
    <row r="3839" spans="36:37">
      <c r="AJ3839" s="12"/>
      <c r="AK3839" s="33"/>
    </row>
    <row r="3840" spans="36:37">
      <c r="AJ3840" s="12"/>
      <c r="AK3840" s="33"/>
    </row>
    <row r="3841" spans="36:37">
      <c r="AJ3841" s="12"/>
      <c r="AK3841" s="33"/>
    </row>
    <row r="3842" spans="36:37">
      <c r="AJ3842" s="12"/>
      <c r="AK3842" s="33"/>
    </row>
    <row r="3843" spans="36:37">
      <c r="AJ3843" s="12"/>
      <c r="AK3843" s="33"/>
    </row>
    <row r="3844" spans="36:37">
      <c r="AJ3844" s="12"/>
      <c r="AK3844" s="33"/>
    </row>
    <row r="3845" spans="36:37">
      <c r="AJ3845" s="12"/>
      <c r="AK3845" s="33"/>
    </row>
    <row r="3846" spans="36:37">
      <c r="AJ3846" s="12"/>
      <c r="AK3846" s="33"/>
    </row>
    <row r="3847" spans="36:37">
      <c r="AJ3847" s="12"/>
      <c r="AK3847" s="33"/>
    </row>
    <row r="3848" spans="36:37">
      <c r="AJ3848" s="12"/>
      <c r="AK3848" s="33"/>
    </row>
    <row r="3849" spans="36:37">
      <c r="AJ3849" s="12"/>
      <c r="AK3849" s="33"/>
    </row>
    <row r="3850" spans="36:37">
      <c r="AJ3850" s="12"/>
      <c r="AK3850" s="33"/>
    </row>
    <row r="3851" spans="36:37">
      <c r="AJ3851" s="12"/>
      <c r="AK3851" s="33"/>
    </row>
    <row r="3852" spans="36:37">
      <c r="AJ3852" s="12"/>
      <c r="AK3852" s="33"/>
    </row>
    <row r="3853" spans="36:37">
      <c r="AJ3853" s="38"/>
      <c r="AK3853" s="39"/>
    </row>
    <row r="3854" spans="36:37">
      <c r="AJ3854" s="12"/>
      <c r="AK3854" s="33"/>
    </row>
    <row r="3855" spans="36:37">
      <c r="AJ3855" s="38"/>
      <c r="AK3855" s="39"/>
    </row>
    <row r="3856" spans="36:37">
      <c r="AJ3856" s="12"/>
      <c r="AK3856" s="33"/>
    </row>
    <row r="3857" spans="36:37">
      <c r="AJ3857" s="12"/>
      <c r="AK3857" s="33"/>
    </row>
    <row r="3858" spans="36:37">
      <c r="AJ3858" s="12"/>
      <c r="AK3858" s="33"/>
    </row>
    <row r="3859" spans="36:37">
      <c r="AJ3859" s="12"/>
      <c r="AK3859" s="33"/>
    </row>
    <row r="3860" spans="36:37">
      <c r="AJ3860" s="12"/>
      <c r="AK3860" s="33"/>
    </row>
    <row r="3861" spans="36:37">
      <c r="AJ3861" s="12"/>
      <c r="AK3861" s="33"/>
    </row>
    <row r="3862" spans="36:37">
      <c r="AJ3862" s="12"/>
      <c r="AK3862" s="33"/>
    </row>
    <row r="3863" spans="36:37">
      <c r="AJ3863" s="12"/>
      <c r="AK3863" s="33"/>
    </row>
    <row r="3864" spans="36:37">
      <c r="AJ3864" s="12"/>
      <c r="AK3864" s="33"/>
    </row>
    <row r="3865" spans="36:37">
      <c r="AJ3865" s="38"/>
      <c r="AK3865" s="40"/>
    </row>
    <row r="3866" spans="36:37">
      <c r="AJ3866" s="12"/>
      <c r="AK3866" s="33"/>
    </row>
    <row r="3867" spans="36:37">
      <c r="AJ3867" s="12"/>
      <c r="AK3867" s="33"/>
    </row>
    <row r="3868" spans="36:37">
      <c r="AJ3868" s="12"/>
      <c r="AK3868" s="33"/>
    </row>
    <row r="3869" spans="36:37">
      <c r="AJ3869" s="12"/>
      <c r="AK3869" s="33"/>
    </row>
    <row r="3870" spans="36:37">
      <c r="AJ3870" s="12"/>
      <c r="AK3870" s="33"/>
    </row>
    <row r="3871" spans="36:37">
      <c r="AJ3871" s="38"/>
      <c r="AK3871" s="39"/>
    </row>
    <row r="3872" spans="36:37">
      <c r="AJ3872" s="12"/>
      <c r="AK3872" s="33"/>
    </row>
    <row r="3873" spans="36:37">
      <c r="AJ3873" s="38"/>
      <c r="AK3873" s="33"/>
    </row>
    <row r="3874" spans="36:37">
      <c r="AJ3874" s="12"/>
      <c r="AK3874" s="33"/>
    </row>
    <row r="3875" spans="36:37">
      <c r="AJ3875" s="12"/>
      <c r="AK3875" s="33"/>
    </row>
    <row r="3876" spans="36:37">
      <c r="AJ3876" s="12"/>
      <c r="AK3876" s="33"/>
    </row>
    <row r="3877" spans="36:37">
      <c r="AJ3877" s="12"/>
      <c r="AK3877" s="33"/>
    </row>
    <row r="3878" spans="36:37">
      <c r="AJ3878" s="12"/>
      <c r="AK3878" s="33"/>
    </row>
    <row r="3879" spans="36:37">
      <c r="AJ3879" s="12"/>
      <c r="AK3879" s="33"/>
    </row>
    <row r="3880" spans="36:37">
      <c r="AJ3880" s="38"/>
      <c r="AK3880" s="39"/>
    </row>
    <row r="3881" spans="36:37">
      <c r="AJ3881" s="38"/>
      <c r="AK3881" s="39"/>
    </row>
    <row r="3882" spans="36:37">
      <c r="AJ3882" s="38"/>
      <c r="AK3882" s="39"/>
    </row>
    <row r="3883" spans="36:37">
      <c r="AJ3883" s="12"/>
      <c r="AK3883" s="33"/>
    </row>
    <row r="3884" spans="36:37">
      <c r="AJ3884" s="12"/>
      <c r="AK3884" s="33"/>
    </row>
    <row r="3885" spans="36:37">
      <c r="AJ3885" s="38"/>
      <c r="AK3885" s="39"/>
    </row>
    <row r="3886" spans="36:37">
      <c r="AJ3886" s="12"/>
      <c r="AK3886" s="33"/>
    </row>
    <row r="3887" spans="36:37">
      <c r="AJ3887" s="12"/>
      <c r="AK3887" s="33"/>
    </row>
    <row r="3888" spans="36:37">
      <c r="AJ3888" s="12"/>
      <c r="AK3888" s="33"/>
    </row>
    <row r="3889" spans="36:37">
      <c r="AJ3889" s="38"/>
      <c r="AK3889" s="39"/>
    </row>
    <row r="3890" spans="36:37">
      <c r="AJ3890" s="38"/>
      <c r="AK3890" s="39"/>
    </row>
    <row r="3891" spans="36:37">
      <c r="AJ3891" s="38"/>
      <c r="AK3891" s="39"/>
    </row>
    <row r="3892" spans="36:37">
      <c r="AJ3892" s="12"/>
      <c r="AK3892" s="33"/>
    </row>
    <row r="3893" spans="36:37">
      <c r="AJ3893" s="38"/>
      <c r="AK3893" s="39"/>
    </row>
    <row r="3894" spans="36:37">
      <c r="AJ3894" s="38"/>
      <c r="AK3894" s="39"/>
    </row>
    <row r="3895" spans="36:37">
      <c r="AJ3895" s="12"/>
      <c r="AK3895" s="33"/>
    </row>
    <row r="3896" spans="36:37">
      <c r="AJ3896" s="12"/>
      <c r="AK3896" s="33"/>
    </row>
    <row r="3897" spans="36:37">
      <c r="AJ3897" s="38"/>
      <c r="AK3897" s="39"/>
    </row>
    <row r="3898" spans="36:37">
      <c r="AJ3898" s="38"/>
      <c r="AK3898" s="39"/>
    </row>
    <row r="3899" spans="36:37">
      <c r="AJ3899" s="38"/>
      <c r="AK3899" s="39"/>
    </row>
    <row r="3900" spans="36:37">
      <c r="AJ3900" s="38"/>
      <c r="AK3900" s="39"/>
    </row>
    <row r="3901" spans="36:37">
      <c r="AJ3901" s="12"/>
      <c r="AK3901" s="33"/>
    </row>
    <row r="3902" spans="36:37">
      <c r="AJ3902" s="38"/>
      <c r="AK3902" s="40"/>
    </row>
    <row r="3903" spans="36:37">
      <c r="AJ3903" s="12"/>
      <c r="AK3903" s="33"/>
    </row>
    <row r="3904" spans="36:37">
      <c r="AJ3904" s="12"/>
      <c r="AK3904" s="33"/>
    </row>
    <row r="3905" spans="36:37">
      <c r="AJ3905" s="12"/>
      <c r="AK3905" s="33"/>
    </row>
    <row r="3906" spans="36:37">
      <c r="AJ3906" s="12"/>
      <c r="AK3906" s="33"/>
    </row>
    <row r="3907" spans="36:37">
      <c r="AJ3907" s="38"/>
      <c r="AK3907" s="39"/>
    </row>
    <row r="3908" spans="36:37">
      <c r="AJ3908" s="38"/>
      <c r="AK3908" s="39"/>
    </row>
    <row r="3909" spans="36:37">
      <c r="AJ3909" s="38"/>
      <c r="AK3909" s="39"/>
    </row>
    <row r="3910" spans="36:37">
      <c r="AJ3910" s="12"/>
      <c r="AK3910" s="33"/>
    </row>
    <row r="3911" spans="36:37">
      <c r="AJ3911" s="12"/>
      <c r="AK3911" s="33"/>
    </row>
    <row r="3912" spans="36:37">
      <c r="AJ3912" s="12"/>
      <c r="AK3912" s="33"/>
    </row>
    <row r="3913" spans="36:37">
      <c r="AJ3913" s="38"/>
      <c r="AK3913" s="39"/>
    </row>
    <row r="3914" spans="36:37">
      <c r="AJ3914" s="12"/>
      <c r="AK3914" s="33"/>
    </row>
    <row r="3915" spans="36:37">
      <c r="AJ3915" s="38"/>
      <c r="AK3915" s="39"/>
    </row>
    <row r="3916" spans="36:37">
      <c r="AJ3916" s="12"/>
      <c r="AK3916" s="33"/>
    </row>
    <row r="3917" spans="36:37">
      <c r="AJ3917" s="12"/>
      <c r="AK3917" s="33"/>
    </row>
    <row r="3918" spans="36:37">
      <c r="AJ3918" s="38"/>
      <c r="AK3918" s="39"/>
    </row>
    <row r="3919" spans="36:37">
      <c r="AJ3919" s="12"/>
      <c r="AK3919" s="33"/>
    </row>
    <row r="3920" spans="36:37">
      <c r="AJ3920" s="38"/>
      <c r="AK3920" s="39"/>
    </row>
    <row r="3921" spans="36:37">
      <c r="AJ3921" s="38"/>
      <c r="AK3921" s="39"/>
    </row>
    <row r="3922" spans="36:37">
      <c r="AJ3922" s="12"/>
      <c r="AK3922" s="33"/>
    </row>
    <row r="3923" spans="36:37">
      <c r="AJ3923" s="12"/>
      <c r="AK3923" s="33"/>
    </row>
    <row r="3924" spans="36:37">
      <c r="AJ3924" s="38"/>
      <c r="AK3924" s="39"/>
    </row>
    <row r="3925" spans="36:37">
      <c r="AJ3925" s="12"/>
      <c r="AK3925" s="33"/>
    </row>
    <row r="3926" spans="36:37">
      <c r="AJ3926" s="38"/>
      <c r="AK3926" s="39"/>
    </row>
    <row r="3927" spans="36:37">
      <c r="AJ3927" s="38"/>
      <c r="AK3927" s="39"/>
    </row>
    <row r="3928" spans="36:37">
      <c r="AJ3928" s="38"/>
      <c r="AK3928" s="39"/>
    </row>
    <row r="3929" spans="36:37">
      <c r="AJ3929" s="12"/>
      <c r="AK3929" s="33"/>
    </row>
    <row r="3930" spans="36:37">
      <c r="AJ3930" s="38"/>
      <c r="AK3930" s="39"/>
    </row>
    <row r="3931" spans="36:37">
      <c r="AJ3931" s="41"/>
      <c r="AK3931" s="39"/>
    </row>
    <row r="3932" spans="36:37">
      <c r="AJ3932" s="12"/>
      <c r="AK3932" s="33"/>
    </row>
    <row r="3933" spans="36:37">
      <c r="AJ3933" s="38"/>
      <c r="AK3933" s="39"/>
    </row>
    <row r="3934" spans="36:37">
      <c r="AJ3934" s="38"/>
      <c r="AK3934" s="39"/>
    </row>
    <row r="3935" spans="36:37">
      <c r="AJ3935" s="38"/>
      <c r="AK3935" s="39"/>
    </row>
    <row r="3936" spans="36:37">
      <c r="AJ3936" s="12"/>
      <c r="AK3936" s="33"/>
    </row>
    <row r="3937" spans="36:37">
      <c r="AJ3937" s="12"/>
      <c r="AK3937" s="33"/>
    </row>
    <row r="3938" spans="36:37">
      <c r="AJ3938" s="12"/>
      <c r="AK3938" s="33"/>
    </row>
    <row r="3939" spans="36:37">
      <c r="AJ3939" s="12"/>
      <c r="AK3939" s="33"/>
    </row>
    <row r="3940" spans="36:37">
      <c r="AJ3940" s="12"/>
      <c r="AK3940" s="33"/>
    </row>
    <row r="3941" spans="36:37">
      <c r="AJ3941" s="12"/>
      <c r="AK3941" s="33"/>
    </row>
    <row r="3942" spans="36:37">
      <c r="AJ3942" s="38"/>
      <c r="AK3942" s="40"/>
    </row>
    <row r="3943" spans="36:37">
      <c r="AJ3943" s="12"/>
      <c r="AK3943" s="33"/>
    </row>
    <row r="3944" spans="36:37">
      <c r="AJ3944" s="12"/>
      <c r="AK3944" s="33"/>
    </row>
    <row r="3945" spans="36:37">
      <c r="AJ3945" s="38"/>
      <c r="AK3945" s="40"/>
    </row>
    <row r="3946" spans="36:37">
      <c r="AJ3946" s="38"/>
      <c r="AK3946" s="40"/>
    </row>
    <row r="3947" spans="36:37">
      <c r="AJ3947" s="38"/>
      <c r="AK3947" s="40"/>
    </row>
    <row r="3948" spans="36:37">
      <c r="AJ3948" s="38"/>
      <c r="AK3948" s="40"/>
    </row>
    <row r="3949" spans="36:37">
      <c r="AJ3949" s="12"/>
      <c r="AK3949" s="33"/>
    </row>
    <row r="3950" spans="36:37">
      <c r="AJ3950" s="12"/>
      <c r="AK3950" s="33"/>
    </row>
    <row r="3951" spans="36:37">
      <c r="AJ3951" s="12"/>
      <c r="AK3951" s="33"/>
    </row>
    <row r="3952" spans="36:37">
      <c r="AJ3952" s="12"/>
      <c r="AK3952" s="33"/>
    </row>
    <row r="3953" spans="36:37">
      <c r="AJ3953" s="12"/>
      <c r="AK3953" s="33"/>
    </row>
    <row r="3954" spans="36:37">
      <c r="AJ3954" s="12"/>
      <c r="AK3954" s="33"/>
    </row>
    <row r="3955" spans="36:37">
      <c r="AJ3955" s="12"/>
      <c r="AK3955" s="33"/>
    </row>
    <row r="3956" spans="36:37">
      <c r="AJ3956" s="12"/>
      <c r="AK3956" s="33"/>
    </row>
    <row r="3957" spans="36:37">
      <c r="AJ3957" s="12"/>
      <c r="AK3957" s="33"/>
    </row>
    <row r="3958" spans="36:37">
      <c r="AJ3958" s="12"/>
      <c r="AK3958" s="33"/>
    </row>
    <row r="3959" spans="36:37">
      <c r="AJ3959" s="12"/>
      <c r="AK3959" s="33"/>
    </row>
    <row r="3960" spans="36:37">
      <c r="AJ3960" s="12"/>
      <c r="AK3960" s="33"/>
    </row>
    <row r="3961" spans="36:37">
      <c r="AJ3961" s="12"/>
      <c r="AK3961" s="33"/>
    </row>
    <row r="3962" spans="36:37">
      <c r="AJ3962" s="12"/>
      <c r="AK3962" s="33"/>
    </row>
    <row r="3963" spans="36:37">
      <c r="AJ3963" s="12"/>
      <c r="AK3963" s="33"/>
    </row>
    <row r="3964" spans="36:37">
      <c r="AJ3964" s="12"/>
      <c r="AK3964" s="33"/>
    </row>
    <row r="3965" spans="36:37">
      <c r="AJ3965" s="12"/>
      <c r="AK3965" s="33"/>
    </row>
    <row r="3966" spans="36:37">
      <c r="AJ3966" s="12"/>
      <c r="AK3966" s="33"/>
    </row>
    <row r="3967" spans="36:37">
      <c r="AJ3967" s="12"/>
      <c r="AK3967" s="33"/>
    </row>
    <row r="3968" spans="36:37">
      <c r="AJ3968" s="12"/>
      <c r="AK3968" s="33"/>
    </row>
    <row r="3969" spans="36:37">
      <c r="AJ3969" s="12"/>
      <c r="AK3969" s="33"/>
    </row>
    <row r="3970" spans="36:37">
      <c r="AJ3970" s="12"/>
      <c r="AK3970" s="33"/>
    </row>
    <row r="3971" spans="36:37">
      <c r="AJ3971" s="12"/>
      <c r="AK3971" s="33"/>
    </row>
    <row r="3972" spans="36:37">
      <c r="AJ3972" s="12"/>
      <c r="AK3972" s="33"/>
    </row>
    <row r="3973" spans="36:37">
      <c r="AJ3973" s="12"/>
      <c r="AK3973" s="33"/>
    </row>
    <row r="3974" spans="36:37">
      <c r="AJ3974" s="12"/>
      <c r="AK3974" s="33"/>
    </row>
    <row r="3975" spans="36:37">
      <c r="AJ3975" s="12"/>
      <c r="AK3975" s="33"/>
    </row>
    <row r="3976" spans="36:37">
      <c r="AJ3976" s="12"/>
      <c r="AK3976" s="33"/>
    </row>
    <row r="3977" spans="36:37">
      <c r="AJ3977" s="12"/>
      <c r="AK3977" s="33"/>
    </row>
    <row r="3978" spans="36:37">
      <c r="AJ3978" s="12"/>
      <c r="AK3978" s="33"/>
    </row>
    <row r="3979" spans="36:37">
      <c r="AJ3979" s="12"/>
      <c r="AK3979" s="33"/>
    </row>
    <row r="3980" spans="36:37">
      <c r="AJ3980" s="12"/>
      <c r="AK3980" s="33"/>
    </row>
    <row r="3981" spans="36:37">
      <c r="AJ3981" s="12"/>
      <c r="AK3981" s="33"/>
    </row>
    <row r="3982" spans="36:37">
      <c r="AJ3982" s="12"/>
      <c r="AK3982" s="33"/>
    </row>
    <row r="3983" spans="36:37">
      <c r="AJ3983" s="12"/>
      <c r="AK3983" s="33"/>
    </row>
    <row r="3984" spans="36:37">
      <c r="AJ3984" s="12"/>
      <c r="AK3984" s="33"/>
    </row>
    <row r="3985" spans="36:37">
      <c r="AJ3985" s="12"/>
      <c r="AK3985" s="33"/>
    </row>
    <row r="3986" spans="36:37">
      <c r="AJ3986" s="12"/>
      <c r="AK3986" s="33"/>
    </row>
    <row r="3987" spans="36:37">
      <c r="AJ3987" s="12"/>
      <c r="AK3987" s="33"/>
    </row>
    <row r="3988" spans="36:37">
      <c r="AJ3988" s="12"/>
      <c r="AK3988" s="33"/>
    </row>
    <row r="3989" spans="36:37">
      <c r="AJ3989" s="12"/>
      <c r="AK3989" s="33"/>
    </row>
    <row r="3990" spans="36:37">
      <c r="AJ3990" s="12"/>
      <c r="AK3990" s="33"/>
    </row>
    <row r="3991" spans="36:37">
      <c r="AJ3991" s="12"/>
      <c r="AK3991" s="33"/>
    </row>
    <row r="3992" spans="36:37">
      <c r="AJ3992" s="12"/>
      <c r="AK3992" s="33"/>
    </row>
    <row r="3993" spans="36:37">
      <c r="AJ3993" s="12"/>
      <c r="AK3993" s="33"/>
    </row>
    <row r="3994" spans="36:37">
      <c r="AJ3994" s="12"/>
      <c r="AK3994" s="33"/>
    </row>
    <row r="3995" spans="36:37">
      <c r="AJ3995" s="12"/>
      <c r="AK3995" s="33"/>
    </row>
    <row r="3996" spans="36:37">
      <c r="AJ3996" s="12"/>
      <c r="AK3996" s="33"/>
    </row>
    <row r="3997" spans="36:37">
      <c r="AJ3997" s="12"/>
      <c r="AK3997" s="33"/>
    </row>
    <row r="3998" spans="36:37">
      <c r="AJ3998" s="12"/>
      <c r="AK3998" s="33"/>
    </row>
    <row r="3999" spans="36:37">
      <c r="AJ3999" s="12"/>
      <c r="AK3999" s="33"/>
    </row>
    <row r="4000" spans="36:37">
      <c r="AJ4000" s="12"/>
      <c r="AK4000" s="33"/>
    </row>
    <row r="4001" spans="36:37">
      <c r="AJ4001" s="12"/>
      <c r="AK4001" s="33"/>
    </row>
    <row r="4002" spans="36:37">
      <c r="AJ4002" s="12"/>
      <c r="AK4002" s="33"/>
    </row>
    <row r="4003" spans="36:37">
      <c r="AJ4003" s="12"/>
      <c r="AK4003" s="33"/>
    </row>
    <row r="4004" spans="36:37">
      <c r="AJ4004" s="12"/>
      <c r="AK4004" s="33"/>
    </row>
    <row r="4005" spans="36:37">
      <c r="AJ4005" s="12"/>
      <c r="AK4005" s="33"/>
    </row>
    <row r="4006" spans="36:37">
      <c r="AJ4006" s="38"/>
      <c r="AK4006" s="33"/>
    </row>
    <row r="4007" spans="36:37">
      <c r="AJ4007" s="38"/>
      <c r="AK4007" s="33"/>
    </row>
    <row r="4008" spans="36:37">
      <c r="AJ4008" s="12"/>
      <c r="AK4008" s="33"/>
    </row>
    <row r="4009" spans="36:37">
      <c r="AJ4009" s="38"/>
      <c r="AK4009" s="33"/>
    </row>
    <row r="4010" spans="36:37">
      <c r="AJ4010" s="12"/>
      <c r="AK4010" s="33"/>
    </row>
    <row r="4011" spans="36:37">
      <c r="AJ4011" s="12"/>
      <c r="AK4011" s="33"/>
    </row>
    <row r="4012" spans="36:37">
      <c r="AJ4012" s="12"/>
      <c r="AK4012" s="33"/>
    </row>
    <row r="4013" spans="36:37">
      <c r="AJ4013" s="12"/>
      <c r="AK4013" s="33"/>
    </row>
    <row r="4014" spans="36:37">
      <c r="AJ4014" s="12"/>
      <c r="AK4014" s="33"/>
    </row>
    <row r="4015" spans="36:37">
      <c r="AJ4015" s="12"/>
      <c r="AK4015" s="33"/>
    </row>
    <row r="4016" spans="36:37">
      <c r="AJ4016" s="12"/>
      <c r="AK4016" s="33"/>
    </row>
    <row r="4017" spans="36:37">
      <c r="AJ4017" s="12"/>
      <c r="AK4017" s="33"/>
    </row>
    <row r="4018" spans="36:37">
      <c r="AJ4018" s="12"/>
      <c r="AK4018" s="33"/>
    </row>
    <row r="4019" spans="36:37">
      <c r="AJ4019" s="12"/>
      <c r="AK4019" s="33"/>
    </row>
    <row r="4020" spans="36:37">
      <c r="AJ4020" s="12"/>
      <c r="AK4020" s="33"/>
    </row>
    <row r="4021" spans="36:37">
      <c r="AJ4021" s="12"/>
      <c r="AK4021" s="33"/>
    </row>
    <row r="4022" spans="36:37">
      <c r="AJ4022" s="12"/>
      <c r="AK4022" s="33"/>
    </row>
    <row r="4023" spans="36:37">
      <c r="AJ4023" s="12"/>
      <c r="AK4023" s="33"/>
    </row>
    <row r="4024" spans="36:37">
      <c r="AJ4024" s="12"/>
      <c r="AK4024" s="33"/>
    </row>
    <row r="4025" spans="36:37">
      <c r="AJ4025" s="12"/>
      <c r="AK4025" s="33"/>
    </row>
    <row r="4026" spans="36:37">
      <c r="AJ4026" s="12"/>
      <c r="AK4026" s="33"/>
    </row>
    <row r="4027" spans="36:37">
      <c r="AJ4027" s="12"/>
      <c r="AK4027" s="33"/>
    </row>
    <row r="4028" spans="36:37">
      <c r="AJ4028" s="12"/>
      <c r="AK4028" s="33"/>
    </row>
    <row r="4029" spans="36:37">
      <c r="AJ4029" s="12"/>
      <c r="AK4029" s="33"/>
    </row>
    <row r="4030" spans="36:37">
      <c r="AJ4030" s="12"/>
      <c r="AK4030" s="33"/>
    </row>
    <row r="4031" spans="36:37">
      <c r="AJ4031" s="12"/>
      <c r="AK4031" s="33"/>
    </row>
    <row r="4032" spans="36:37">
      <c r="AJ4032" s="12"/>
      <c r="AK4032" s="33"/>
    </row>
    <row r="4033" spans="36:37">
      <c r="AJ4033" s="12"/>
      <c r="AK4033" s="33"/>
    </row>
    <row r="4034" spans="36:37">
      <c r="AJ4034" s="12"/>
      <c r="AK4034" s="33"/>
    </row>
    <row r="4035" spans="36:37">
      <c r="AJ4035" s="38"/>
      <c r="AK4035" s="39"/>
    </row>
    <row r="4036" spans="36:37">
      <c r="AJ4036" s="12"/>
      <c r="AK4036" s="33"/>
    </row>
    <row r="4037" spans="36:37">
      <c r="AJ4037" s="12"/>
      <c r="AK4037" s="33"/>
    </row>
    <row r="4038" spans="36:37">
      <c r="AJ4038" s="12"/>
      <c r="AK4038" s="33"/>
    </row>
    <row r="4039" spans="36:37">
      <c r="AJ4039" s="38"/>
      <c r="AK4039" s="39"/>
    </row>
    <row r="4040" spans="36:37">
      <c r="AJ4040" s="12"/>
      <c r="AK4040" s="33"/>
    </row>
    <row r="4041" spans="36:37">
      <c r="AJ4041" s="12"/>
      <c r="AK4041" s="33"/>
    </row>
    <row r="4042" spans="36:37">
      <c r="AJ4042" s="12"/>
      <c r="AK4042" s="33"/>
    </row>
    <row r="4043" spans="36:37">
      <c r="AJ4043" s="12"/>
      <c r="AK4043" s="33"/>
    </row>
    <row r="4044" spans="36:37">
      <c r="AJ4044" s="12"/>
      <c r="AK4044" s="33"/>
    </row>
    <row r="4045" spans="36:37">
      <c r="AJ4045" s="38"/>
      <c r="AK4045" s="39"/>
    </row>
    <row r="4046" spans="36:37">
      <c r="AJ4046" s="12"/>
      <c r="AK4046" s="33"/>
    </row>
    <row r="4047" spans="36:37">
      <c r="AJ4047" s="12"/>
      <c r="AK4047" s="33"/>
    </row>
    <row r="4048" spans="36:37">
      <c r="AJ4048" s="12"/>
      <c r="AK4048" s="33"/>
    </row>
    <row r="4049" spans="36:37">
      <c r="AJ4049" s="12"/>
      <c r="AK4049" s="33"/>
    </row>
    <row r="4050" spans="36:37">
      <c r="AJ4050" s="12"/>
      <c r="AK4050" s="33"/>
    </row>
    <row r="4051" spans="36:37">
      <c r="AJ4051" s="12"/>
      <c r="AK4051" s="33"/>
    </row>
    <row r="4052" spans="36:37">
      <c r="AJ4052" s="12"/>
      <c r="AK4052" s="33"/>
    </row>
    <row r="4053" spans="36:37">
      <c r="AJ4053" s="12"/>
      <c r="AK4053" s="33"/>
    </row>
    <row r="4054" spans="36:37">
      <c r="AJ4054" s="12"/>
      <c r="AK4054" s="33"/>
    </row>
    <row r="4055" spans="36:37">
      <c r="AJ4055" s="12"/>
      <c r="AK4055" s="33"/>
    </row>
    <row r="4056" spans="36:37">
      <c r="AJ4056" s="12"/>
      <c r="AK4056" s="33"/>
    </row>
    <row r="4057" spans="36:37">
      <c r="AJ4057" s="38"/>
      <c r="AK4057" s="39"/>
    </row>
    <row r="4058" spans="36:37">
      <c r="AJ4058" s="41"/>
      <c r="AK4058" s="39"/>
    </row>
    <row r="4059" spans="36:37">
      <c r="AJ4059" s="12"/>
      <c r="AK4059" s="33"/>
    </row>
    <row r="4060" spans="36:37">
      <c r="AJ4060" s="12"/>
      <c r="AK4060" s="33"/>
    </row>
    <row r="4061" spans="36:37">
      <c r="AJ4061" s="12"/>
      <c r="AK4061" s="33"/>
    </row>
    <row r="4062" spans="36:37">
      <c r="AJ4062" s="12"/>
      <c r="AK4062" s="33"/>
    </row>
    <row r="4063" spans="36:37">
      <c r="AJ4063" s="12"/>
      <c r="AK4063" s="33"/>
    </row>
    <row r="4064" spans="36:37">
      <c r="AJ4064" s="12"/>
      <c r="AK4064" s="33"/>
    </row>
    <row r="4065" spans="36:37">
      <c r="AJ4065" s="12"/>
      <c r="AK4065" s="33"/>
    </row>
    <row r="4066" spans="36:37">
      <c r="AJ4066" s="12"/>
      <c r="AK4066" s="33"/>
    </row>
    <row r="4067" spans="36:37">
      <c r="AJ4067" s="12"/>
      <c r="AK4067" s="33"/>
    </row>
    <row r="4068" spans="36:37">
      <c r="AJ4068" s="12"/>
      <c r="AK4068" s="33"/>
    </row>
    <row r="4069" spans="36:37">
      <c r="AJ4069" s="12"/>
      <c r="AK4069" s="33"/>
    </row>
    <row r="4070" spans="36:37">
      <c r="AJ4070" s="12"/>
      <c r="AK4070" s="33"/>
    </row>
    <row r="4071" spans="36:37">
      <c r="AJ4071" s="12"/>
      <c r="AK4071" s="33"/>
    </row>
    <row r="4072" spans="36:37">
      <c r="AJ4072" s="12"/>
      <c r="AK4072" s="33"/>
    </row>
    <row r="4073" spans="36:37">
      <c r="AJ4073" s="12"/>
      <c r="AK4073" s="33"/>
    </row>
    <row r="4074" spans="36:37">
      <c r="AJ4074" s="12"/>
      <c r="AK4074" s="33"/>
    </row>
    <row r="4075" spans="36:37">
      <c r="AJ4075" s="12"/>
      <c r="AK4075" s="33"/>
    </row>
    <row r="4076" spans="36:37">
      <c r="AJ4076" s="12"/>
      <c r="AK4076" s="33"/>
    </row>
    <row r="4077" spans="36:37">
      <c r="AJ4077" s="12"/>
      <c r="AK4077" s="33"/>
    </row>
    <row r="4078" spans="36:37">
      <c r="AJ4078" s="12"/>
      <c r="AK4078" s="33"/>
    </row>
    <row r="4079" spans="36:37">
      <c r="AJ4079" s="12"/>
      <c r="AK4079" s="33"/>
    </row>
    <row r="4080" spans="36:37">
      <c r="AJ4080" s="12"/>
      <c r="AK4080" s="33"/>
    </row>
    <row r="4081" spans="36:37">
      <c r="AJ4081" s="12"/>
      <c r="AK4081" s="33"/>
    </row>
    <row r="4082" spans="36:37">
      <c r="AJ4082" s="12"/>
      <c r="AK4082" s="33"/>
    </row>
    <row r="4083" spans="36:37">
      <c r="AJ4083" s="12"/>
      <c r="AK4083" s="33"/>
    </row>
    <row r="4084" spans="36:37">
      <c r="AJ4084" s="12"/>
      <c r="AK4084" s="33"/>
    </row>
    <row r="4085" spans="36:37">
      <c r="AJ4085" s="12"/>
      <c r="AK4085" s="33"/>
    </row>
    <row r="4086" spans="36:37">
      <c r="AJ4086" s="12"/>
      <c r="AK4086" s="33"/>
    </row>
    <row r="4087" spans="36:37">
      <c r="AJ4087" s="12"/>
      <c r="AK4087" s="33"/>
    </row>
    <row r="4088" spans="36:37">
      <c r="AJ4088" s="12"/>
      <c r="AK4088" s="33"/>
    </row>
    <row r="4089" spans="36:37">
      <c r="AJ4089" s="12"/>
      <c r="AK4089" s="33"/>
    </row>
    <row r="4090" spans="36:37">
      <c r="AJ4090" s="12"/>
      <c r="AK4090" s="33"/>
    </row>
    <row r="4091" spans="36:37">
      <c r="AJ4091" s="12"/>
      <c r="AK4091" s="33"/>
    </row>
    <row r="4092" spans="36:37">
      <c r="AJ4092" s="12"/>
      <c r="AK4092" s="33"/>
    </row>
    <row r="4093" spans="36:37">
      <c r="AJ4093" s="12"/>
      <c r="AK4093" s="33"/>
    </row>
    <row r="4094" spans="36:37">
      <c r="AJ4094" s="12"/>
      <c r="AK4094" s="33"/>
    </row>
    <row r="4095" spans="36:37">
      <c r="AJ4095" s="12"/>
      <c r="AK4095" s="33"/>
    </row>
    <row r="4096" spans="36:37">
      <c r="AJ4096" s="12"/>
      <c r="AK4096" s="33"/>
    </row>
    <row r="4097" spans="36:37">
      <c r="AJ4097" s="12"/>
      <c r="AK4097" s="33"/>
    </row>
    <row r="4098" spans="36:37">
      <c r="AJ4098" s="12"/>
      <c r="AK4098" s="33"/>
    </row>
    <row r="4099" spans="36:37">
      <c r="AJ4099" s="12"/>
      <c r="AK4099" s="33"/>
    </row>
    <row r="4100" spans="36:37">
      <c r="AJ4100" s="12"/>
      <c r="AK4100" s="33"/>
    </row>
    <row r="4101" spans="36:37">
      <c r="AJ4101" s="12"/>
      <c r="AK4101" s="33"/>
    </row>
    <row r="4102" spans="36:37">
      <c r="AJ4102" s="12"/>
      <c r="AK4102" s="33"/>
    </row>
    <row r="4103" spans="36:37">
      <c r="AJ4103" s="12"/>
      <c r="AK4103" s="33"/>
    </row>
    <row r="4104" spans="36:37">
      <c r="AJ4104" s="12"/>
      <c r="AK4104" s="33"/>
    </row>
    <row r="4105" spans="36:37">
      <c r="AJ4105" s="12"/>
      <c r="AK4105" s="33"/>
    </row>
    <row r="4106" spans="36:37">
      <c r="AJ4106" s="12"/>
      <c r="AK4106" s="33"/>
    </row>
    <row r="4107" spans="36:37">
      <c r="AJ4107" s="12"/>
      <c r="AK4107" s="33"/>
    </row>
    <row r="4108" spans="36:37">
      <c r="AJ4108" s="12"/>
      <c r="AK4108" s="33"/>
    </row>
    <row r="4109" spans="36:37">
      <c r="AJ4109" s="12"/>
      <c r="AK4109" s="33"/>
    </row>
    <row r="4110" spans="36:37">
      <c r="AJ4110" s="12"/>
      <c r="AK4110" s="33"/>
    </row>
    <row r="4111" spans="36:37">
      <c r="AJ4111" s="12"/>
      <c r="AK4111" s="33"/>
    </row>
    <row r="4112" spans="36:37">
      <c r="AJ4112" s="12"/>
      <c r="AK4112" s="33"/>
    </row>
    <row r="4113" spans="36:37">
      <c r="AJ4113" s="12"/>
      <c r="AK4113" s="33"/>
    </row>
    <row r="4114" spans="36:37">
      <c r="AJ4114" s="12"/>
      <c r="AK4114" s="33"/>
    </row>
    <row r="4115" spans="36:37">
      <c r="AJ4115" s="12"/>
      <c r="AK4115" s="33"/>
    </row>
    <row r="4116" spans="36:37">
      <c r="AJ4116" s="12"/>
      <c r="AK4116" s="33"/>
    </row>
    <row r="4117" spans="36:37">
      <c r="AJ4117" s="12"/>
      <c r="AK4117" s="33"/>
    </row>
    <row r="4118" spans="36:37">
      <c r="AJ4118" s="12"/>
      <c r="AK4118" s="33"/>
    </row>
    <row r="4119" spans="36:37">
      <c r="AJ4119" s="12"/>
      <c r="AK4119" s="33"/>
    </row>
    <row r="4120" spans="36:37">
      <c r="AJ4120" s="12"/>
      <c r="AK4120" s="33"/>
    </row>
    <row r="4121" spans="36:37">
      <c r="AJ4121" s="12"/>
      <c r="AK4121" s="33"/>
    </row>
    <row r="4122" spans="36:37">
      <c r="AJ4122" s="12"/>
      <c r="AK4122" s="33"/>
    </row>
    <row r="4123" spans="36:37">
      <c r="AJ4123" s="12"/>
      <c r="AK4123" s="33"/>
    </row>
    <row r="4124" spans="36:37">
      <c r="AJ4124" s="12"/>
      <c r="AK4124" s="33"/>
    </row>
    <row r="4125" spans="36:37">
      <c r="AJ4125" s="12"/>
      <c r="AK4125" s="33"/>
    </row>
    <row r="4126" spans="36:37">
      <c r="AJ4126" s="12"/>
      <c r="AK4126" s="33"/>
    </row>
    <row r="4127" spans="36:37">
      <c r="AJ4127" s="12"/>
      <c r="AK4127" s="33"/>
    </row>
    <row r="4128" spans="36:37">
      <c r="AJ4128" s="12"/>
      <c r="AK4128" s="33"/>
    </row>
    <row r="4129" spans="36:37">
      <c r="AJ4129" s="12"/>
      <c r="AK4129" s="33"/>
    </row>
    <row r="4130" spans="36:37">
      <c r="AJ4130" s="12"/>
      <c r="AK4130" s="33"/>
    </row>
    <row r="4131" spans="36:37">
      <c r="AJ4131" s="12"/>
      <c r="AK4131" s="33"/>
    </row>
    <row r="4132" spans="36:37">
      <c r="AJ4132" s="12"/>
      <c r="AK4132" s="33"/>
    </row>
    <row r="4133" spans="36:37">
      <c r="AJ4133" s="12"/>
      <c r="AK4133" s="33"/>
    </row>
    <row r="4134" spans="36:37">
      <c r="AJ4134" s="12"/>
      <c r="AK4134" s="33"/>
    </row>
    <row r="4135" spans="36:37">
      <c r="AJ4135" s="12"/>
      <c r="AK4135" s="33"/>
    </row>
    <row r="4136" spans="36:37">
      <c r="AJ4136" s="12"/>
      <c r="AK4136" s="33"/>
    </row>
    <row r="4137" spans="36:37">
      <c r="AJ4137" s="12"/>
      <c r="AK4137" s="33"/>
    </row>
    <row r="4138" spans="36:37">
      <c r="AJ4138" s="12"/>
      <c r="AK4138" s="33"/>
    </row>
    <row r="4139" spans="36:37">
      <c r="AJ4139" s="12"/>
      <c r="AK4139" s="33"/>
    </row>
    <row r="4140" spans="36:37">
      <c r="AJ4140" s="12"/>
      <c r="AK4140" s="33"/>
    </row>
    <row r="4141" spans="36:37">
      <c r="AJ4141" s="12"/>
      <c r="AK4141" s="33"/>
    </row>
    <row r="4142" spans="36:37">
      <c r="AJ4142" s="12"/>
      <c r="AK4142" s="33"/>
    </row>
    <row r="4143" spans="36:37">
      <c r="AJ4143" s="12"/>
      <c r="AK4143" s="33"/>
    </row>
    <row r="4144" spans="36:37">
      <c r="AJ4144" s="12"/>
      <c r="AK4144" s="33"/>
    </row>
    <row r="4145" spans="36:37">
      <c r="AJ4145" s="12"/>
      <c r="AK4145" s="33"/>
    </row>
    <row r="4146" spans="36:37">
      <c r="AJ4146" s="12"/>
      <c r="AK4146" s="33"/>
    </row>
    <row r="4147" spans="36:37">
      <c r="AJ4147" s="12"/>
      <c r="AK4147" s="33"/>
    </row>
    <row r="4148" spans="36:37">
      <c r="AJ4148" s="12"/>
      <c r="AK4148" s="33"/>
    </row>
    <row r="4149" spans="36:37">
      <c r="AJ4149" s="12"/>
      <c r="AK4149" s="33"/>
    </row>
    <row r="4150" spans="36:37">
      <c r="AJ4150" s="12"/>
      <c r="AK4150" s="33"/>
    </row>
    <row r="4151" spans="36:37">
      <c r="AJ4151" s="12"/>
      <c r="AK4151" s="33"/>
    </row>
    <row r="4152" spans="36:37">
      <c r="AJ4152" s="12"/>
      <c r="AK4152" s="33"/>
    </row>
    <row r="4153" spans="36:37">
      <c r="AJ4153" s="12"/>
      <c r="AK4153" s="33"/>
    </row>
    <row r="4154" spans="36:37">
      <c r="AJ4154" s="12"/>
      <c r="AK4154" s="33"/>
    </row>
    <row r="4155" spans="36:37">
      <c r="AJ4155" s="12"/>
      <c r="AK4155" s="33"/>
    </row>
    <row r="4156" spans="36:37">
      <c r="AJ4156" s="12"/>
      <c r="AK4156" s="33"/>
    </row>
    <row r="4157" spans="36:37">
      <c r="AJ4157" s="12"/>
      <c r="AK4157" s="33"/>
    </row>
    <row r="4158" spans="36:37">
      <c r="AJ4158" s="12"/>
      <c r="AK4158" s="33"/>
    </row>
    <row r="4159" spans="36:37">
      <c r="AJ4159" s="12"/>
      <c r="AK4159" s="33"/>
    </row>
    <row r="4160" spans="36:37">
      <c r="AJ4160" s="12"/>
      <c r="AK4160" s="33"/>
    </row>
    <row r="4161" spans="36:37">
      <c r="AJ4161" s="12"/>
      <c r="AK4161" s="33"/>
    </row>
    <row r="4162" spans="36:37">
      <c r="AJ4162" s="12"/>
      <c r="AK4162" s="33"/>
    </row>
    <row r="4163" spans="36:37">
      <c r="AJ4163" s="12"/>
      <c r="AK4163" s="33"/>
    </row>
    <row r="4164" spans="36:37">
      <c r="AJ4164" s="12"/>
      <c r="AK4164" s="33"/>
    </row>
    <row r="4165" spans="36:37">
      <c r="AJ4165" s="12"/>
      <c r="AK4165" s="33"/>
    </row>
    <row r="4166" spans="36:37">
      <c r="AJ4166" s="12"/>
      <c r="AK4166" s="33"/>
    </row>
    <row r="4167" spans="36:37">
      <c r="AJ4167" s="12"/>
      <c r="AK4167" s="33"/>
    </row>
    <row r="4168" spans="36:37">
      <c r="AJ4168" s="12"/>
      <c r="AK4168" s="33"/>
    </row>
    <row r="4169" spans="36:37">
      <c r="AJ4169" s="12"/>
      <c r="AK4169" s="33"/>
    </row>
    <row r="4170" spans="36:37">
      <c r="AJ4170" s="12"/>
      <c r="AK4170" s="33"/>
    </row>
    <row r="4171" spans="36:37">
      <c r="AJ4171" s="12"/>
      <c r="AK4171" s="33"/>
    </row>
    <row r="4172" spans="36:37">
      <c r="AJ4172" s="12"/>
      <c r="AK4172" s="33"/>
    </row>
    <row r="4173" spans="36:37">
      <c r="AJ4173" s="12"/>
      <c r="AK4173" s="33"/>
    </row>
    <row r="4174" spans="36:37">
      <c r="AJ4174" s="12"/>
      <c r="AK4174" s="33"/>
    </row>
    <row r="4175" spans="36:37">
      <c r="AJ4175" s="12"/>
      <c r="AK4175" s="33"/>
    </row>
    <row r="4176" spans="36:37">
      <c r="AJ4176" s="12"/>
      <c r="AK4176" s="33"/>
    </row>
    <row r="4177" spans="36:37">
      <c r="AJ4177" s="12"/>
      <c r="AK4177" s="33"/>
    </row>
    <row r="4178" spans="36:37">
      <c r="AJ4178" s="12"/>
      <c r="AK4178" s="33"/>
    </row>
    <row r="4179" spans="36:37">
      <c r="AJ4179" s="12"/>
      <c r="AK4179" s="33"/>
    </row>
    <row r="4180" spans="36:37">
      <c r="AJ4180" s="12"/>
      <c r="AK4180" s="33"/>
    </row>
    <row r="4181" spans="36:37">
      <c r="AJ4181" s="12"/>
      <c r="AK4181" s="33"/>
    </row>
    <row r="4182" spans="36:37">
      <c r="AJ4182" s="12"/>
      <c r="AK4182" s="33"/>
    </row>
    <row r="4183" spans="36:37">
      <c r="AJ4183" s="12"/>
      <c r="AK4183" s="33"/>
    </row>
    <row r="4184" spans="36:37">
      <c r="AJ4184" s="12"/>
      <c r="AK4184" s="33"/>
    </row>
    <row r="4185" spans="36:37">
      <c r="AJ4185" s="12"/>
      <c r="AK4185" s="33"/>
    </row>
    <row r="4186" spans="36:37">
      <c r="AJ4186" s="12"/>
      <c r="AK4186" s="33"/>
    </row>
    <row r="4187" spans="36:37">
      <c r="AJ4187" s="12"/>
      <c r="AK4187" s="33"/>
    </row>
    <row r="4188" spans="36:37">
      <c r="AJ4188" s="12"/>
      <c r="AK4188" s="33"/>
    </row>
    <row r="4189" spans="36:37">
      <c r="AJ4189" s="12"/>
      <c r="AK4189" s="33"/>
    </row>
    <row r="4190" spans="36:37">
      <c r="AJ4190" s="12"/>
      <c r="AK4190" s="33"/>
    </row>
    <row r="4191" spans="36:37">
      <c r="AJ4191" s="12"/>
      <c r="AK4191" s="33"/>
    </row>
    <row r="4192" spans="36:37">
      <c r="AJ4192" s="12"/>
      <c r="AK4192" s="33"/>
    </row>
    <row r="4193" spans="36:37">
      <c r="AJ4193" s="12"/>
      <c r="AK4193" s="33"/>
    </row>
    <row r="4194" spans="36:37">
      <c r="AJ4194" s="12"/>
      <c r="AK4194" s="33"/>
    </row>
    <row r="4195" spans="36:37">
      <c r="AJ4195" s="12"/>
      <c r="AK4195" s="33"/>
    </row>
    <row r="4196" spans="36:37">
      <c r="AJ4196" s="12"/>
      <c r="AK4196" s="33"/>
    </row>
    <row r="4197" spans="36:37">
      <c r="AJ4197" s="12"/>
      <c r="AK4197" s="33"/>
    </row>
    <row r="4198" spans="36:37">
      <c r="AJ4198" s="12"/>
      <c r="AK4198" s="33"/>
    </row>
    <row r="4199" spans="36:37">
      <c r="AJ4199" s="12"/>
      <c r="AK4199" s="33"/>
    </row>
    <row r="4200" spans="36:37">
      <c r="AJ4200" s="12"/>
      <c r="AK4200" s="33"/>
    </row>
    <row r="4201" spans="36:37">
      <c r="AJ4201" s="12"/>
      <c r="AK4201" s="33"/>
    </row>
    <row r="4202" spans="36:37">
      <c r="AJ4202" s="12"/>
      <c r="AK4202" s="33"/>
    </row>
    <row r="4203" spans="36:37">
      <c r="AJ4203" s="12"/>
      <c r="AK4203" s="33"/>
    </row>
    <row r="4204" spans="36:37">
      <c r="AJ4204" s="12"/>
      <c r="AK4204" s="33"/>
    </row>
    <row r="4205" spans="36:37">
      <c r="AJ4205" s="12"/>
      <c r="AK4205" s="33"/>
    </row>
    <row r="4206" spans="36:37">
      <c r="AJ4206" s="12"/>
      <c r="AK4206" s="33"/>
    </row>
    <row r="4207" spans="36:37">
      <c r="AJ4207" s="12"/>
      <c r="AK4207" s="33"/>
    </row>
    <row r="4208" spans="36:37">
      <c r="AJ4208" s="12"/>
      <c r="AK4208" s="33"/>
    </row>
    <row r="4209" spans="36:37">
      <c r="AJ4209" s="12"/>
      <c r="AK4209" s="33"/>
    </row>
    <row r="4210" spans="36:37">
      <c r="AJ4210" s="12"/>
      <c r="AK4210" s="33"/>
    </row>
    <row r="4211" spans="36:37">
      <c r="AJ4211" s="12"/>
      <c r="AK4211" s="33"/>
    </row>
    <row r="4212" spans="36:37">
      <c r="AJ4212" s="12"/>
      <c r="AK4212" s="33"/>
    </row>
    <row r="4213" spans="36:37">
      <c r="AJ4213" s="12"/>
      <c r="AK4213" s="33"/>
    </row>
    <row r="4214" spans="36:37">
      <c r="AJ4214" s="12"/>
      <c r="AK4214" s="33"/>
    </row>
    <row r="4215" spans="36:37">
      <c r="AJ4215" s="12"/>
      <c r="AK4215" s="33"/>
    </row>
    <row r="4216" spans="36:37">
      <c r="AJ4216" s="12"/>
      <c r="AK4216" s="33"/>
    </row>
    <row r="4217" spans="36:37">
      <c r="AJ4217" s="12"/>
      <c r="AK4217" s="33"/>
    </row>
    <row r="4218" spans="36:37">
      <c r="AJ4218" s="12"/>
      <c r="AK4218" s="33"/>
    </row>
    <row r="4219" spans="36:37">
      <c r="AJ4219" s="12"/>
      <c r="AK4219" s="33"/>
    </row>
    <row r="4220" spans="36:37">
      <c r="AJ4220" s="12"/>
      <c r="AK4220" s="33"/>
    </row>
    <row r="4221" spans="36:37">
      <c r="AJ4221" s="12"/>
      <c r="AK4221" s="33"/>
    </row>
    <row r="4222" spans="36:37">
      <c r="AJ4222" s="12"/>
      <c r="AK4222" s="33"/>
    </row>
    <row r="4223" spans="36:37">
      <c r="AJ4223" s="12"/>
      <c r="AK4223" s="33"/>
    </row>
    <row r="4224" spans="36:37">
      <c r="AJ4224" s="12"/>
      <c r="AK4224" s="33"/>
    </row>
    <row r="4225" spans="36:37">
      <c r="AJ4225" s="12"/>
      <c r="AK4225" s="33"/>
    </row>
    <row r="4226" spans="36:37">
      <c r="AJ4226" s="12"/>
      <c r="AK4226" s="33"/>
    </row>
    <row r="4227" spans="36:37">
      <c r="AJ4227" s="12"/>
      <c r="AK4227" s="33"/>
    </row>
    <row r="4228" spans="36:37">
      <c r="AJ4228" s="12"/>
      <c r="AK4228" s="33"/>
    </row>
    <row r="4229" spans="36:37">
      <c r="AJ4229" s="12"/>
      <c r="AK4229" s="33"/>
    </row>
    <row r="4230" spans="36:37">
      <c r="AJ4230" s="12"/>
      <c r="AK4230" s="33"/>
    </row>
    <row r="4231" spans="36:37">
      <c r="AJ4231" s="12"/>
      <c r="AK4231" s="33"/>
    </row>
    <row r="4232" spans="36:37">
      <c r="AJ4232" s="12"/>
      <c r="AK4232" s="33"/>
    </row>
    <row r="4233" spans="36:37">
      <c r="AJ4233" s="12"/>
      <c r="AK4233" s="33"/>
    </row>
    <row r="4234" spans="36:37">
      <c r="AJ4234" s="12"/>
      <c r="AK4234" s="33"/>
    </row>
    <row r="4235" spans="36:37">
      <c r="AJ4235" s="12"/>
      <c r="AK4235" s="33"/>
    </row>
    <row r="4236" spans="36:37">
      <c r="AJ4236" s="12"/>
      <c r="AK4236" s="33"/>
    </row>
    <row r="4237" spans="36:37">
      <c r="AJ4237" s="12"/>
      <c r="AK4237" s="33"/>
    </row>
    <row r="4238" spans="36:37">
      <c r="AJ4238" s="12"/>
      <c r="AK4238" s="33"/>
    </row>
    <row r="4239" spans="36:37">
      <c r="AJ4239" s="12"/>
      <c r="AK4239" s="33"/>
    </row>
    <row r="4240" spans="36:37">
      <c r="AJ4240" s="12"/>
      <c r="AK4240" s="33"/>
    </row>
    <row r="4241" spans="36:37">
      <c r="AJ4241" s="12"/>
      <c r="AK4241" s="33"/>
    </row>
    <row r="4242" spans="36:37">
      <c r="AJ4242" s="12"/>
      <c r="AK4242" s="33"/>
    </row>
    <row r="4243" spans="36:37">
      <c r="AJ4243" s="12"/>
      <c r="AK4243" s="33"/>
    </row>
    <row r="4244" spans="36:37">
      <c r="AJ4244" s="12"/>
      <c r="AK4244" s="33"/>
    </row>
    <row r="4245" spans="36:37">
      <c r="AJ4245" s="12"/>
      <c r="AK4245" s="33"/>
    </row>
    <row r="4246" spans="36:37">
      <c r="AJ4246" s="12"/>
      <c r="AK4246" s="33"/>
    </row>
    <row r="4247" spans="36:37">
      <c r="AJ4247" s="38"/>
      <c r="AK4247" s="39"/>
    </row>
    <row r="4248" spans="36:37">
      <c r="AJ4248" s="12"/>
      <c r="AK4248" s="33"/>
    </row>
    <row r="4249" spans="36:37">
      <c r="AJ4249" s="12"/>
      <c r="AK4249" s="33"/>
    </row>
    <row r="4250" spans="36:37">
      <c r="AJ4250" s="12"/>
      <c r="AK4250" s="33"/>
    </row>
    <row r="4251" spans="36:37">
      <c r="AJ4251" s="12"/>
      <c r="AK4251" s="33"/>
    </row>
    <row r="4252" spans="36:37">
      <c r="AJ4252" s="12"/>
      <c r="AK4252" s="33"/>
    </row>
    <row r="4253" spans="36:37">
      <c r="AJ4253" s="12"/>
      <c r="AK4253" s="33"/>
    </row>
    <row r="4254" spans="36:37">
      <c r="AJ4254" s="12"/>
      <c r="AK4254" s="33"/>
    </row>
    <row r="4255" spans="36:37">
      <c r="AJ4255" s="12"/>
      <c r="AK4255" s="33"/>
    </row>
    <row r="4256" spans="36:37">
      <c r="AJ4256" s="12"/>
      <c r="AK4256" s="33"/>
    </row>
    <row r="4257" spans="36:37">
      <c r="AJ4257" s="12"/>
      <c r="AK4257" s="33"/>
    </row>
    <row r="4258" spans="36:37">
      <c r="AJ4258" s="12"/>
      <c r="AK4258" s="33"/>
    </row>
    <row r="4259" spans="36:37">
      <c r="AJ4259" s="12"/>
      <c r="AK4259" s="33"/>
    </row>
    <row r="4260" spans="36:37">
      <c r="AJ4260" s="12"/>
      <c r="AK4260" s="33"/>
    </row>
    <row r="4261" spans="36:37">
      <c r="AJ4261" s="12"/>
      <c r="AK4261" s="33"/>
    </row>
    <row r="4262" spans="36:37">
      <c r="AJ4262" s="12"/>
      <c r="AK4262" s="33"/>
    </row>
    <row r="4263" spans="36:37">
      <c r="AJ4263" s="12"/>
      <c r="AK4263" s="33"/>
    </row>
    <row r="4264" spans="36:37">
      <c r="AJ4264" s="12"/>
      <c r="AK4264" s="33"/>
    </row>
    <row r="4265" spans="36:37">
      <c r="AJ4265" s="12"/>
      <c r="AK4265" s="33"/>
    </row>
    <row r="4266" spans="36:37">
      <c r="AJ4266" s="12"/>
      <c r="AK4266" s="33"/>
    </row>
    <row r="4267" spans="36:37">
      <c r="AJ4267" s="12"/>
      <c r="AK4267" s="33"/>
    </row>
    <row r="4268" spans="36:37">
      <c r="AJ4268" s="12"/>
      <c r="AK4268" s="33"/>
    </row>
    <row r="4269" spans="36:37">
      <c r="AJ4269" s="12"/>
      <c r="AK4269" s="33"/>
    </row>
    <row r="4270" spans="36:37">
      <c r="AJ4270" s="12"/>
      <c r="AK4270" s="33"/>
    </row>
    <row r="4271" spans="36:37">
      <c r="AJ4271" s="12"/>
      <c r="AK4271" s="33"/>
    </row>
    <row r="4272" spans="36:37">
      <c r="AJ4272" s="12"/>
      <c r="AK4272" s="33"/>
    </row>
    <row r="4273" spans="36:37">
      <c r="AJ4273" s="12"/>
      <c r="AK4273" s="33"/>
    </row>
    <row r="4274" spans="36:37">
      <c r="AJ4274" s="12"/>
      <c r="AK4274" s="33"/>
    </row>
    <row r="4275" spans="36:37">
      <c r="AJ4275" s="12"/>
      <c r="AK4275" s="33"/>
    </row>
    <row r="4276" spans="36:37">
      <c r="AJ4276" s="12"/>
      <c r="AK4276" s="33"/>
    </row>
    <row r="4277" spans="36:37">
      <c r="AJ4277" s="12"/>
      <c r="AK4277" s="33"/>
    </row>
    <row r="4278" spans="36:37">
      <c r="AJ4278" s="12"/>
      <c r="AK4278" s="33"/>
    </row>
    <row r="4279" spans="36:37">
      <c r="AJ4279" s="12"/>
      <c r="AK4279" s="33"/>
    </row>
    <row r="4280" spans="36:37">
      <c r="AJ4280" s="12"/>
      <c r="AK4280" s="33"/>
    </row>
    <row r="4281" spans="36:37">
      <c r="AJ4281" s="12"/>
      <c r="AK4281" s="33"/>
    </row>
    <row r="4282" spans="36:37">
      <c r="AJ4282" s="12"/>
      <c r="AK4282" s="33"/>
    </row>
    <row r="4283" spans="36:37">
      <c r="AJ4283" s="12"/>
      <c r="AK4283" s="33"/>
    </row>
    <row r="4284" spans="36:37">
      <c r="AJ4284" s="12"/>
      <c r="AK4284" s="33"/>
    </row>
    <row r="4285" spans="36:37">
      <c r="AJ4285" s="12"/>
      <c r="AK4285" s="33"/>
    </row>
    <row r="4286" spans="36:37">
      <c r="AJ4286" s="12"/>
      <c r="AK4286" s="33"/>
    </row>
    <row r="4287" spans="36:37">
      <c r="AJ4287" s="12"/>
      <c r="AK4287" s="33"/>
    </row>
    <row r="4288" spans="36:37">
      <c r="AJ4288" s="12"/>
      <c r="AK4288" s="33"/>
    </row>
    <row r="4289" spans="36:37">
      <c r="AJ4289" s="12"/>
      <c r="AK4289" s="33"/>
    </row>
    <row r="4290" spans="36:37">
      <c r="AJ4290" s="12"/>
      <c r="AK4290" s="33"/>
    </row>
    <row r="4291" spans="36:37">
      <c r="AJ4291" s="12"/>
      <c r="AK4291" s="33"/>
    </row>
    <row r="4292" spans="36:37">
      <c r="AJ4292" s="12"/>
      <c r="AK4292" s="33"/>
    </row>
    <row r="4293" spans="36:37">
      <c r="AJ4293" s="12"/>
      <c r="AK4293" s="33"/>
    </row>
    <row r="4294" spans="36:37">
      <c r="AJ4294" s="12"/>
      <c r="AK4294" s="33"/>
    </row>
    <row r="4295" spans="36:37">
      <c r="AJ4295" s="12"/>
      <c r="AK4295" s="33"/>
    </row>
    <row r="4296" spans="36:37">
      <c r="AJ4296" s="12"/>
      <c r="AK4296" s="33"/>
    </row>
    <row r="4297" spans="36:37">
      <c r="AJ4297" s="12"/>
      <c r="AK4297" s="33"/>
    </row>
    <row r="4298" spans="36:37">
      <c r="AJ4298" s="12"/>
      <c r="AK4298" s="33"/>
    </row>
    <row r="4299" spans="36:37">
      <c r="AJ4299" s="12"/>
      <c r="AK4299" s="33"/>
    </row>
    <row r="4300" spans="36:37">
      <c r="AJ4300" s="12"/>
      <c r="AK4300" s="33"/>
    </row>
    <row r="4301" spans="36:37">
      <c r="AJ4301" s="12"/>
      <c r="AK4301" s="33"/>
    </row>
    <row r="4302" spans="36:37">
      <c r="AJ4302" s="12"/>
      <c r="AK4302" s="33"/>
    </row>
    <row r="4303" spans="36:37">
      <c r="AJ4303" s="12"/>
      <c r="AK4303" s="33"/>
    </row>
    <row r="4304" spans="36:37">
      <c r="AJ4304" s="12"/>
      <c r="AK4304" s="33"/>
    </row>
    <row r="4305" spans="36:37">
      <c r="AJ4305" s="12"/>
      <c r="AK4305" s="33"/>
    </row>
    <row r="4306" spans="36:37">
      <c r="AJ4306" s="12"/>
      <c r="AK4306" s="33"/>
    </row>
    <row r="4307" spans="36:37">
      <c r="AJ4307" s="12"/>
      <c r="AK4307" s="33"/>
    </row>
    <row r="4308" spans="36:37">
      <c r="AJ4308" s="12"/>
      <c r="AK4308" s="33"/>
    </row>
    <row r="4309" spans="36:37">
      <c r="AJ4309" s="12"/>
      <c r="AK4309" s="33"/>
    </row>
    <row r="4310" spans="36:37">
      <c r="AJ4310" s="12"/>
      <c r="AK4310" s="33"/>
    </row>
    <row r="4311" spans="36:37">
      <c r="AJ4311" s="12"/>
      <c r="AK4311" s="33"/>
    </row>
    <row r="4312" spans="36:37">
      <c r="AJ4312" s="12"/>
      <c r="AK4312" s="33"/>
    </row>
    <row r="4313" spans="36:37">
      <c r="AJ4313" s="12"/>
      <c r="AK4313" s="33"/>
    </row>
    <row r="4314" spans="36:37">
      <c r="AJ4314" s="12"/>
      <c r="AK4314" s="33"/>
    </row>
    <row r="4315" spans="36:37">
      <c r="AJ4315" s="12"/>
      <c r="AK4315" s="33"/>
    </row>
    <row r="4316" spans="36:37">
      <c r="AJ4316" s="12"/>
      <c r="AK4316" s="33"/>
    </row>
    <row r="4317" spans="36:37">
      <c r="AJ4317" s="12"/>
      <c r="AK4317" s="33"/>
    </row>
    <row r="4318" spans="36:37">
      <c r="AJ4318" s="12"/>
      <c r="AK4318" s="33"/>
    </row>
    <row r="4319" spans="36:37">
      <c r="AJ4319" s="12"/>
      <c r="AK4319" s="33"/>
    </row>
    <row r="4320" spans="36:37">
      <c r="AJ4320" s="12"/>
      <c r="AK4320" s="33"/>
    </row>
    <row r="4321" spans="36:37">
      <c r="AJ4321" s="12"/>
      <c r="AK4321" s="33"/>
    </row>
    <row r="4322" spans="36:37">
      <c r="AJ4322" s="12"/>
      <c r="AK4322" s="33"/>
    </row>
    <row r="4323" spans="36:37">
      <c r="AJ4323" s="12"/>
      <c r="AK4323" s="33"/>
    </row>
    <row r="4324" spans="36:37">
      <c r="AJ4324" s="12"/>
      <c r="AK4324" s="33"/>
    </row>
    <row r="4325" spans="36:37">
      <c r="AJ4325" s="12"/>
      <c r="AK4325" s="33"/>
    </row>
    <row r="4326" spans="36:37">
      <c r="AJ4326" s="12"/>
      <c r="AK4326" s="33"/>
    </row>
    <row r="4327" spans="36:37">
      <c r="AJ4327" s="12"/>
      <c r="AK4327" s="33"/>
    </row>
    <row r="4328" spans="36:37">
      <c r="AJ4328" s="12"/>
      <c r="AK4328" s="33"/>
    </row>
    <row r="4329" spans="36:37">
      <c r="AJ4329" s="12"/>
      <c r="AK4329" s="33"/>
    </row>
    <row r="4330" spans="36:37">
      <c r="AJ4330" s="12"/>
      <c r="AK4330" s="33"/>
    </row>
    <row r="4331" spans="36:37">
      <c r="AJ4331" s="12"/>
      <c r="AK4331" s="33"/>
    </row>
    <row r="4332" spans="36:37">
      <c r="AJ4332" s="12"/>
      <c r="AK4332" s="33"/>
    </row>
    <row r="4333" spans="36:37">
      <c r="AJ4333" s="12"/>
      <c r="AK4333" s="33"/>
    </row>
    <row r="4334" spans="36:37">
      <c r="AJ4334" s="12"/>
      <c r="AK4334" s="33"/>
    </row>
    <row r="4335" spans="36:37">
      <c r="AJ4335" s="12"/>
      <c r="AK4335" s="33"/>
    </row>
    <row r="4336" spans="36:37">
      <c r="AJ4336" s="12"/>
      <c r="AK4336" s="33"/>
    </row>
    <row r="4337" spans="36:37">
      <c r="AJ4337" s="12"/>
      <c r="AK4337" s="33"/>
    </row>
    <row r="4338" spans="36:37">
      <c r="AJ4338" s="12"/>
      <c r="AK4338" s="33"/>
    </row>
    <row r="4339" spans="36:37">
      <c r="AJ4339" s="12"/>
      <c r="AK4339" s="33"/>
    </row>
    <row r="4340" spans="36:37">
      <c r="AJ4340" s="12"/>
      <c r="AK4340" s="33"/>
    </row>
    <row r="4341" spans="36:37">
      <c r="AJ4341" s="12"/>
      <c r="AK4341" s="33"/>
    </row>
    <row r="4342" spans="36:37">
      <c r="AJ4342" s="12"/>
      <c r="AK4342" s="33"/>
    </row>
    <row r="4343" spans="36:37">
      <c r="AJ4343" s="12"/>
      <c r="AK4343" s="33"/>
    </row>
    <row r="4344" spans="36:37">
      <c r="AJ4344" s="12"/>
      <c r="AK4344" s="33"/>
    </row>
    <row r="4345" spans="36:37">
      <c r="AJ4345" s="12"/>
      <c r="AK4345" s="33"/>
    </row>
    <row r="4346" spans="36:37">
      <c r="AJ4346" s="12"/>
      <c r="AK4346" s="33"/>
    </row>
    <row r="4347" spans="36:37">
      <c r="AJ4347" s="12"/>
      <c r="AK4347" s="33"/>
    </row>
    <row r="4348" spans="36:37">
      <c r="AJ4348" s="12"/>
      <c r="AK4348" s="33"/>
    </row>
    <row r="4349" spans="36:37">
      <c r="AJ4349" s="12"/>
      <c r="AK4349" s="33"/>
    </row>
    <row r="4350" spans="36:37">
      <c r="AJ4350" s="12"/>
      <c r="AK4350" s="33"/>
    </row>
    <row r="4351" spans="36:37">
      <c r="AJ4351" s="12"/>
      <c r="AK4351" s="33"/>
    </row>
    <row r="4352" spans="36:37">
      <c r="AJ4352" s="12"/>
      <c r="AK4352" s="33"/>
    </row>
    <row r="4353" spans="36:37">
      <c r="AJ4353" s="12"/>
      <c r="AK4353" s="33"/>
    </row>
    <row r="4354" spans="36:37">
      <c r="AJ4354" s="12"/>
      <c r="AK4354" s="33"/>
    </row>
    <row r="4355" spans="36:37">
      <c r="AJ4355" s="12"/>
      <c r="AK4355" s="33"/>
    </row>
    <row r="4356" spans="36:37">
      <c r="AJ4356" s="12"/>
      <c r="AK4356" s="33"/>
    </row>
    <row r="4357" spans="36:37">
      <c r="AJ4357" s="12"/>
      <c r="AK4357" s="33"/>
    </row>
    <row r="4358" spans="36:37">
      <c r="AJ4358" s="12"/>
      <c r="AK4358" s="33"/>
    </row>
    <row r="4359" spans="36:37">
      <c r="AJ4359" s="12"/>
      <c r="AK4359" s="33"/>
    </row>
    <row r="4360" spans="36:37">
      <c r="AJ4360" s="12"/>
      <c r="AK4360" s="33"/>
    </row>
    <row r="4361" spans="36:37">
      <c r="AJ4361" s="12"/>
      <c r="AK4361" s="33"/>
    </row>
    <row r="4362" spans="36:37">
      <c r="AJ4362" s="12"/>
      <c r="AK4362" s="33"/>
    </row>
    <row r="4363" spans="36:37">
      <c r="AJ4363" s="12"/>
      <c r="AK4363" s="33"/>
    </row>
    <row r="4364" spans="36:37">
      <c r="AJ4364" s="12"/>
      <c r="AK4364" s="33"/>
    </row>
    <row r="4365" spans="36:37">
      <c r="AJ4365" s="12"/>
      <c r="AK4365" s="33"/>
    </row>
    <row r="4366" spans="36:37">
      <c r="AJ4366" s="12"/>
      <c r="AK4366" s="33"/>
    </row>
    <row r="4367" spans="36:37">
      <c r="AJ4367" s="12"/>
      <c r="AK4367" s="33"/>
    </row>
    <row r="4368" spans="36:37">
      <c r="AJ4368" s="12"/>
      <c r="AK4368" s="33"/>
    </row>
    <row r="4369" spans="36:37">
      <c r="AJ4369" s="12"/>
      <c r="AK4369" s="33"/>
    </row>
    <row r="4370" spans="36:37">
      <c r="AJ4370" s="12"/>
      <c r="AK4370" s="33"/>
    </row>
    <row r="4371" spans="36:37">
      <c r="AJ4371" s="12"/>
      <c r="AK4371" s="33"/>
    </row>
    <row r="4372" spans="36:37">
      <c r="AJ4372" s="12"/>
      <c r="AK4372" s="33"/>
    </row>
    <row r="4373" spans="36:37">
      <c r="AJ4373" s="12"/>
      <c r="AK4373" s="33"/>
    </row>
    <row r="4374" spans="36:37">
      <c r="AJ4374" s="12"/>
      <c r="AK4374" s="33"/>
    </row>
    <row r="4375" spans="36:37">
      <c r="AJ4375" s="12"/>
      <c r="AK4375" s="33"/>
    </row>
    <row r="4376" spans="36:37">
      <c r="AJ4376" s="12"/>
      <c r="AK4376" s="33"/>
    </row>
    <row r="4377" spans="36:37">
      <c r="AJ4377" s="12"/>
      <c r="AK4377" s="33"/>
    </row>
    <row r="4378" spans="36:37">
      <c r="AJ4378" s="12"/>
      <c r="AK4378" s="33"/>
    </row>
    <row r="4379" spans="36:37">
      <c r="AJ4379" s="12"/>
      <c r="AK4379" s="33"/>
    </row>
    <row r="4380" spans="36:37">
      <c r="AJ4380" s="12"/>
      <c r="AK4380" s="33"/>
    </row>
    <row r="4381" spans="36:37">
      <c r="AJ4381" s="12"/>
      <c r="AK4381" s="33"/>
    </row>
    <row r="4382" spans="36:37">
      <c r="AJ4382" s="12"/>
      <c r="AK4382" s="33"/>
    </row>
    <row r="4383" spans="36:37">
      <c r="AJ4383" s="12"/>
      <c r="AK4383" s="33"/>
    </row>
    <row r="4384" spans="36:37">
      <c r="AJ4384" s="12"/>
      <c r="AK4384" s="33"/>
    </row>
    <row r="4385" spans="36:37">
      <c r="AJ4385" s="12"/>
      <c r="AK4385" s="33"/>
    </row>
    <row r="4386" spans="36:37">
      <c r="AJ4386" s="12"/>
      <c r="AK4386" s="33"/>
    </row>
    <row r="4387" spans="36:37">
      <c r="AJ4387" s="12"/>
      <c r="AK4387" s="33"/>
    </row>
    <row r="4388" spans="36:37">
      <c r="AJ4388" s="12"/>
      <c r="AK4388" s="33"/>
    </row>
    <row r="4389" spans="36:37">
      <c r="AJ4389" s="12"/>
      <c r="AK4389" s="33"/>
    </row>
    <row r="4390" spans="36:37">
      <c r="AJ4390" s="12"/>
      <c r="AK4390" s="33"/>
    </row>
    <row r="4391" spans="36:37">
      <c r="AJ4391" s="12"/>
      <c r="AK4391" s="33"/>
    </row>
    <row r="4392" spans="36:37">
      <c r="AJ4392" s="12"/>
      <c r="AK4392" s="33"/>
    </row>
    <row r="4393" spans="36:37">
      <c r="AJ4393" s="12"/>
      <c r="AK4393" s="33"/>
    </row>
    <row r="4394" spans="36:37">
      <c r="AJ4394" s="12"/>
      <c r="AK4394" s="33"/>
    </row>
    <row r="4395" spans="36:37">
      <c r="AJ4395" s="12"/>
      <c r="AK4395" s="33"/>
    </row>
    <row r="4396" spans="36:37">
      <c r="AJ4396" s="12"/>
      <c r="AK4396" s="33"/>
    </row>
    <row r="4397" spans="36:37">
      <c r="AJ4397" s="12"/>
      <c r="AK4397" s="33"/>
    </row>
    <row r="4398" spans="36:37">
      <c r="AJ4398" s="12"/>
      <c r="AK4398" s="33"/>
    </row>
    <row r="4399" spans="36:37">
      <c r="AJ4399" s="12"/>
      <c r="AK4399" s="33"/>
    </row>
    <row r="4400" spans="36:37">
      <c r="AJ4400" s="12"/>
      <c r="AK4400" s="33"/>
    </row>
    <row r="4401" spans="36:37">
      <c r="AJ4401" s="12"/>
      <c r="AK4401" s="33"/>
    </row>
    <row r="4402" spans="36:37">
      <c r="AJ4402" s="12"/>
      <c r="AK4402" s="33"/>
    </row>
    <row r="4403" spans="36:37">
      <c r="AJ4403" s="12"/>
      <c r="AK4403" s="33"/>
    </row>
    <row r="4404" spans="36:37">
      <c r="AJ4404" s="12"/>
      <c r="AK4404" s="33"/>
    </row>
    <row r="4405" spans="36:37">
      <c r="AJ4405" s="12"/>
      <c r="AK4405" s="33"/>
    </row>
    <row r="4406" spans="36:37">
      <c r="AJ4406" s="12"/>
      <c r="AK4406" s="33"/>
    </row>
    <row r="4407" spans="36:37">
      <c r="AJ4407" s="12"/>
      <c r="AK4407" s="33"/>
    </row>
    <row r="4408" spans="36:37">
      <c r="AJ4408" s="12"/>
      <c r="AK4408" s="33"/>
    </row>
    <row r="4409" spans="36:37">
      <c r="AJ4409" s="12"/>
      <c r="AK4409" s="33"/>
    </row>
    <row r="4410" spans="36:37">
      <c r="AJ4410" s="12"/>
      <c r="AK4410" s="33"/>
    </row>
    <row r="4411" spans="36:37">
      <c r="AJ4411" s="12"/>
      <c r="AK4411" s="33"/>
    </row>
    <row r="4412" spans="36:37">
      <c r="AJ4412" s="12"/>
      <c r="AK4412" s="33"/>
    </row>
    <row r="4413" spans="36:37">
      <c r="AJ4413" s="12"/>
      <c r="AK4413" s="33"/>
    </row>
    <row r="4414" spans="36:37">
      <c r="AJ4414" s="12"/>
      <c r="AK4414" s="33"/>
    </row>
    <row r="4415" spans="36:37">
      <c r="AJ4415" s="12"/>
      <c r="AK4415" s="33"/>
    </row>
    <row r="4416" spans="36:37">
      <c r="AJ4416" s="12"/>
      <c r="AK4416" s="33"/>
    </row>
    <row r="4417" spans="36:37">
      <c r="AJ4417" s="12"/>
      <c r="AK4417" s="33"/>
    </row>
    <row r="4418" spans="36:37">
      <c r="AJ4418" s="12"/>
      <c r="AK4418" s="33"/>
    </row>
    <row r="4419" spans="36:37">
      <c r="AJ4419" s="12"/>
      <c r="AK4419" s="33"/>
    </row>
    <row r="4420" spans="36:37">
      <c r="AJ4420" s="12"/>
      <c r="AK4420" s="33"/>
    </row>
    <row r="4421" spans="36:37">
      <c r="AJ4421" s="12"/>
      <c r="AK4421" s="33"/>
    </row>
    <row r="4422" spans="36:37">
      <c r="AJ4422" s="12"/>
      <c r="AK4422" s="33"/>
    </row>
    <row r="4423" spans="36:37">
      <c r="AJ4423" s="12"/>
      <c r="AK4423" s="33"/>
    </row>
    <row r="4424" spans="36:37">
      <c r="AJ4424" s="12"/>
      <c r="AK4424" s="33"/>
    </row>
    <row r="4425" spans="36:37">
      <c r="AJ4425" s="12"/>
      <c r="AK4425" s="33"/>
    </row>
    <row r="4426" spans="36:37">
      <c r="AJ4426" s="12"/>
      <c r="AK4426" s="33"/>
    </row>
    <row r="4427" spans="36:37">
      <c r="AJ4427" s="12"/>
      <c r="AK4427" s="33"/>
    </row>
    <row r="4428" spans="36:37">
      <c r="AJ4428" s="12"/>
      <c r="AK4428" s="33"/>
    </row>
    <row r="4429" spans="36:37">
      <c r="AJ4429" s="12"/>
      <c r="AK4429" s="33"/>
    </row>
    <row r="4430" spans="36:37">
      <c r="AJ4430" s="12"/>
      <c r="AK4430" s="33"/>
    </row>
    <row r="4431" spans="36:37">
      <c r="AJ4431" s="12"/>
      <c r="AK4431" s="33"/>
    </row>
    <row r="4432" spans="36:37">
      <c r="AJ4432" s="12"/>
      <c r="AK4432" s="33"/>
    </row>
    <row r="4433" spans="36:37">
      <c r="AJ4433" s="12"/>
      <c r="AK4433" s="33"/>
    </row>
    <row r="4434" spans="36:37">
      <c r="AJ4434" s="12"/>
      <c r="AK4434" s="33"/>
    </row>
    <row r="4435" spans="36:37">
      <c r="AJ4435" s="12"/>
      <c r="AK4435" s="33"/>
    </row>
    <row r="4436" spans="36:37">
      <c r="AJ4436" s="12"/>
      <c r="AK4436" s="33"/>
    </row>
    <row r="4437" spans="36:37">
      <c r="AJ4437" s="12"/>
      <c r="AK4437" s="33"/>
    </row>
    <row r="4438" spans="36:37">
      <c r="AJ4438" s="12"/>
      <c r="AK4438" s="33"/>
    </row>
    <row r="4439" spans="36:37">
      <c r="AJ4439" s="12"/>
      <c r="AK4439" s="33"/>
    </row>
    <row r="4440" spans="36:37">
      <c r="AJ4440" s="12"/>
      <c r="AK4440" s="33"/>
    </row>
    <row r="4441" spans="36:37">
      <c r="AJ4441" s="12"/>
      <c r="AK4441" s="33"/>
    </row>
    <row r="4442" spans="36:37">
      <c r="AJ4442" s="12"/>
      <c r="AK4442" s="33"/>
    </row>
    <row r="4443" spans="36:37">
      <c r="AJ4443" s="12"/>
      <c r="AK4443" s="33"/>
    </row>
    <row r="4444" spans="36:37">
      <c r="AJ4444" s="12"/>
      <c r="AK4444" s="33"/>
    </row>
    <row r="4445" spans="36:37">
      <c r="AJ4445" s="12"/>
      <c r="AK4445" s="33"/>
    </row>
    <row r="4446" spans="36:37">
      <c r="AJ4446" s="12"/>
      <c r="AK4446" s="33"/>
    </row>
    <row r="4447" spans="36:37">
      <c r="AJ4447" s="12"/>
      <c r="AK4447" s="33"/>
    </row>
    <row r="4448" spans="36:37">
      <c r="AJ4448" s="12"/>
      <c r="AK4448" s="33"/>
    </row>
    <row r="4449" spans="36:37">
      <c r="AJ4449" s="12"/>
      <c r="AK4449" s="33"/>
    </row>
    <row r="4450" spans="36:37">
      <c r="AJ4450" s="12"/>
      <c r="AK4450" s="33"/>
    </row>
    <row r="4451" spans="36:37">
      <c r="AJ4451" s="12"/>
      <c r="AK4451" s="33"/>
    </row>
    <row r="4452" spans="36:37">
      <c r="AJ4452" s="12"/>
      <c r="AK4452" s="33"/>
    </row>
    <row r="4453" spans="36:37">
      <c r="AJ4453" s="12"/>
      <c r="AK4453" s="33"/>
    </row>
    <row r="4454" spans="36:37">
      <c r="AJ4454" s="12"/>
      <c r="AK4454" s="33"/>
    </row>
    <row r="4455" spans="36:37">
      <c r="AJ4455" s="12"/>
      <c r="AK4455" s="33"/>
    </row>
    <row r="4456" spans="36:37">
      <c r="AJ4456" s="12"/>
      <c r="AK4456" s="33"/>
    </row>
    <row r="4457" spans="36:37">
      <c r="AJ4457" s="12"/>
      <c r="AK4457" s="33"/>
    </row>
    <row r="4458" spans="36:37">
      <c r="AJ4458" s="12"/>
      <c r="AK4458" s="33"/>
    </row>
    <row r="4459" spans="36:37">
      <c r="AJ4459" s="12"/>
      <c r="AK4459" s="33"/>
    </row>
    <row r="4460" spans="36:37">
      <c r="AJ4460" s="12"/>
      <c r="AK4460" s="33"/>
    </row>
    <row r="4461" spans="36:37">
      <c r="AJ4461" s="12"/>
      <c r="AK4461" s="33"/>
    </row>
    <row r="4462" spans="36:37">
      <c r="AJ4462" s="12"/>
      <c r="AK4462" s="33"/>
    </row>
    <row r="4463" spans="36:37">
      <c r="AJ4463" s="12"/>
      <c r="AK4463" s="33"/>
    </row>
    <row r="4464" spans="36:37">
      <c r="AJ4464" s="12"/>
      <c r="AK4464" s="33"/>
    </row>
    <row r="4465" spans="36:37">
      <c r="AJ4465" s="12"/>
      <c r="AK4465" s="33"/>
    </row>
    <row r="4466" spans="36:37">
      <c r="AJ4466" s="12"/>
      <c r="AK4466" s="33"/>
    </row>
    <row r="4467" spans="36:37">
      <c r="AJ4467" s="12"/>
      <c r="AK4467" s="33"/>
    </row>
    <row r="4468" spans="36:37">
      <c r="AJ4468" s="12"/>
      <c r="AK4468" s="33"/>
    </row>
    <row r="4469" spans="36:37">
      <c r="AJ4469" s="12"/>
      <c r="AK4469" s="33"/>
    </row>
    <row r="4470" spans="36:37">
      <c r="AJ4470" s="12"/>
      <c r="AK4470" s="33"/>
    </row>
    <row r="4471" spans="36:37">
      <c r="AJ4471" s="12"/>
      <c r="AK4471" s="33"/>
    </row>
    <row r="4472" spans="36:37">
      <c r="AJ4472" s="12"/>
      <c r="AK4472" s="33"/>
    </row>
    <row r="4473" spans="36:37">
      <c r="AJ4473" s="38"/>
      <c r="AK4473" s="39"/>
    </row>
    <row r="4474" spans="36:37">
      <c r="AJ4474" s="12"/>
      <c r="AK4474" s="33"/>
    </row>
    <row r="4475" spans="36:37">
      <c r="AJ4475" s="12"/>
      <c r="AK4475" s="33"/>
    </row>
    <row r="4476" spans="36:37">
      <c r="AJ4476" s="12"/>
      <c r="AK4476" s="33"/>
    </row>
    <row r="4477" spans="36:37">
      <c r="AJ4477" s="12"/>
      <c r="AK4477" s="33"/>
    </row>
    <row r="4478" spans="36:37">
      <c r="AJ4478" s="12"/>
      <c r="AK4478" s="33"/>
    </row>
    <row r="4479" spans="36:37">
      <c r="AJ4479" s="12"/>
      <c r="AK4479" s="33"/>
    </row>
    <row r="4480" spans="36:37">
      <c r="AJ4480" s="12"/>
      <c r="AK4480" s="33"/>
    </row>
    <row r="4481" spans="36:37">
      <c r="AJ4481" s="12"/>
      <c r="AK4481" s="33"/>
    </row>
    <row r="4482" spans="36:37">
      <c r="AJ4482" s="12"/>
      <c r="AK4482" s="33"/>
    </row>
    <row r="4483" spans="36:37">
      <c r="AJ4483" s="12"/>
      <c r="AK4483" s="33"/>
    </row>
    <row r="4484" spans="36:37">
      <c r="AJ4484" s="12"/>
      <c r="AK4484" s="33"/>
    </row>
    <row r="4485" spans="36:37">
      <c r="AJ4485" s="12"/>
      <c r="AK4485" s="33"/>
    </row>
    <row r="4486" spans="36:37">
      <c r="AJ4486" s="12"/>
      <c r="AK4486" s="33"/>
    </row>
    <row r="4487" spans="36:37">
      <c r="AJ4487" s="12"/>
      <c r="AK4487" s="33"/>
    </row>
    <row r="4488" spans="36:37">
      <c r="AJ4488" s="12"/>
      <c r="AK4488" s="33"/>
    </row>
    <row r="4489" spans="36:37">
      <c r="AJ4489" s="12"/>
      <c r="AK4489" s="33"/>
    </row>
    <row r="4490" spans="36:37">
      <c r="AJ4490" s="12"/>
      <c r="AK4490" s="33"/>
    </row>
    <row r="4491" spans="36:37">
      <c r="AJ4491" s="12"/>
      <c r="AK4491" s="33"/>
    </row>
    <row r="4492" spans="36:37">
      <c r="AJ4492" s="12"/>
      <c r="AK4492" s="33"/>
    </row>
    <row r="4493" spans="36:37">
      <c r="AJ4493" s="12"/>
      <c r="AK4493" s="33"/>
    </row>
    <row r="4494" spans="36:37">
      <c r="AJ4494" s="12"/>
      <c r="AK4494" s="33"/>
    </row>
    <row r="4495" spans="36:37">
      <c r="AJ4495" s="12"/>
      <c r="AK4495" s="33"/>
    </row>
    <row r="4496" spans="36:37">
      <c r="AJ4496" s="12"/>
      <c r="AK4496" s="33"/>
    </row>
    <row r="4497" spans="36:37">
      <c r="AJ4497" s="12"/>
      <c r="AK4497" s="33"/>
    </row>
    <row r="4498" spans="36:37">
      <c r="AJ4498" s="12"/>
      <c r="AK4498" s="33"/>
    </row>
    <row r="4499" spans="36:37">
      <c r="AJ4499" s="12"/>
      <c r="AK4499" s="33"/>
    </row>
    <row r="4500" spans="36:37">
      <c r="AJ4500" s="12"/>
      <c r="AK4500" s="33"/>
    </row>
    <row r="4501" spans="36:37">
      <c r="AJ4501" s="12"/>
      <c r="AK4501" s="33"/>
    </row>
    <row r="4502" spans="36:37">
      <c r="AJ4502" s="12"/>
      <c r="AK4502" s="33"/>
    </row>
    <row r="4503" spans="36:37">
      <c r="AJ4503" s="12"/>
      <c r="AK4503" s="33"/>
    </row>
    <row r="4504" spans="36:37">
      <c r="AJ4504" s="12"/>
      <c r="AK4504" s="33"/>
    </row>
    <row r="4505" spans="36:37">
      <c r="AJ4505" s="12"/>
      <c r="AK4505" s="33"/>
    </row>
    <row r="4506" spans="36:37">
      <c r="AJ4506" s="12"/>
      <c r="AK4506" s="33"/>
    </row>
    <row r="4507" spans="36:37">
      <c r="AJ4507" s="12"/>
      <c r="AK4507" s="33"/>
    </row>
    <row r="4508" spans="36:37">
      <c r="AJ4508" s="12"/>
      <c r="AK4508" s="33"/>
    </row>
    <row r="4509" spans="36:37">
      <c r="AJ4509" s="12"/>
      <c r="AK4509" s="33"/>
    </row>
    <row r="4510" spans="36:37">
      <c r="AJ4510" s="12"/>
      <c r="AK4510" s="33"/>
    </row>
    <row r="4511" spans="36:37">
      <c r="AJ4511" s="12"/>
      <c r="AK4511" s="33"/>
    </row>
    <row r="4512" spans="36:37">
      <c r="AJ4512" s="12"/>
      <c r="AK4512" s="33"/>
    </row>
    <row r="4513" spans="36:37">
      <c r="AJ4513" s="12"/>
      <c r="AK4513" s="33"/>
    </row>
    <row r="4514" spans="36:37">
      <c r="AJ4514" s="12"/>
      <c r="AK4514" s="33"/>
    </row>
    <row r="4515" spans="36:37">
      <c r="AJ4515" s="12"/>
      <c r="AK4515" s="33"/>
    </row>
    <row r="4516" spans="36:37">
      <c r="AJ4516" s="12"/>
      <c r="AK4516" s="33"/>
    </row>
    <row r="4517" spans="36:37">
      <c r="AJ4517" s="12"/>
      <c r="AK4517" s="33"/>
    </row>
    <row r="4518" spans="36:37">
      <c r="AJ4518" s="12"/>
      <c r="AK4518" s="33"/>
    </row>
    <row r="4519" spans="36:37">
      <c r="AJ4519" s="12"/>
      <c r="AK4519" s="33"/>
    </row>
    <row r="4520" spans="36:37">
      <c r="AJ4520" s="12"/>
      <c r="AK4520" s="33"/>
    </row>
    <row r="4521" spans="36:37">
      <c r="AJ4521" s="12"/>
      <c r="AK4521" s="33"/>
    </row>
    <row r="4522" spans="36:37">
      <c r="AJ4522" s="12"/>
      <c r="AK4522" s="33"/>
    </row>
    <row r="4523" spans="36:37">
      <c r="AJ4523" s="12"/>
      <c r="AK4523" s="33"/>
    </row>
    <row r="4524" spans="36:37">
      <c r="AJ4524" s="12"/>
      <c r="AK4524" s="33"/>
    </row>
    <row r="4525" spans="36:37">
      <c r="AJ4525" s="12"/>
      <c r="AK4525" s="33"/>
    </row>
    <row r="4526" spans="36:37">
      <c r="AJ4526" s="12"/>
      <c r="AK4526" s="33"/>
    </row>
    <row r="4527" spans="36:37">
      <c r="AJ4527" s="12"/>
      <c r="AK4527" s="33"/>
    </row>
    <row r="4528" spans="36:37">
      <c r="AJ4528" s="12"/>
      <c r="AK4528" s="33"/>
    </row>
    <row r="4529" spans="36:37">
      <c r="AJ4529" s="12"/>
      <c r="AK4529" s="33"/>
    </row>
    <row r="4530" spans="36:37">
      <c r="AJ4530" s="12"/>
      <c r="AK4530" s="33"/>
    </row>
    <row r="4531" spans="36:37">
      <c r="AJ4531" s="12"/>
      <c r="AK4531" s="33"/>
    </row>
    <row r="4532" spans="36:37">
      <c r="AJ4532" s="12"/>
      <c r="AK4532" s="33"/>
    </row>
    <row r="4533" spans="36:37">
      <c r="AJ4533" s="12"/>
      <c r="AK4533" s="33"/>
    </row>
    <row r="4534" spans="36:37">
      <c r="AJ4534" s="12"/>
      <c r="AK4534" s="33"/>
    </row>
    <row r="4535" spans="36:37">
      <c r="AJ4535" s="12"/>
      <c r="AK4535" s="33"/>
    </row>
    <row r="4536" spans="36:37">
      <c r="AJ4536" s="12"/>
      <c r="AK4536" s="33"/>
    </row>
    <row r="4537" spans="36:37">
      <c r="AJ4537" s="12"/>
      <c r="AK4537" s="33"/>
    </row>
    <row r="4538" spans="36:37">
      <c r="AJ4538" s="12"/>
      <c r="AK4538" s="33"/>
    </row>
    <row r="4539" spans="36:37">
      <c r="AJ4539" s="12"/>
      <c r="AK4539" s="33"/>
    </row>
    <row r="4540" spans="36:37">
      <c r="AJ4540" s="12"/>
      <c r="AK4540" s="33"/>
    </row>
    <row r="4541" spans="36:37">
      <c r="AJ4541" s="12"/>
      <c r="AK4541" s="33"/>
    </row>
    <row r="4542" spans="36:37">
      <c r="AJ4542" s="12"/>
      <c r="AK4542" s="33"/>
    </row>
    <row r="4543" spans="36:37">
      <c r="AJ4543" s="12"/>
      <c r="AK4543" s="33"/>
    </row>
    <row r="4544" spans="36:37">
      <c r="AJ4544" s="12"/>
      <c r="AK4544" s="33"/>
    </row>
    <row r="4545" spans="36:37">
      <c r="AJ4545" s="12"/>
      <c r="AK4545" s="33"/>
    </row>
    <row r="4546" spans="36:37">
      <c r="AJ4546" s="12"/>
      <c r="AK4546" s="33"/>
    </row>
    <row r="4547" spans="36:37">
      <c r="AJ4547" s="12"/>
      <c r="AK4547" s="33"/>
    </row>
    <row r="4548" spans="36:37">
      <c r="AJ4548" s="12"/>
      <c r="AK4548" s="33"/>
    </row>
    <row r="4549" spans="36:37">
      <c r="AJ4549" s="12"/>
      <c r="AK4549" s="33"/>
    </row>
    <row r="4550" spans="36:37">
      <c r="AJ4550" s="12"/>
      <c r="AK4550" s="33"/>
    </row>
    <row r="4551" spans="36:37">
      <c r="AJ4551" s="12"/>
      <c r="AK4551" s="33"/>
    </row>
    <row r="4552" spans="36:37">
      <c r="AJ4552" s="12"/>
      <c r="AK4552" s="33"/>
    </row>
    <row r="4553" spans="36:37">
      <c r="AJ4553" s="12"/>
      <c r="AK4553" s="33"/>
    </row>
    <row r="4554" spans="36:37">
      <c r="AJ4554" s="12"/>
      <c r="AK4554" s="33"/>
    </row>
    <row r="4555" spans="36:37">
      <c r="AJ4555" s="12"/>
      <c r="AK4555" s="33"/>
    </row>
    <row r="4556" spans="36:37">
      <c r="AJ4556" s="12"/>
      <c r="AK4556" s="33"/>
    </row>
    <row r="4557" spans="36:37">
      <c r="AJ4557" s="12"/>
      <c r="AK4557" s="33"/>
    </row>
    <row r="4558" spans="36:37">
      <c r="AJ4558" s="12"/>
      <c r="AK4558" s="33"/>
    </row>
    <row r="4559" spans="36:37">
      <c r="AJ4559" s="12"/>
      <c r="AK4559" s="33"/>
    </row>
    <row r="4560" spans="36:37">
      <c r="AJ4560" s="12"/>
      <c r="AK4560" s="33"/>
    </row>
    <row r="4561" spans="36:37">
      <c r="AJ4561" s="12"/>
      <c r="AK4561" s="33"/>
    </row>
    <row r="4562" spans="36:37">
      <c r="AJ4562" s="12"/>
      <c r="AK4562" s="33"/>
    </row>
    <row r="4563" spans="36:37">
      <c r="AJ4563" s="12"/>
      <c r="AK4563" s="33"/>
    </row>
    <row r="4564" spans="36:37">
      <c r="AJ4564" s="12"/>
      <c r="AK4564" s="33"/>
    </row>
    <row r="4565" spans="36:37">
      <c r="AJ4565" s="12"/>
      <c r="AK4565" s="33"/>
    </row>
    <row r="4566" spans="36:37">
      <c r="AJ4566" s="12"/>
      <c r="AK4566" s="33"/>
    </row>
    <row r="4567" spans="36:37">
      <c r="AJ4567" s="12"/>
      <c r="AK4567" s="33"/>
    </row>
    <row r="4568" spans="36:37">
      <c r="AJ4568" s="12"/>
      <c r="AK4568" s="33"/>
    </row>
    <row r="4569" spans="36:37">
      <c r="AJ4569" s="12"/>
      <c r="AK4569" s="33"/>
    </row>
    <row r="4570" spans="36:37">
      <c r="AJ4570" s="12"/>
      <c r="AK4570" s="33"/>
    </row>
    <row r="4571" spans="36:37">
      <c r="AJ4571" s="12"/>
      <c r="AK4571" s="33"/>
    </row>
    <row r="4572" spans="36:37">
      <c r="AJ4572" s="12"/>
      <c r="AK4572" s="33"/>
    </row>
    <row r="4573" spans="36:37">
      <c r="AJ4573" s="12"/>
      <c r="AK4573" s="33"/>
    </row>
    <row r="4574" spans="36:37">
      <c r="AJ4574" s="12"/>
      <c r="AK4574" s="33"/>
    </row>
    <row r="4575" spans="36:37">
      <c r="AJ4575" s="12"/>
      <c r="AK4575" s="33"/>
    </row>
    <row r="4576" spans="36:37">
      <c r="AJ4576" s="12"/>
      <c r="AK4576" s="33"/>
    </row>
    <row r="4577" spans="36:37">
      <c r="AJ4577" s="12"/>
      <c r="AK4577" s="33"/>
    </row>
    <row r="4578" spans="36:37">
      <c r="AJ4578" s="12"/>
      <c r="AK4578" s="33"/>
    </row>
    <row r="4579" spans="36:37">
      <c r="AJ4579" s="12"/>
      <c r="AK4579" s="33"/>
    </row>
    <row r="4580" spans="36:37">
      <c r="AJ4580" s="12"/>
      <c r="AK4580" s="33"/>
    </row>
    <row r="4581" spans="36:37">
      <c r="AJ4581" s="12"/>
      <c r="AK4581" s="33"/>
    </row>
    <row r="4582" spans="36:37">
      <c r="AJ4582" s="12"/>
      <c r="AK4582" s="33"/>
    </row>
    <row r="4583" spans="36:37">
      <c r="AJ4583" s="12"/>
      <c r="AK4583" s="33"/>
    </row>
    <row r="4584" spans="36:37">
      <c r="AJ4584" s="12"/>
      <c r="AK4584" s="33"/>
    </row>
    <row r="4585" spans="36:37">
      <c r="AJ4585" s="12"/>
      <c r="AK4585" s="33"/>
    </row>
    <row r="4586" spans="36:37">
      <c r="AJ4586" s="12"/>
      <c r="AK4586" s="33"/>
    </row>
    <row r="4587" spans="36:37">
      <c r="AJ4587" s="38"/>
      <c r="AK4587" s="40"/>
    </row>
    <row r="4588" spans="36:37">
      <c r="AJ4588" s="38"/>
      <c r="AK4588" s="40"/>
    </row>
    <row r="4589" spans="36:37">
      <c r="AJ4589" s="38"/>
      <c r="AK4589" s="40"/>
    </row>
    <row r="4590" spans="36:37">
      <c r="AJ4590" s="38"/>
      <c r="AK4590" s="40"/>
    </row>
    <row r="4591" spans="36:37">
      <c r="AJ4591" s="38"/>
      <c r="AK4591" s="40"/>
    </row>
    <row r="4592" spans="36:37">
      <c r="AJ4592" s="38"/>
      <c r="AK4592" s="40"/>
    </row>
    <row r="4593" spans="36:37">
      <c r="AJ4593" s="38"/>
      <c r="AK4593" s="40"/>
    </row>
    <row r="4594" spans="36:37">
      <c r="AJ4594" s="38"/>
      <c r="AK4594" s="40"/>
    </row>
    <row r="4595" spans="36:37">
      <c r="AJ4595" s="38"/>
      <c r="AK4595" s="40"/>
    </row>
    <row r="4596" spans="36:37">
      <c r="AJ4596" s="38"/>
      <c r="AK4596" s="40"/>
    </row>
    <row r="4597" spans="36:37">
      <c r="AJ4597" s="38"/>
      <c r="AK4597" s="40"/>
    </row>
    <row r="4598" spans="36:37">
      <c r="AJ4598" s="38"/>
      <c r="AK4598" s="40"/>
    </row>
    <row r="4599" spans="36:37">
      <c r="AJ4599" s="38"/>
      <c r="AK4599" s="40"/>
    </row>
    <row r="4600" spans="36:37">
      <c r="AJ4600" s="38"/>
      <c r="AK4600" s="40"/>
    </row>
    <row r="4601" spans="36:37">
      <c r="AJ4601" s="38"/>
      <c r="AK4601" s="40"/>
    </row>
    <row r="4602" spans="36:37">
      <c r="AJ4602" s="38"/>
      <c r="AK4602" s="40"/>
    </row>
    <row r="4603" spans="36:37">
      <c r="AJ4603" s="38"/>
      <c r="AK4603" s="40"/>
    </row>
    <row r="4604" spans="36:37">
      <c r="AJ4604" s="38"/>
      <c r="AK4604" s="40"/>
    </row>
    <row r="4605" spans="36:37">
      <c r="AJ4605" s="38"/>
      <c r="AK4605" s="40"/>
    </row>
    <row r="4606" spans="36:37">
      <c r="AJ4606" s="38"/>
      <c r="AK4606" s="40"/>
    </row>
    <row r="4607" spans="36:37">
      <c r="AJ4607" s="38"/>
      <c r="AK4607" s="40"/>
    </row>
    <row r="4608" spans="36:37">
      <c r="AJ4608" s="38"/>
      <c r="AK4608" s="40"/>
    </row>
  </sheetData>
  <sheetProtection autoFilter="0"/>
  <mergeCells count="9">
    <mergeCell ref="R1:Y1"/>
    <mergeCell ref="AA1:AH1"/>
    <mergeCell ref="B17:C17"/>
    <mergeCell ref="F17:H17"/>
    <mergeCell ref="L17:N17"/>
    <mergeCell ref="C2:D2"/>
    <mergeCell ref="G2:J2"/>
    <mergeCell ref="L2:O2"/>
    <mergeCell ref="B9:C9"/>
  </mergeCells>
  <dataValidations count="1">
    <dataValidation type="list" allowBlank="1" showInputMessage="1" showErrorMessage="1" promptTitle="Level Selection" prompt="Select the Level of candidate" sqref="B11:B15 B23:B27">
      <formula1>"Select, L5 - Mgr, L5 - Sr.Mgr, L6 - Dir, L6 - Sr. Dir, L7 - AVP"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Offering_Calculator</vt:lpstr>
      <vt:lpstr>Database</vt:lpstr>
      <vt:lpstr>Sheet2</vt:lpstr>
      <vt:lpstr>Subfamily</vt:lpstr>
      <vt:lpstr>Maxband</vt:lpstr>
      <vt:lpstr>NJ</vt:lpstr>
      <vt:lpstr>Sheet4</vt:lpstr>
      <vt:lpstr>Source Tables - Open for Update</vt:lpstr>
      <vt:lpstr>Category</vt:lpstr>
      <vt:lpstr>CTCRecom</vt:lpstr>
      <vt:lpstr>ECTC</vt:lpstr>
      <vt:lpstr>EmailID</vt:lpstr>
      <vt:lpstr>Entity</vt:lpstr>
      <vt:lpstr>Level</vt:lpstr>
      <vt:lpstr>PBI</vt:lpstr>
      <vt:lpstr>ProjectID</vt:lpstr>
      <vt:lpstr>State</vt:lpstr>
      <vt:lpstr>THome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Rajendran</dc:creator>
  <cp:lastModifiedBy>Sriram </cp:lastModifiedBy>
  <dcterms:created xsi:type="dcterms:W3CDTF">2024-10-27T06:21:33Z</dcterms:created>
  <dcterms:modified xsi:type="dcterms:W3CDTF">2024-12-12T07:09:40Z</dcterms:modified>
</cp:coreProperties>
</file>